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odutos" sheetId="1" state="visible" r:id="rId3"/>
    <sheet name="base"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<sst xmlns="http://schemas.openxmlformats.org/spreadsheetml/2006/main" count="68722" uniqueCount="9531">
  <si>
    <t xml:space="preserve">Código</t>
  </si>
  <si>
    <t xml:space="preserve">Descrição</t>
  </si>
  <si>
    <t xml:space="preserve">Fornecedor</t>
  </si>
  <si>
    <t xml:space="preserve">Nome do fornecedor</t>
  </si>
  <si>
    <t xml:space="preserve">Departamento</t>
  </si>
  <si>
    <t xml:space="preserve">Descrição do departamento</t>
  </si>
  <si>
    <t xml:space="preserve">Seção</t>
  </si>
  <si>
    <t xml:space="preserve">Descrição da seção</t>
  </si>
  <si>
    <t xml:space="preserve">Marca</t>
  </si>
  <si>
    <t xml:space="preserve">Categoria</t>
  </si>
  <si>
    <t xml:space="preserve">Nome da categoria</t>
  </si>
  <si>
    <t xml:space="preserve">Embalagem</t>
  </si>
  <si>
    <t xml:space="preserve">NCM + Exceção</t>
  </si>
  <si>
    <t xml:space="preserve">Foto</t>
  </si>
  <si>
    <t xml:space="preserve">Status Foto</t>
  </si>
  <si>
    <t xml:space="preserve">GTIN Unid.Venda</t>
  </si>
  <si>
    <t xml:space="preserve">GTIN Unid.Master</t>
  </si>
  <si>
    <t xml:space="preserve">GTIN Unid. Tributável</t>
  </si>
  <si>
    <t xml:space="preserve">Unidade Venda [EAN8, UPC12, EAN13, e DUN14]</t>
  </si>
  <si>
    <t xml:space="preserve">Unidade Master [EAN8, UPC12, EAN13, e DUN14]</t>
  </si>
  <si>
    <t xml:space="preserve">EAN Unid. Tributável</t>
  </si>
  <si>
    <t xml:space="preserve">Dv</t>
  </si>
  <si>
    <t xml:space="preserve">Descrição do produto</t>
  </si>
  <si>
    <t xml:space="preserve">Envia informações técnicas para NF-e</t>
  </si>
  <si>
    <t xml:space="preserve">Fora de linha</t>
  </si>
  <si>
    <t xml:space="preserve">Sub-Categoria</t>
  </si>
  <si>
    <t xml:space="preserve">Nome da subcategoria</t>
  </si>
  <si>
    <t xml:space="preserve">Data Exclusão</t>
  </si>
  <si>
    <t xml:space="preserve">Dt.Cadastro</t>
  </si>
  <si>
    <t xml:space="preserve">Múltiplo compras</t>
  </si>
  <si>
    <t xml:space="preserve">Qtd min. de compra embalagem do fornecedor</t>
  </si>
  <si>
    <t xml:space="preserve">Sugerir preço de venda baseado</t>
  </si>
  <si>
    <t xml:space="preserve">Código filial</t>
  </si>
  <si>
    <t xml:space="preserve">Razão Social</t>
  </si>
  <si>
    <t xml:space="preserve">Utiliza licença de importação</t>
  </si>
  <si>
    <t xml:space="preserve">Descricao</t>
  </si>
  <si>
    <t xml:space="preserve">Controlado pelo IBAMA</t>
  </si>
  <si>
    <t xml:space="preserve">Verificar ramo de atividade para cálculo do ST</t>
  </si>
  <si>
    <t xml:space="preserve">Classe comissão</t>
  </si>
  <si>
    <t xml:space="preserve">%Comissão Int.</t>
  </si>
  <si>
    <t xml:space="preserve">Unidade Tributável</t>
  </si>
  <si>
    <t xml:space="preserve">Descrição da unidade</t>
  </si>
  <si>
    <t xml:space="preserve">Cesta Básica - Legislação</t>
  </si>
  <si>
    <t xml:space="preserve">Isento do pagamento da TCIF?</t>
  </si>
  <si>
    <t xml:space="preserve">Fator Conversão Tributável Ex</t>
  </si>
  <si>
    <t xml:space="preserve">Código de agregação</t>
  </si>
  <si>
    <t xml:space="preserve">Código interno</t>
  </si>
  <si>
    <t xml:space="preserve">Utiliza o código de agregação</t>
  </si>
  <si>
    <t xml:space="preserve">Distribuição</t>
  </si>
  <si>
    <t xml:space="preserve">Descrição do distribuidor</t>
  </si>
  <si>
    <t xml:space="preserve">Codigo da sazonalidade</t>
  </si>
  <si>
    <t xml:space="preserve">Descrição da Sazonalidade</t>
  </si>
  <si>
    <t xml:space="preserve">Gramatura</t>
  </si>
  <si>
    <t xml:space="preserve">Motivo Isenção Anvisa</t>
  </si>
  <si>
    <t xml:space="preserve">Princípio ativo 2</t>
  </si>
  <si>
    <t xml:space="preserve">DESCRIÇÃO DO PRINCIPIO ATIVO</t>
  </si>
  <si>
    <t xml:space="preserve">Url do produto</t>
  </si>
  <si>
    <t xml:space="preserve">Usa no E-commerce da Unilever</t>
  </si>
  <si>
    <t xml:space="preserve">Percentual de gás natural importado GLGNi para o produto GLP</t>
  </si>
  <si>
    <t xml:space="preserve">1</t>
  </si>
  <si>
    <t xml:space="preserve">DIANTEIRO RESFRIADO RIO MARIA</t>
  </si>
  <si>
    <t xml:space="preserve">3</t>
  </si>
  <si>
    <t xml:space="preserve">FRIGORIFICO RIO MARIA LTDA</t>
  </si>
  <si>
    <t xml:space="preserve">CARCAÇAS</t>
  </si>
  <si>
    <t xml:space="preserve">BOVINOS</t>
  </si>
  <si>
    <t xml:space="preserve">2</t>
  </si>
  <si>
    <t xml:space="preserve">DIANTEIRO</t>
  </si>
  <si>
    <t xml:space="preserve">PC +/-60KG</t>
  </si>
  <si>
    <t xml:space="preserve">02012010.</t>
  </si>
  <si>
    <t xml:space="preserve">QUARTOS DIANTEIROS N/DESOSSAD.DE BOVINO,FRESCOS/REFRIG.</t>
  </si>
  <si>
    <t xml:space="preserve">SEM FOTO PRINCIPAL</t>
  </si>
  <si>
    <t xml:space="preserve">N</t>
  </si>
  <si>
    <t xml:space="preserve">22/06/2016</t>
  </si>
  <si>
    <t xml:space="preserve">0</t>
  </si>
  <si>
    <t xml:space="preserve">DISTRIBUICAO CEM</t>
  </si>
  <si>
    <t xml:space="preserve">TRASEIRO RESFRIADO RIO MARIA</t>
  </si>
  <si>
    <t xml:space="preserve">230</t>
  </si>
  <si>
    <t xml:space="preserve">P J CORTES BOVINOS E TRANSPORTES EIRELE ME</t>
  </si>
  <si>
    <t xml:space="preserve">TRASEIRO</t>
  </si>
  <si>
    <t xml:space="preserve">02012020.</t>
  </si>
  <si>
    <t xml:space="preserve">QUARTOS TRASEIROS NAO DESOSSAD.DE BOVINO,FRESCOS/REFRIG</t>
  </si>
  <si>
    <t xml:space="preserve">PONTA DE AGULHA RIO MARIA</t>
  </si>
  <si>
    <t xml:space="preserve">4</t>
  </si>
  <si>
    <t xml:space="preserve">PONTA DE AGULHA</t>
  </si>
  <si>
    <t xml:space="preserve">PC +/-16KG</t>
  </si>
  <si>
    <t xml:space="preserve">02012090.</t>
  </si>
  <si>
    <t xml:space="preserve">OUTRAS PECAS NAO DESOSSADAS DE BOVINO,FRESCAS OU REFRIG</t>
  </si>
  <si>
    <t xml:space="preserve">BISTECA RESFRIADO RIO MARIA</t>
  </si>
  <si>
    <t xml:space="preserve">5</t>
  </si>
  <si>
    <t xml:space="preserve">BISTECA</t>
  </si>
  <si>
    <t xml:space="preserve">PC +/-12KG</t>
  </si>
  <si>
    <t xml:space="preserve">FL</t>
  </si>
  <si>
    <t xml:space="preserve">23/06/2016</t>
  </si>
  <si>
    <t xml:space="preserve">6</t>
  </si>
  <si>
    <t xml:space="preserve">TRASEIRO TOCO RESFRIADO RIO MARIA</t>
  </si>
  <si>
    <t xml:space="preserve">TRASEIRO TOCO</t>
  </si>
  <si>
    <t xml:space="preserve">PC +/-45KG</t>
  </si>
  <si>
    <t xml:space="preserve">12</t>
  </si>
  <si>
    <t xml:space="preserve">FRALDINHA DIAFRAGMA CONG.VALENCIO</t>
  </si>
  <si>
    <t xml:space="preserve">187</t>
  </si>
  <si>
    <t xml:space="preserve">FRIGORIFICO VALENCIO LTDA</t>
  </si>
  <si>
    <t xml:space="preserve">CAIXARIA CONGELADA</t>
  </si>
  <si>
    <t xml:space="preserve">67</t>
  </si>
  <si>
    <t xml:space="preserve">DIAFRAGMA</t>
  </si>
  <si>
    <t xml:space="preserve">CX +/- 25 KG</t>
  </si>
  <si>
    <t xml:space="preserve">02023000.</t>
  </si>
  <si>
    <t xml:space="preserve">CARNES DESOSSADAS DE BOVINO,CONGELADAS</t>
  </si>
  <si>
    <t xml:space="preserve">30/06/2016</t>
  </si>
  <si>
    <t xml:space="preserve">17</t>
  </si>
  <si>
    <t xml:space="preserve">BIFE DO VAZIO CONG. SAO FRANCISCO</t>
  </si>
  <si>
    <t xml:space="preserve">257</t>
  </si>
  <si>
    <t xml:space="preserve">ABATEDOURO DE BOVINOS SAMPAIO LTDA</t>
  </si>
  <si>
    <t xml:space="preserve">76</t>
  </si>
  <si>
    <t xml:space="preserve">BIFE DO VAZIO</t>
  </si>
  <si>
    <t xml:space="preserve">20790</t>
  </si>
  <si>
    <t xml:space="preserve">25</t>
  </si>
  <si>
    <t xml:space="preserve">FILE MIGNON S/ CORDAO RESF FRIBAL</t>
  </si>
  <si>
    <t xml:space="preserve">899</t>
  </si>
  <si>
    <t xml:space="preserve">BARRA COMERCIAL DE CARNES LTDA</t>
  </si>
  <si>
    <t xml:space="preserve">CAIXARIA RESFRIADA</t>
  </si>
  <si>
    <t xml:space="preserve">82</t>
  </si>
  <si>
    <t xml:space="preserve">FILE MIGNON RESFRIADO</t>
  </si>
  <si>
    <t xml:space="preserve">CX +/- 25KG</t>
  </si>
  <si>
    <t xml:space="preserve">02013000.</t>
  </si>
  <si>
    <t xml:space="preserve">CARNES DESOSSADAS DE BOVINO,FRESCAS OU REFRIGERADAS</t>
  </si>
  <si>
    <t xml:space="preserve">27/07/2016</t>
  </si>
  <si>
    <t xml:space="preserve">32</t>
  </si>
  <si>
    <t xml:space="preserve">DIANTEIRO RESFRIADO XINGUARA (FTS)</t>
  </si>
  <si>
    <t xml:space="preserve">259</t>
  </si>
  <si>
    <t xml:space="preserve">FRIGORÍFICO TAVARES DA SILVA LTDA</t>
  </si>
  <si>
    <t xml:space="preserve">33</t>
  </si>
  <si>
    <t xml:space="preserve">TRASEIRO RESFRIADO XINGUARA (FTS)</t>
  </si>
  <si>
    <t xml:space="preserve">34</t>
  </si>
  <si>
    <t xml:space="preserve">PONTA DE AGULHA XINGUARA (FTS)</t>
  </si>
  <si>
    <t xml:space="preserve">35</t>
  </si>
  <si>
    <t xml:space="preserve">TRASEIRO TOCO RESFRIADO XINGUARA (FTS)</t>
  </si>
  <si>
    <t xml:space="preserve">38</t>
  </si>
  <si>
    <t xml:space="preserve">BISTECA RESFRIADO XINGUARA (FTS)</t>
  </si>
  <si>
    <t xml:space="preserve">39</t>
  </si>
  <si>
    <t xml:space="preserve">DIANTEIRO RESFRIADO FRIGOL</t>
  </si>
  <si>
    <t xml:space="preserve">FRIGOL S.A.</t>
  </si>
  <si>
    <t xml:space="preserve">24/06/2016</t>
  </si>
  <si>
    <t xml:space="preserve">40</t>
  </si>
  <si>
    <t xml:space="preserve">TRASEIRO RESFRIADO FRIGOL</t>
  </si>
  <si>
    <t xml:space="preserve">42</t>
  </si>
  <si>
    <t xml:space="preserve">TRASEIRO TOCO RESFRIADO FRIGOL</t>
  </si>
  <si>
    <t xml:space="preserve">44</t>
  </si>
  <si>
    <t xml:space="preserve">TRASEIRO TOCO VACA RESFRIADO  FRIGOL</t>
  </si>
  <si>
    <t xml:space="preserve">7</t>
  </si>
  <si>
    <t xml:space="preserve">TRASEIRO TOCO DE VACA</t>
  </si>
  <si>
    <t xml:space="preserve">45</t>
  </si>
  <si>
    <t xml:space="preserve">BISTECA RESFRIADO FRIGOL</t>
  </si>
  <si>
    <t xml:space="preserve">48</t>
  </si>
  <si>
    <t xml:space="preserve">PONTA DE AGULHA MAFRINORTE</t>
  </si>
  <si>
    <t xml:space="preserve">ATIVO ALIMENTOS EXPORTADORA E IMPORTADORA EIRELI</t>
  </si>
  <si>
    <t xml:space="preserve">49</t>
  </si>
  <si>
    <t xml:space="preserve">TRASEIRO TOCO RESFRIADO MAFRINORTE</t>
  </si>
  <si>
    <t xml:space="preserve">52</t>
  </si>
  <si>
    <t xml:space="preserve">BISTECA RESFRIADO MAFRINORTE</t>
  </si>
  <si>
    <t xml:space="preserve">53</t>
  </si>
  <si>
    <t xml:space="preserve">FIGADO CONG S/ MEMBRANA FRIBOI RESERVA</t>
  </si>
  <si>
    <t xml:space="preserve">84</t>
  </si>
  <si>
    <t xml:space="preserve">JBS S.A</t>
  </si>
  <si>
    <t xml:space="preserve">15</t>
  </si>
  <si>
    <t xml:space="preserve">FIGADO</t>
  </si>
  <si>
    <t xml:space="preserve">CX +/-25KG</t>
  </si>
  <si>
    <t xml:space="preserve">02062200.</t>
  </si>
  <si>
    <t xml:space="preserve">FIGADOS DE BOVINO,CONGELADOS</t>
  </si>
  <si>
    <t xml:space="preserve">62</t>
  </si>
  <si>
    <t xml:space="preserve">COXAO DURO RESF FRIBEV</t>
  </si>
  <si>
    <t xml:space="preserve">10</t>
  </si>
  <si>
    <t xml:space="preserve">COXAO DURO RESFRIADO</t>
  </si>
  <si>
    <t xml:space="preserve">28/06/2016</t>
  </si>
  <si>
    <t xml:space="preserve">63</t>
  </si>
  <si>
    <t xml:space="preserve">COXAO DURO BOV. RESF. MAFRINORTE</t>
  </si>
  <si>
    <t xml:space="preserve">65</t>
  </si>
  <si>
    <t xml:space="preserve">COXAO MOLE RESF FRIBEV</t>
  </si>
  <si>
    <t xml:space="preserve">9</t>
  </si>
  <si>
    <t xml:space="preserve">COXAO MOLE RESFRIADO</t>
  </si>
  <si>
    <t xml:space="preserve">COXAO MOLE RESF FRIGOL</t>
  </si>
  <si>
    <t xml:space="preserve">68</t>
  </si>
  <si>
    <t xml:space="preserve">PATINHO BOV RESF FRIBEV</t>
  </si>
  <si>
    <t xml:space="preserve">11</t>
  </si>
  <si>
    <t xml:space="preserve">PATINHO RESFRIADO</t>
  </si>
  <si>
    <t xml:space="preserve">69</t>
  </si>
  <si>
    <t xml:space="preserve">PATINHO BOV RESF. MAFRINORTE</t>
  </si>
  <si>
    <t xml:space="preserve">71</t>
  </si>
  <si>
    <t xml:space="preserve">FRALDINHA DIAFRAGMA CONG LKJ</t>
  </si>
  <si>
    <t xml:space="preserve">129</t>
  </si>
  <si>
    <t xml:space="preserve">L K J  - FRIGORIFICO LTDA</t>
  </si>
  <si>
    <t xml:space="preserve">72</t>
  </si>
  <si>
    <t xml:space="preserve">FRALDINHA DIAFRAGMA CONG. FORTEFRIGO</t>
  </si>
  <si>
    <t xml:space="preserve">126</t>
  </si>
  <si>
    <t xml:space="preserve">FRIGORIFICO FORTEFRIGO LTDA</t>
  </si>
  <si>
    <t xml:space="preserve">LOMBINHO</t>
  </si>
  <si>
    <t xml:space="preserve">74</t>
  </si>
  <si>
    <t xml:space="preserve">PALETA S/ MUSCULO RESF FRIBEV</t>
  </si>
  <si>
    <t xml:space="preserve">PALETA S/ MUSCULO</t>
  </si>
  <si>
    <t xml:space="preserve">78</t>
  </si>
  <si>
    <t xml:space="preserve">LAGARTO BOV. RESF. MAFRINORTE</t>
  </si>
  <si>
    <t xml:space="preserve">LAGARTO RESFRIADO</t>
  </si>
  <si>
    <t xml:space="preserve">80</t>
  </si>
  <si>
    <t xml:space="preserve">BIFE DO VAZIO CONG. VALENCIO</t>
  </si>
  <si>
    <t xml:space="preserve">02062990.</t>
  </si>
  <si>
    <t xml:space="preserve">OUTRAS MIUDEZAS COMESTIVEIS DE BOVINO,CONGELADAS</t>
  </si>
  <si>
    <t xml:space="preserve">OK</t>
  </si>
  <si>
    <t xml:space="preserve">85</t>
  </si>
  <si>
    <t xml:space="preserve">PONTA DE AGULHA MASTERBOI</t>
  </si>
  <si>
    <t xml:space="preserve">MASTERBOI LTDA</t>
  </si>
  <si>
    <t xml:space="preserve">PC +/- 15KG</t>
  </si>
  <si>
    <t xml:space="preserve">04/07/2016</t>
  </si>
  <si>
    <t xml:space="preserve">86</t>
  </si>
  <si>
    <t xml:space="preserve">BISTECA RESFRIADO MERCURIO</t>
  </si>
  <si>
    <t xml:space="preserve">16</t>
  </si>
  <si>
    <t xml:space="preserve">MERCURIO ALEMENTOS S.A.</t>
  </si>
  <si>
    <t xml:space="preserve">90</t>
  </si>
  <si>
    <t xml:space="preserve">ACEM BOV CONG VALENCIO</t>
  </si>
  <si>
    <t xml:space="preserve">131</t>
  </si>
  <si>
    <t xml:space="preserve">ACEM</t>
  </si>
  <si>
    <t xml:space="preserve">30030</t>
  </si>
  <si>
    <t xml:space="preserve">99</t>
  </si>
  <si>
    <t xml:space="preserve">MAMINHA NACIONAL CONG MINERVA PUL</t>
  </si>
  <si>
    <t xml:space="preserve">920</t>
  </si>
  <si>
    <t xml:space="preserve">MINERVA S.A.</t>
  </si>
  <si>
    <t xml:space="preserve">26</t>
  </si>
  <si>
    <t xml:space="preserve">MAMINHA CONGELADA</t>
  </si>
  <si>
    <t xml:space="preserve">CX +/- 12KG</t>
  </si>
  <si>
    <t xml:space="preserve">103</t>
  </si>
  <si>
    <t xml:space="preserve">PERNIL SUINO C/ OSSO CONG FRIMESA</t>
  </si>
  <si>
    <t xml:space="preserve">14</t>
  </si>
  <si>
    <t xml:space="preserve">FRIMESA COOPERATIVA CENTRAL</t>
  </si>
  <si>
    <t xml:space="preserve">SUINOS</t>
  </si>
  <si>
    <t xml:space="preserve">23</t>
  </si>
  <si>
    <t xml:space="preserve">PERNIL C/ OSSO</t>
  </si>
  <si>
    <t xml:space="preserve">02032200.</t>
  </si>
  <si>
    <t xml:space="preserve">PERNAS,PAS E PEDACOS NAO DESOSSADOS DE SUINO,CONGELADOS</t>
  </si>
  <si>
    <t xml:space="preserve">18/07/2016</t>
  </si>
  <si>
    <t xml:space="preserve">104</t>
  </si>
  <si>
    <t xml:space="preserve">COSTELA SUINA CONG PERDIGAO</t>
  </si>
  <si>
    <t xml:space="preserve">BRF S.A.</t>
  </si>
  <si>
    <t xml:space="preserve">24</t>
  </si>
  <si>
    <t xml:space="preserve">COSTELA SUINA</t>
  </si>
  <si>
    <t xml:space="preserve">CX 10 KG</t>
  </si>
  <si>
    <t xml:space="preserve">02032900.</t>
  </si>
  <si>
    <t xml:space="preserve">OUTRAS CARNES DE SUINO,CONGELADAS</t>
  </si>
  <si>
    <t xml:space="preserve">7,89152E+12</t>
  </si>
  <si>
    <t xml:space="preserve">28/07/2016</t>
  </si>
  <si>
    <t xml:space="preserve">111</t>
  </si>
  <si>
    <t xml:space="preserve">CAPA DE FILE CONG VALENCIO</t>
  </si>
  <si>
    <t xml:space="preserve">89</t>
  </si>
  <si>
    <t xml:space="preserve">CAPA DE FILE</t>
  </si>
  <si>
    <t xml:space="preserve">115</t>
  </si>
  <si>
    <t xml:space="preserve">LINGUICA CALABRESA CURVADA REZENDE 2,5KG</t>
  </si>
  <si>
    <t xml:space="preserve">1101</t>
  </si>
  <si>
    <t xml:space="preserve">SEARA COMERCIO DE ALIMENTOS LTDA</t>
  </si>
  <si>
    <t xml:space="preserve">EMBUTIDOS</t>
  </si>
  <si>
    <t xml:space="preserve">55</t>
  </si>
  <si>
    <t xml:space="preserve">LINGUICA CALABRESA</t>
  </si>
  <si>
    <t xml:space="preserve">CX 15 KG</t>
  </si>
  <si>
    <t xml:space="preserve">16010000.</t>
  </si>
  <si>
    <t xml:space="preserve">ENCHIDOS DE CARNE,MIUDEZAS,SANGUE,SUAS PREPARS.ALIMENTS</t>
  </si>
  <si>
    <t xml:space="preserve">119</t>
  </si>
  <si>
    <t xml:space="preserve">LINGUICA CALABRESA SADIA - PCT 2,5 KG</t>
  </si>
  <si>
    <t xml:space="preserve">7,893E+12</t>
  </si>
  <si>
    <t xml:space="preserve">3,7893E+13</t>
  </si>
  <si>
    <t xml:space="preserve">121</t>
  </si>
  <si>
    <t xml:space="preserve">LINGUICA CHURRASCO AURORA</t>
  </si>
  <si>
    <t xml:space="preserve">COOPERATIVA CENTRAL AURORA ALIMENTOS</t>
  </si>
  <si>
    <t xml:space="preserve">LINGUICA SUINA</t>
  </si>
  <si>
    <t xml:space="preserve">CX 25 KG</t>
  </si>
  <si>
    <t xml:space="preserve">COSTELA SUINA ESPECIAL AURORA CONG</t>
  </si>
  <si>
    <t xml:space="preserve">134</t>
  </si>
  <si>
    <t xml:space="preserve">FILE DE PEITO CONG. BDJ BONASA</t>
  </si>
  <si>
    <t xml:space="preserve">200</t>
  </si>
  <si>
    <t xml:space="preserve">SANTA IZABEL ALIMENTOS LTDA</t>
  </si>
  <si>
    <t xml:space="preserve">8</t>
  </si>
  <si>
    <t xml:space="preserve">AVES</t>
  </si>
  <si>
    <t xml:space="preserve">FILE DE PEITO BDJ</t>
  </si>
  <si>
    <t xml:space="preserve">CX 12 KG</t>
  </si>
  <si>
    <t xml:space="preserve">02071400.</t>
  </si>
  <si>
    <t xml:space="preserve">PEDACOS E MIUDEZAS,COMEST.DE GALOS/GALINHAS,CONGELADOS</t>
  </si>
  <si>
    <t xml:space="preserve">143</t>
  </si>
  <si>
    <t xml:space="preserve">SANGRIA CONG RIO MARIA</t>
  </si>
  <si>
    <t xml:space="preserve">22</t>
  </si>
  <si>
    <t xml:space="preserve">SANGRIA</t>
  </si>
  <si>
    <t xml:space="preserve">SC +/- 25 KG</t>
  </si>
  <si>
    <t xml:space="preserve">144</t>
  </si>
  <si>
    <t xml:space="preserve">CONTRA FILE BOV CONG MARFRIG</t>
  </si>
  <si>
    <t xml:space="preserve">227</t>
  </si>
  <si>
    <t xml:space="preserve">MARFRIG GLOBAL FOODS S.A</t>
  </si>
  <si>
    <t xml:space="preserve">56</t>
  </si>
  <si>
    <t xml:space="preserve">CONTRA FILE</t>
  </si>
  <si>
    <t xml:space="preserve">29/07/2016</t>
  </si>
  <si>
    <t xml:space="preserve">153</t>
  </si>
  <si>
    <t xml:space="preserve">COXA/SOBRECOXA CONG PCT BONASA 20 KG</t>
  </si>
  <si>
    <t xml:space="preserve">COXA E SOBRECOXA</t>
  </si>
  <si>
    <t xml:space="preserve">CX 20 KG</t>
  </si>
  <si>
    <t xml:space="preserve">155</t>
  </si>
  <si>
    <t xml:space="preserve">LINGUICA MISTA NOBRE PCT 5 KG</t>
  </si>
  <si>
    <t xml:space="preserve">LINGUICA TOSCANA</t>
  </si>
  <si>
    <t xml:space="preserve">170</t>
  </si>
  <si>
    <t xml:space="preserve">FILE MIGNON S/ CORDAO CONG MAFRINORTE</t>
  </si>
  <si>
    <t xml:space="preserve">83</t>
  </si>
  <si>
    <t xml:space="preserve">FILE MIGNON CONGELADO</t>
  </si>
  <si>
    <t xml:space="preserve">180</t>
  </si>
  <si>
    <t xml:space="preserve">BIFE DO VAZIO CONG FRIBEV</t>
  </si>
  <si>
    <t xml:space="preserve">191</t>
  </si>
  <si>
    <t xml:space="preserve">CARRE SUINO CONG AURORA</t>
  </si>
  <si>
    <t xml:space="preserve">19</t>
  </si>
  <si>
    <t xml:space="preserve">CARRE</t>
  </si>
  <si>
    <t xml:space="preserve">CX +/- 20 KG</t>
  </si>
  <si>
    <t xml:space="preserve">08/07/2016</t>
  </si>
  <si>
    <t xml:space="preserve">192</t>
  </si>
  <si>
    <t xml:space="preserve">CARRE SUINO CONG SADIA</t>
  </si>
  <si>
    <t xml:space="preserve">CX +/-20 KG</t>
  </si>
  <si>
    <t xml:space="preserve">194</t>
  </si>
  <si>
    <t xml:space="preserve">RABO BOV CONG MARFRIG</t>
  </si>
  <si>
    <t xml:space="preserve">RABADA</t>
  </si>
  <si>
    <t xml:space="preserve">195</t>
  </si>
  <si>
    <t xml:space="preserve">RABO BOV CONG MAFRINORTE</t>
  </si>
  <si>
    <t xml:space="preserve">201</t>
  </si>
  <si>
    <t xml:space="preserve">SANGRIA CONG FRIBEV</t>
  </si>
  <si>
    <t xml:space="preserve">204</t>
  </si>
  <si>
    <t xml:space="preserve">LINGUIÇA CALABRESA PAMPLONA</t>
  </si>
  <si>
    <t xml:space="preserve">719</t>
  </si>
  <si>
    <t xml:space="preserve">PAMPLONA ALIMENTOS S/A</t>
  </si>
  <si>
    <t xml:space="preserve">07/10/2016</t>
  </si>
  <si>
    <t xml:space="preserve">205</t>
  </si>
  <si>
    <t xml:space="preserve">DIANTEIRO RESFRIADO MASTER BOI</t>
  </si>
  <si>
    <t xml:space="preserve">03/10/2016</t>
  </si>
  <si>
    <t xml:space="preserve">211</t>
  </si>
  <si>
    <t xml:space="preserve">TRASEIRO RESFRIADO MASTER BOI</t>
  </si>
  <si>
    <t xml:space="preserve">MASTERBOI</t>
  </si>
  <si>
    <t xml:space="preserve">216</t>
  </si>
  <si>
    <t xml:space="preserve">PICANHA B CONG MARFRIG PALATARE</t>
  </si>
  <si>
    <t xml:space="preserve">PICANHA</t>
  </si>
  <si>
    <t xml:space="preserve">CX +/ 15 KG</t>
  </si>
  <si>
    <t xml:space="preserve">06/11/2016</t>
  </si>
  <si>
    <t xml:space="preserve">221</t>
  </si>
  <si>
    <t xml:space="preserve">FIGADO BOV CONG L K J</t>
  </si>
  <si>
    <t xml:space="preserve">28/10/2016</t>
  </si>
  <si>
    <t xml:space="preserve">222</t>
  </si>
  <si>
    <t xml:space="preserve">TRASEIRO RESFRIADO FRIGOTIL</t>
  </si>
  <si>
    <t xml:space="preserve">607</t>
  </si>
  <si>
    <t xml:space="preserve">FRIGOTIL FRIGORIFICO DE TIMON S A</t>
  </si>
  <si>
    <t xml:space="preserve">26/10/2016</t>
  </si>
  <si>
    <t xml:space="preserve">223</t>
  </si>
  <si>
    <t xml:space="preserve">TRASEIRO TOCO RESFRIADO MASTERBOI</t>
  </si>
  <si>
    <t xml:space="preserve">PC +/- 45 KG</t>
  </si>
  <si>
    <t xml:space="preserve">10/11/2016</t>
  </si>
  <si>
    <t xml:space="preserve">224</t>
  </si>
  <si>
    <t xml:space="preserve">BISTECA RESF. MASTERBOI</t>
  </si>
  <si>
    <t xml:space="preserve">PC +/- 15 KG</t>
  </si>
  <si>
    <t xml:space="preserve">225</t>
  </si>
  <si>
    <t xml:space="preserve">BISTECA RESF. FRIGOTIL</t>
  </si>
  <si>
    <t xml:space="preserve">17/11/2016</t>
  </si>
  <si>
    <t xml:space="preserve">226</t>
  </si>
  <si>
    <t xml:space="preserve">TRASEIRO TOCO RESFRIADO FRIGOTIL</t>
  </si>
  <si>
    <t xml:space="preserve">233</t>
  </si>
  <si>
    <t xml:space="preserve">FIGADO BOV CONG FRIBOI</t>
  </si>
  <si>
    <t xml:space="preserve">03/01/2017</t>
  </si>
  <si>
    <t xml:space="preserve">234</t>
  </si>
  <si>
    <t xml:space="preserve">FRALDINHA DIAFRAGMA BOV CONG FRIBOI</t>
  </si>
  <si>
    <t xml:space="preserve">11/01/2017</t>
  </si>
  <si>
    <t xml:space="preserve">235</t>
  </si>
  <si>
    <t xml:space="preserve">COXAO MOLE RESF FRIBOI</t>
  </si>
  <si>
    <t xml:space="preserve">CX +/-25K KG</t>
  </si>
  <si>
    <t xml:space="preserve">19/01/2017</t>
  </si>
  <si>
    <t xml:space="preserve">236</t>
  </si>
  <si>
    <t xml:space="preserve">COXAO DURO RESF FRIBOI</t>
  </si>
  <si>
    <t xml:space="preserve">237</t>
  </si>
  <si>
    <t xml:space="preserve">PE SUINO SALGADO PERDIGAO</t>
  </si>
  <si>
    <t xml:space="preserve">46</t>
  </si>
  <si>
    <t xml:space="preserve">PE SALGADO</t>
  </si>
  <si>
    <t xml:space="preserve">CX 13 KG</t>
  </si>
  <si>
    <t xml:space="preserve">02101900.</t>
  </si>
  <si>
    <t xml:space="preserve">OUTS.CARNES DE SUINO,SALGADAS OU EM SALMOURA,SECAS,ETC.</t>
  </si>
  <si>
    <t xml:space="preserve">20/01/2017</t>
  </si>
  <si>
    <t xml:space="preserve">239</t>
  </si>
  <si>
    <t xml:space="preserve">DIANTEIRO RESF PADRAO</t>
  </si>
  <si>
    <t xml:space="preserve">512</t>
  </si>
  <si>
    <t xml:space="preserve">BOI BOM ATACADISTA DE CARNE LTDA</t>
  </si>
  <si>
    <t xml:space="preserve">PC +/- 60 KG</t>
  </si>
  <si>
    <t xml:space="preserve">09/02/2017</t>
  </si>
  <si>
    <t xml:space="preserve">240</t>
  </si>
  <si>
    <t xml:space="preserve">LINGUIÇA CALABRESA CURV PERDIGAO PC 2,5</t>
  </si>
  <si>
    <t xml:space="preserve">11/02/2017</t>
  </si>
  <si>
    <t xml:space="preserve">244</t>
  </si>
  <si>
    <t xml:space="preserve">LUM TART BR ALUM C/GRD 1X60W E-27</t>
  </si>
  <si>
    <t xml:space="preserve">91</t>
  </si>
  <si>
    <t xml:space="preserve">SV COMERCIO DE MATERIAL ELETRICO LTDA</t>
  </si>
  <si>
    <t xml:space="preserve">MATERIAL DE CONSUMO</t>
  </si>
  <si>
    <t xml:space="preserve">MATERIAL ELETRICO</t>
  </si>
  <si>
    <t xml:space="preserve">1UN</t>
  </si>
  <si>
    <t xml:space="preserve">94051099.</t>
  </si>
  <si>
    <t xml:space="preserve">LUSTRES E APARS.ILUMIN.ELETR.DE OUTS.MATER.P/TETO/PARED</t>
  </si>
  <si>
    <t xml:space="preserve">16/02/2017</t>
  </si>
  <si>
    <t xml:space="preserve">245</t>
  </si>
  <si>
    <t xml:space="preserve">LAMP LRD BULB 09W A60 6500KNBR</t>
  </si>
  <si>
    <t xml:space="preserve">85437099.</t>
  </si>
  <si>
    <t xml:space="preserve">OUTROS</t>
  </si>
  <si>
    <t xml:space="preserve">246</t>
  </si>
  <si>
    <t xml:space="preserve">LAMP LED TUB 10W 6000K T8 G-13 100-220V</t>
  </si>
  <si>
    <t xml:space="preserve">247</t>
  </si>
  <si>
    <t xml:space="preserve">COPO 150MLC/100</t>
  </si>
  <si>
    <t xml:space="preserve">MARIA GENI DISTRIB. DE ART. DE PAP LTDA</t>
  </si>
  <si>
    <t xml:space="preserve">MATERIAL EXPEDIENTE</t>
  </si>
  <si>
    <t xml:space="preserve">110</t>
  </si>
  <si>
    <t xml:space="preserve">MATERIAL DE ESCRITÓRIO EM GERAL</t>
  </si>
  <si>
    <t xml:space="preserve">39241000.</t>
  </si>
  <si>
    <t xml:space="preserve">SERVICOS DE MESA E OUTROS UTENSILIOS DE MESA OU DE COZINHA</t>
  </si>
  <si>
    <t xml:space="preserve">17/02/2017</t>
  </si>
  <si>
    <t xml:space="preserve">248</t>
  </si>
  <si>
    <t xml:space="preserve">COPO 50MLC/100 BR COPOBRAS CF150</t>
  </si>
  <si>
    <t xml:space="preserve">249</t>
  </si>
  <si>
    <t xml:space="preserve">PAP HIG BR 30M C/4 FLORAL NEUTRO FACEPA</t>
  </si>
  <si>
    <t xml:space="preserve">48181000.</t>
  </si>
  <si>
    <t xml:space="preserve">PAPEL HIGIENICO</t>
  </si>
  <si>
    <t xml:space="preserve">250</t>
  </si>
  <si>
    <t xml:space="preserve">DETERGENTE 5L LAVA LOUCAS NEUTRO BRAZIL</t>
  </si>
  <si>
    <t xml:space="preserve">1UNI</t>
  </si>
  <si>
    <t xml:space="preserve">34029031.</t>
  </si>
  <si>
    <t xml:space="preserve">A BASE DE NONILFENOL ETOXILADO</t>
  </si>
  <si>
    <t xml:space="preserve">251</t>
  </si>
  <si>
    <t xml:space="preserve">SABONETE 5L SMELL PLUS ERVA DOCE CLINIL</t>
  </si>
  <si>
    <t xml:space="preserve">34011190.</t>
  </si>
  <si>
    <t xml:space="preserve">252</t>
  </si>
  <si>
    <t xml:space="preserve">PAP HIG BR 300M C/8 PLUS NATURELLE</t>
  </si>
  <si>
    <t xml:space="preserve">253</t>
  </si>
  <si>
    <t xml:space="preserve">CAMINHAO ACCELO 815/31 C/ CABINE 4 CIL</t>
  </si>
  <si>
    <t xml:space="preserve">88</t>
  </si>
  <si>
    <t xml:space="preserve">MERCEDES BENZ DO BRASIL LTDA</t>
  </si>
  <si>
    <t xml:space="preserve">IMOBILIZADO</t>
  </si>
  <si>
    <t xml:space="preserve">13</t>
  </si>
  <si>
    <t xml:space="preserve">VEICULOS</t>
  </si>
  <si>
    <t xml:space="preserve">43</t>
  </si>
  <si>
    <t xml:space="preserve">CAMINHOES</t>
  </si>
  <si>
    <t xml:space="preserve">87042210.</t>
  </si>
  <si>
    <t xml:space="preserve">CHASSIS C/MOTOR DIESEL E CABINA,5T&lt;CARGA&lt;=20T</t>
  </si>
  <si>
    <t xml:space="preserve">254</t>
  </si>
  <si>
    <t xml:space="preserve">VIBRA STOP</t>
  </si>
  <si>
    <t xml:space="preserve">325</t>
  </si>
  <si>
    <t xml:space="preserve">COMERCIAL DRAGAO LTDA</t>
  </si>
  <si>
    <t xml:space="preserve">18</t>
  </si>
  <si>
    <t xml:space="preserve">MATERIAL PARA REFORMA/REPAROS</t>
  </si>
  <si>
    <t xml:space="preserve">EQUIPAMENTOS EM GERAL PARA REFORMA C&amp;M</t>
  </si>
  <si>
    <t xml:space="preserve">40169990.</t>
  </si>
  <si>
    <t xml:space="preserve">OUTRAS</t>
  </si>
  <si>
    <t xml:space="preserve">255</t>
  </si>
  <si>
    <t xml:space="preserve">SABAO PO 500G TRADICIONAL MARILUX</t>
  </si>
  <si>
    <t xml:space="preserve">34029039.</t>
  </si>
  <si>
    <t xml:space="preserve">256</t>
  </si>
  <si>
    <t xml:space="preserve">SACO DE LIXO 100L PT ECONOMICO C/100</t>
  </si>
  <si>
    <t xml:space="preserve">300</t>
  </si>
  <si>
    <t xml:space="preserve">MATERIAL DE LIMPEZA</t>
  </si>
  <si>
    <t xml:space="preserve">39232110.</t>
  </si>
  <si>
    <t xml:space="preserve">DE CAPACIDADE INFERIOR OU IGUAL A 1.000CM?</t>
  </si>
  <si>
    <t xml:space="preserve">SACO DE LIXO 40L PT ECONOMICO C/100</t>
  </si>
  <si>
    <t xml:space="preserve">258</t>
  </si>
  <si>
    <t xml:space="preserve">AGUA SANITARIA  5L</t>
  </si>
  <si>
    <t xml:space="preserve">28289011.</t>
  </si>
  <si>
    <t xml:space="preserve">HIPOCLORITOS DE SODIO</t>
  </si>
  <si>
    <t xml:space="preserve">262</t>
  </si>
  <si>
    <t xml:space="preserve">ULTRA BLACK 70G ESPECIAL(PRETO) SILICONE</t>
  </si>
  <si>
    <t xml:space="preserve">AUTO PECAS PADRE CICERO LTDA - MATRIZ</t>
  </si>
  <si>
    <t xml:space="preserve">PC</t>
  </si>
  <si>
    <t xml:space="preserve">32141010.</t>
  </si>
  <si>
    <t xml:space="preserve">MASTIQUE DE VIDRACEIRO, CIMENTOS DE RESINA E OUTROS MASTIQUE</t>
  </si>
  <si>
    <t xml:space="preserve">08/03/2017</t>
  </si>
  <si>
    <t xml:space="preserve">263</t>
  </si>
  <si>
    <t xml:space="preserve">CONDENSADORA</t>
  </si>
  <si>
    <t xml:space="preserve">220</t>
  </si>
  <si>
    <t xml:space="preserve">EQUIPECAS EQUIP  PEC ACESS P REFRI LTDA</t>
  </si>
  <si>
    <t xml:space="preserve">72169100.</t>
  </si>
  <si>
    <t xml:space="preserve">OBTIDOS OU ACABADOS A FRIO A PARTIR DE PRODUTOS LAMINADOS PL</t>
  </si>
  <si>
    <t xml:space="preserve">264</t>
  </si>
  <si>
    <t xml:space="preserve">PASTILHA FREIO DIANT</t>
  </si>
  <si>
    <t xml:space="preserve">MATERIAL TRANSPORTES</t>
  </si>
  <si>
    <t xml:space="preserve">27</t>
  </si>
  <si>
    <t xml:space="preserve">PECAS CAMINHOES</t>
  </si>
  <si>
    <t xml:space="preserve">87083019.</t>
  </si>
  <si>
    <t xml:space="preserve">265</t>
  </si>
  <si>
    <t xml:space="preserve">CABO FREIO MAO DIANT F4000 98/1680 MM</t>
  </si>
  <si>
    <t xml:space="preserve">87083090.</t>
  </si>
  <si>
    <t xml:space="preserve">266</t>
  </si>
  <si>
    <t xml:space="preserve">CRUZETA TRANSM CAMINHAO CHEVROLET/CARGO</t>
  </si>
  <si>
    <t xml:space="preserve">87085099.</t>
  </si>
  <si>
    <t xml:space="preserve">267</t>
  </si>
  <si>
    <t xml:space="preserve">KIT EMBR VW 8140 MWM 4.10TCA C/PRE</t>
  </si>
  <si>
    <t xml:space="preserve">87089300.</t>
  </si>
  <si>
    <t xml:space="preserve">EMBREAGENS E SUAS PARTES P/TRATORES/VEICULOS AUTOMOVEIS</t>
  </si>
  <si>
    <t xml:space="preserve">268</t>
  </si>
  <si>
    <t xml:space="preserve">FONE DE OUVIDO BLUETOOTH</t>
  </si>
  <si>
    <t xml:space="preserve">47</t>
  </si>
  <si>
    <t xml:space="preserve">CECOMIL COMERCIO E SERVICOS EIRELLI</t>
  </si>
  <si>
    <t xml:space="preserve">EQUIPAMENTO INFORMATICA</t>
  </si>
  <si>
    <t xml:space="preserve">UN</t>
  </si>
  <si>
    <t xml:space="preserve">85183000.</t>
  </si>
  <si>
    <t xml:space="preserve">FONES DE OUVIDO, MESMO COMBINADOS COM MICROFONE, E CONJUNTOS</t>
  </si>
  <si>
    <t xml:space="preserve">269</t>
  </si>
  <si>
    <t xml:space="preserve">MOUSE</t>
  </si>
  <si>
    <t xml:space="preserve">60</t>
  </si>
  <si>
    <t xml:space="preserve">ELETRONICO</t>
  </si>
  <si>
    <t xml:space="preserve">84716053.</t>
  </si>
  <si>
    <t xml:space="preserve">INDICADORES OU APONTADORES (ôMOUSEö E ôTRACKBALLö, POR EXEMP</t>
  </si>
  <si>
    <t xml:space="preserve">270</t>
  </si>
  <si>
    <t xml:space="preserve">GARRF EP T66 4120 PR EP</t>
  </si>
  <si>
    <t xml:space="preserve">32151100.</t>
  </si>
  <si>
    <t xml:space="preserve">PRETAS</t>
  </si>
  <si>
    <t xml:space="preserve">271</t>
  </si>
  <si>
    <t xml:space="preserve">FLUIDO ARLA 20L</t>
  </si>
  <si>
    <t xml:space="preserve">CEQUIP IMPORTACAO E COMERCIO LTDA</t>
  </si>
  <si>
    <t xml:space="preserve">31021010.</t>
  </si>
  <si>
    <t xml:space="preserve">COM TEOR DE NITROGENIO SUPERIOR A 45%, EM PESO</t>
  </si>
  <si>
    <t xml:space="preserve">09/03/2017</t>
  </si>
  <si>
    <t xml:space="preserve">272</t>
  </si>
  <si>
    <t xml:space="preserve">CABO</t>
  </si>
  <si>
    <t xml:space="preserve">PEÇAS ELÉTRICAS</t>
  </si>
  <si>
    <t xml:space="preserve">87089990.</t>
  </si>
  <si>
    <t xml:space="preserve">OUTRAS PARTES E ACESS.P/TRATORES E VEICULOS AUTOMOVEIS</t>
  </si>
  <si>
    <t xml:space="preserve">273</t>
  </si>
  <si>
    <t xml:space="preserve">BUCHA</t>
  </si>
  <si>
    <t xml:space="preserve">87084090.</t>
  </si>
  <si>
    <t xml:space="preserve">CAIXAS DE MARCHAS P/VEICULOS AUTOMOVEIS</t>
  </si>
  <si>
    <t xml:space="preserve">274</t>
  </si>
  <si>
    <t xml:space="preserve">ARRUELA</t>
  </si>
  <si>
    <t xml:space="preserve">51</t>
  </si>
  <si>
    <t xml:space="preserve">FACANHA COMERCIO DE PEÇAS ACESSORIOS E SERVIÇOS</t>
  </si>
  <si>
    <t xml:space="preserve">275</t>
  </si>
  <si>
    <t xml:space="preserve">MOLA</t>
  </si>
  <si>
    <t xml:space="preserve">73201000.</t>
  </si>
  <si>
    <t xml:space="preserve">MOLAS DE FOLHAS E SUAS FOLHAS</t>
  </si>
  <si>
    <t xml:space="preserve">276</t>
  </si>
  <si>
    <t xml:space="preserve">MOLA TS4 VW CAM DELIVERY 5 5 TON</t>
  </si>
  <si>
    <t xml:space="preserve">277</t>
  </si>
  <si>
    <t xml:space="preserve">OLEO HIDRAULICO</t>
  </si>
  <si>
    <t xml:space="preserve">27101932.</t>
  </si>
  <si>
    <t xml:space="preserve">COM ADITIVOS</t>
  </si>
  <si>
    <t xml:space="preserve">278</t>
  </si>
  <si>
    <t xml:space="preserve">21575R17.5 FORMULA DRIVER PN / IP:23</t>
  </si>
  <si>
    <t xml:space="preserve">GERARDO BASTOS PNEUS E PECAS LTDA</t>
  </si>
  <si>
    <t xml:space="preserve">40112090.</t>
  </si>
  <si>
    <t xml:space="preserve">279</t>
  </si>
  <si>
    <t xml:space="preserve">BAU FRIGORIFICO</t>
  </si>
  <si>
    <t xml:space="preserve">79</t>
  </si>
  <si>
    <t xml:space="preserve">REFRIGERACAO 5 ESTRELAS LTDA ME</t>
  </si>
  <si>
    <t xml:space="preserve">280</t>
  </si>
  <si>
    <t xml:space="preserve">ABRAC NYLON BCA 2,5 X 180 TRX 1029 C/100</t>
  </si>
  <si>
    <t xml:space="preserve">100</t>
  </si>
  <si>
    <t xml:space="preserve">LOJAO  TOTAL COM DE PECAS PARA FOGOES E FERRAGENS</t>
  </si>
  <si>
    <t xml:space="preserve">PT</t>
  </si>
  <si>
    <t xml:space="preserve">39269090.</t>
  </si>
  <si>
    <t xml:space="preserve">281</t>
  </si>
  <si>
    <t xml:space="preserve">FORMULARIO RAZAO 02 VIAS CX 3000 FLS</t>
  </si>
  <si>
    <t xml:space="preserve">101</t>
  </si>
  <si>
    <t xml:space="preserve">SODINE SOC DIST DO NE LTDA - MATRIZ</t>
  </si>
  <si>
    <t xml:space="preserve">1CX</t>
  </si>
  <si>
    <t xml:space="preserve">48204000.</t>
  </si>
  <si>
    <t xml:space="preserve">FORMULARIOS EM BLOCOS TIPO "MANIFOLD", MESMO COM FOLHAS INTE</t>
  </si>
  <si>
    <t xml:space="preserve">282</t>
  </si>
  <si>
    <t xml:space="preserve">RB20IIUIAS-RM</t>
  </si>
  <si>
    <t xml:space="preserve">102</t>
  </si>
  <si>
    <t xml:space="preserve">LUZ &amp; FORMMAS COMERCIO E IMPORTACAO LTDA -EPP</t>
  </si>
  <si>
    <t xml:space="preserve">85176259.</t>
  </si>
  <si>
    <t xml:space="preserve">283</t>
  </si>
  <si>
    <t xml:space="preserve">TEXACO LUBRAX OLEO HID TEXAMATIC B ATF T</t>
  </si>
  <si>
    <t xml:space="preserve">F DAS CHAGAS BRASIL JUNIOR EPP</t>
  </si>
  <si>
    <t xml:space="preserve">284</t>
  </si>
  <si>
    <t xml:space="preserve">TEXACO VARGA BOSCH OLEO P FREIO DOT</t>
  </si>
  <si>
    <t xml:space="preserve">38190000.</t>
  </si>
  <si>
    <t xml:space="preserve">FLUIDOS PARA FREIOS HIDRAULICOS E OUTROS LIQUIDOS PREPARADOS</t>
  </si>
  <si>
    <t xml:space="preserve">285</t>
  </si>
  <si>
    <t xml:space="preserve">DIESEL COMUM</t>
  </si>
  <si>
    <t xml:space="preserve">21</t>
  </si>
  <si>
    <t xml:space="preserve">MACK V COMERCIO DE DERIVADOS DE PETROLEO LTDA</t>
  </si>
  <si>
    <t xml:space="preserve">93</t>
  </si>
  <si>
    <t xml:space="preserve">DIESEL</t>
  </si>
  <si>
    <t xml:space="preserve">1LT</t>
  </si>
  <si>
    <t xml:space="preserve">27101921.</t>
  </si>
  <si>
    <t xml:space="preserve">ôGASOLEO" (OLEO DIESEL)</t>
  </si>
  <si>
    <t xml:space="preserve">286</t>
  </si>
  <si>
    <t xml:space="preserve">GASOLINA COMUM</t>
  </si>
  <si>
    <t xml:space="preserve">92</t>
  </si>
  <si>
    <t xml:space="preserve">GASOLINA</t>
  </si>
  <si>
    <t xml:space="preserve">27100029.</t>
  </si>
  <si>
    <t xml:space="preserve">OUTRAS GASOLINAS</t>
  </si>
  <si>
    <t xml:space="preserve">287</t>
  </si>
  <si>
    <t xml:space="preserve">ETANOL</t>
  </si>
  <si>
    <t xml:space="preserve">22072010.</t>
  </si>
  <si>
    <t xml:space="preserve">ALCOOL ETILICO DESNATURADO C/QQ.TEOR ALCOOLICO</t>
  </si>
  <si>
    <t xml:space="preserve">288</t>
  </si>
  <si>
    <t xml:space="preserve">CORACAO BOV CONG FRIBOI</t>
  </si>
  <si>
    <t xml:space="preserve">CX +/-25 KG</t>
  </si>
  <si>
    <t xml:space="preserve">13/03/2017</t>
  </si>
  <si>
    <t xml:space="preserve">289</t>
  </si>
  <si>
    <t xml:space="preserve">ROLETE SAPATA FREIO DIANT/TRAS VW 8150</t>
  </si>
  <si>
    <t xml:space="preserve">73182900.</t>
  </si>
  <si>
    <t xml:space="preserve">14/03/2017</t>
  </si>
  <si>
    <t xml:space="preserve">290</t>
  </si>
  <si>
    <t xml:space="preserve">LONA FREIO TRAS AGRALE  9200/MA</t>
  </si>
  <si>
    <t xml:space="preserve">68138190.</t>
  </si>
  <si>
    <t xml:space="preserve">291</t>
  </si>
  <si>
    <t xml:space="preserve">MOCOTO BOV CONG FRIBOI</t>
  </si>
  <si>
    <t xml:space="preserve">292</t>
  </si>
  <si>
    <t xml:space="preserve">CUPIM BOV CONG FRIBOI</t>
  </si>
  <si>
    <t xml:space="preserve">CUPIM</t>
  </si>
  <si>
    <t xml:space="preserve">293</t>
  </si>
  <si>
    <t xml:space="preserve">AMORTECEDOR DIAN/TRAS CONV MBB</t>
  </si>
  <si>
    <t xml:space="preserve">87088000.</t>
  </si>
  <si>
    <t xml:space="preserve">AMORTECEDORES DE SUSPENSAO P/TRATORES E VEIC.AUTOMOVEIS</t>
  </si>
  <si>
    <t xml:space="preserve">15/03/2017</t>
  </si>
  <si>
    <t xml:space="preserve">294</t>
  </si>
  <si>
    <t xml:space="preserve">JG BORR PORTA DIANT/TRAS UNO/PREMIO/ELBA</t>
  </si>
  <si>
    <t xml:space="preserve">40082900.</t>
  </si>
  <si>
    <t xml:space="preserve">295</t>
  </si>
  <si>
    <t xml:space="preserve">PAINEL</t>
  </si>
  <si>
    <t xml:space="preserve">349</t>
  </si>
  <si>
    <t xml:space="preserve">J J IMPORTAÇÃO E EXPORTAÇÃO DE FERROS E DIVISÓRIAS EIRELLI M</t>
  </si>
  <si>
    <t xml:space="preserve">148</t>
  </si>
  <si>
    <t xml:space="preserve">MATERIAL DE CONSTRUÇÃO (REFORMA C&amp;M)</t>
  </si>
  <si>
    <t xml:space="preserve">68091100.</t>
  </si>
  <si>
    <t xml:space="preserve">REVESTIDOS OU REFORCADOS EXCLUSIVAMENTE COM PAPEL OU CARTAO</t>
  </si>
  <si>
    <t xml:space="preserve">296</t>
  </si>
  <si>
    <t xml:space="preserve">PAPEL  OFFICE</t>
  </si>
  <si>
    <t xml:space="preserve">BACHA &amp; CIA LTDA</t>
  </si>
  <si>
    <t xml:space="preserve">48025610.</t>
  </si>
  <si>
    <t xml:space="preserve">NAS QUAIS NENHUM LADO EXCEDA 360MM, QUANDO NAO DOBRADAS</t>
  </si>
  <si>
    <t xml:space="preserve">22/03/2017</t>
  </si>
  <si>
    <t xml:space="preserve">297</t>
  </si>
  <si>
    <t xml:space="preserve">ALCATRA C/ MAMINHA RESF FRIBOI</t>
  </si>
  <si>
    <t xml:space="preserve">ALCATRA C/ MAMINHA RESFRIADO</t>
  </si>
  <si>
    <t xml:space="preserve">298</t>
  </si>
  <si>
    <t xml:space="preserve">PATINHO BOV RESF FRIBOI</t>
  </si>
  <si>
    <t xml:space="preserve">299</t>
  </si>
  <si>
    <t xml:space="preserve">CIL MESTRE FR MB L 912 LO 912 L 914E LO</t>
  </si>
  <si>
    <t xml:space="preserve">24/03/2017</t>
  </si>
  <si>
    <t xml:space="preserve">DIAFRAGMA CUICA FR24" 7" FUNDO WABCO</t>
  </si>
  <si>
    <t xml:space="preserve">301</t>
  </si>
  <si>
    <t xml:space="preserve">165/70R13 CINTP4 79T PN / IP: 1389900</t>
  </si>
  <si>
    <t xml:space="preserve">40111000.</t>
  </si>
  <si>
    <t xml:space="preserve">DOS TIPOS UTILIZADOS EM AUTOMOVEIS DE PASSAGEIROS (INCLUIDOS</t>
  </si>
  <si>
    <t xml:space="preserve">302</t>
  </si>
  <si>
    <t xml:space="preserve">73209000.</t>
  </si>
  <si>
    <t xml:space="preserve">303</t>
  </si>
  <si>
    <t xml:space="preserve">REBITE</t>
  </si>
  <si>
    <t xml:space="preserve">73182300.</t>
  </si>
  <si>
    <t xml:space="preserve">REBITES</t>
  </si>
  <si>
    <t xml:space="preserve">304</t>
  </si>
  <si>
    <t xml:space="preserve">JG. LONA</t>
  </si>
  <si>
    <t xml:space="preserve">305</t>
  </si>
  <si>
    <t xml:space="preserve">73202090.</t>
  </si>
  <si>
    <t xml:space="preserve">306</t>
  </si>
  <si>
    <t xml:space="preserve">BIELETE DIANT</t>
  </si>
  <si>
    <t xml:space="preserve">307</t>
  </si>
  <si>
    <t xml:space="preserve">BIELETA ESTAB DIANT F4000 03.00/L/E</t>
  </si>
  <si>
    <t xml:space="preserve">308</t>
  </si>
  <si>
    <t xml:space="preserve">TAMBOR FREIO 325X120MM</t>
  </si>
  <si>
    <t xml:space="preserve">54</t>
  </si>
  <si>
    <t xml:space="preserve">JS DISTRIBUIDORA DE PECAS S/A - CE</t>
  </si>
  <si>
    <t xml:space="preserve">310</t>
  </si>
  <si>
    <t xml:space="preserve">PASTILHA FREIO DIANT MBB 709/710/912/914</t>
  </si>
  <si>
    <t xml:space="preserve">27/03/2017</t>
  </si>
  <si>
    <t xml:space="preserve">311</t>
  </si>
  <si>
    <t xml:space="preserve">TRANCA EMBUTIDA</t>
  </si>
  <si>
    <t xml:space="preserve">361</t>
  </si>
  <si>
    <t xml:space="preserve">ESTRUTURAL COMERCIO E SERVICOS LTDA</t>
  </si>
  <si>
    <t xml:space="preserve">116</t>
  </si>
  <si>
    <t xml:space="preserve">AÇO</t>
  </si>
  <si>
    <t xml:space="preserve">83014000.</t>
  </si>
  <si>
    <t xml:space="preserve">OUTRAS FECHADURAS FERROLHOS</t>
  </si>
  <si>
    <t xml:space="preserve">312</t>
  </si>
  <si>
    <t xml:space="preserve">ROLAMENTO RODA DIANT</t>
  </si>
  <si>
    <t xml:space="preserve">84822010.</t>
  </si>
  <si>
    <t xml:space="preserve">DE CARGA RADIAL</t>
  </si>
  <si>
    <t xml:space="preserve">313</t>
  </si>
  <si>
    <t xml:space="preserve">ROLAMENTO RODA DIANT EXT</t>
  </si>
  <si>
    <t xml:space="preserve">314</t>
  </si>
  <si>
    <t xml:space="preserve">EMBREAGEM</t>
  </si>
  <si>
    <t xml:space="preserve">315</t>
  </si>
  <si>
    <t xml:space="preserve">ANEL</t>
  </si>
  <si>
    <t xml:space="preserve">73182100.</t>
  </si>
  <si>
    <t xml:space="preserve">ARRUELAS DE PRESSAO E OUTRAS ARRUELAS DE SEGURANCA</t>
  </si>
  <si>
    <t xml:space="preserve">28/03/2017</t>
  </si>
  <si>
    <t xml:space="preserve">317</t>
  </si>
  <si>
    <t xml:space="preserve">PASTA DE VEDACAO</t>
  </si>
  <si>
    <t xml:space="preserve">35069900.</t>
  </si>
  <si>
    <t xml:space="preserve">318</t>
  </si>
  <si>
    <t xml:space="preserve">SENSOR DE ROT RODA TRAS</t>
  </si>
  <si>
    <t xml:space="preserve">90329099.</t>
  </si>
  <si>
    <t xml:space="preserve">PARTES E ACESS.P/OUTS.APARELHOS AUTOMAT.P/REGULACAO,ETC</t>
  </si>
  <si>
    <t xml:space="preserve">319</t>
  </si>
  <si>
    <t xml:space="preserve">5W140</t>
  </si>
  <si>
    <t xml:space="preserve">LT</t>
  </si>
  <si>
    <t xml:space="preserve">320</t>
  </si>
  <si>
    <t xml:space="preserve">ABRACEDEIRA</t>
  </si>
  <si>
    <t xml:space="preserve">321</t>
  </si>
  <si>
    <t xml:space="preserve">RABO SUINO SALGADO PERGIGAO</t>
  </si>
  <si>
    <t xml:space="preserve">31/03/2017</t>
  </si>
  <si>
    <t xml:space="preserve">322</t>
  </si>
  <si>
    <t xml:space="preserve">BUCHO BOV CONG FRIBOI</t>
  </si>
  <si>
    <t xml:space="preserve">BUCHO</t>
  </si>
  <si>
    <t xml:space="preserve">05040090.</t>
  </si>
  <si>
    <t xml:space="preserve">BEXIGAS E ESTOMAGOS,DE ANIMAIS,EXC.PEIXES,FRESCAS,ETC.</t>
  </si>
  <si>
    <t xml:space="preserve">07/04/2017</t>
  </si>
  <si>
    <t xml:space="preserve">326</t>
  </si>
  <si>
    <t xml:space="preserve">AGULHA DISTANIA TEMPO 7D 180KM MTCO</t>
  </si>
  <si>
    <t xml:space="preserve">117</t>
  </si>
  <si>
    <t xml:space="preserve">FACANHA COM DE PECAS E SERV</t>
  </si>
  <si>
    <t xml:space="preserve">1 UN</t>
  </si>
  <si>
    <t xml:space="preserve">90299010.</t>
  </si>
  <si>
    <t xml:space="preserve">PARTES E ACESS.P/INDICADORES DE VELOCIDADE/TACOMETROS</t>
  </si>
  <si>
    <t xml:space="preserve">20/04/2017</t>
  </si>
  <si>
    <t xml:space="preserve">327</t>
  </si>
  <si>
    <t xml:space="preserve">CJ LAMINA TACOGRAFO MTCO 1390</t>
  </si>
  <si>
    <t xml:space="preserve">328</t>
  </si>
  <si>
    <t xml:space="preserve">EIXO TRANSICAO TACOGRAFO MTCO 1390</t>
  </si>
  <si>
    <t xml:space="preserve">329</t>
  </si>
  <si>
    <t xml:space="preserve">IMA RELOGIO TACOGRAFO MTCO 1390</t>
  </si>
  <si>
    <t xml:space="preserve">330</t>
  </si>
  <si>
    <t xml:space="preserve">KIT TAMPA VED INSTALACAO 1318</t>
  </si>
  <si>
    <t xml:space="preserve">331</t>
  </si>
  <si>
    <t xml:space="preserve">OLEO FREIO 500ML DOT4(CX C/20)</t>
  </si>
  <si>
    <t xml:space="preserve">24/04/2017</t>
  </si>
  <si>
    <t xml:space="preserve">332</t>
  </si>
  <si>
    <t xml:space="preserve">TAMPA COMB VW CONTELL/DELIVERY C/CHAVE</t>
  </si>
  <si>
    <t xml:space="preserve">333</t>
  </si>
  <si>
    <t xml:space="preserve">CJ ROLAMENTO</t>
  </si>
  <si>
    <t xml:space="preserve">334</t>
  </si>
  <si>
    <t xml:space="preserve">335</t>
  </si>
  <si>
    <t xml:space="preserve">EIXO PRINCIPAL</t>
  </si>
  <si>
    <t xml:space="preserve">336</t>
  </si>
  <si>
    <t xml:space="preserve">SINCRONIZADOR 3A/4A CAMBIO FSO4405C</t>
  </si>
  <si>
    <t xml:space="preserve">337</t>
  </si>
  <si>
    <t xml:space="preserve">SINCRONIZADOR COMPLETO5 RE</t>
  </si>
  <si>
    <t xml:space="preserve">338</t>
  </si>
  <si>
    <t xml:space="preserve">ANEL SINCRONIZADOR 4A/5A/RE CAMBIO</t>
  </si>
  <si>
    <t xml:space="preserve">339</t>
  </si>
  <si>
    <t xml:space="preserve">KIT ANEL TRAVA/ESPC</t>
  </si>
  <si>
    <t xml:space="preserve">340</t>
  </si>
  <si>
    <t xml:space="preserve">RETENTOR MURINGA</t>
  </si>
  <si>
    <t xml:space="preserve">40169300.</t>
  </si>
  <si>
    <t xml:space="preserve">JUNTAS, GAXETAS E SEMELHANTES</t>
  </si>
  <si>
    <t xml:space="preserve">341</t>
  </si>
  <si>
    <t xml:space="preserve">RETENTOR TRASEIRO</t>
  </si>
  <si>
    <t xml:space="preserve">342</t>
  </si>
  <si>
    <t xml:space="preserve">RETENTOR DIANTEIRO</t>
  </si>
  <si>
    <t xml:space="preserve">343</t>
  </si>
  <si>
    <t xml:space="preserve">DEFLETOR OLEO</t>
  </si>
  <si>
    <t xml:space="preserve">344</t>
  </si>
  <si>
    <t xml:space="preserve">CALCO PILOTO</t>
  </si>
  <si>
    <t xml:space="preserve">345</t>
  </si>
  <si>
    <t xml:space="preserve">CALCO DE BORRACHA</t>
  </si>
  <si>
    <t xml:space="preserve">346</t>
  </si>
  <si>
    <t xml:space="preserve">ANEL SICRONIZADOR 3A FSO4405C</t>
  </si>
  <si>
    <t xml:space="preserve">347</t>
  </si>
  <si>
    <t xml:space="preserve">SICRONIZADOR 1A/2A C/ANEIS</t>
  </si>
  <si>
    <t xml:space="preserve">348</t>
  </si>
  <si>
    <t xml:space="preserve">ROLAMENTO</t>
  </si>
  <si>
    <t xml:space="preserve">350</t>
  </si>
  <si>
    <t xml:space="preserve">IMPRESS ARGOX OS-214 PLUS</t>
  </si>
  <si>
    <t xml:space="preserve">120</t>
  </si>
  <si>
    <t xml:space="preserve">ALGE COMERCIO E SERICOS DA TECNOLOGIA LTDA</t>
  </si>
  <si>
    <t xml:space="preserve">84433299.</t>
  </si>
  <si>
    <t xml:space="preserve">26/04/2017</t>
  </si>
  <si>
    <t xml:space="preserve">351</t>
  </si>
  <si>
    <t xml:space="preserve">CHAPAS  RESINADAS</t>
  </si>
  <si>
    <t xml:space="preserve">RAIMUNDO NONATO XIMENES ALBUQUERQUE</t>
  </si>
  <si>
    <t xml:space="preserve">73145000.</t>
  </si>
  <si>
    <t xml:space="preserve">CHAPAS E TIRAS, DISTENDIDAS</t>
  </si>
  <si>
    <t xml:space="preserve">352</t>
  </si>
  <si>
    <t xml:space="preserve">JG LAMEIRA PRETO 50X50</t>
  </si>
  <si>
    <t xml:space="preserve">353</t>
  </si>
  <si>
    <t xml:space="preserve">CHAPA LAMEIRA 70CM</t>
  </si>
  <si>
    <t xml:space="preserve">354</t>
  </si>
  <si>
    <t xml:space="preserve">LAMEIRA PRETO 40X40</t>
  </si>
  <si>
    <t xml:space="preserve">40082100.</t>
  </si>
  <si>
    <t xml:space="preserve">CHAPAS, FOLHAS E TIRAS</t>
  </si>
  <si>
    <t xml:space="preserve">355</t>
  </si>
  <si>
    <t xml:space="preserve">ADESIVO P/ JUNTA MT (CX C/16PCS) JUNTEX</t>
  </si>
  <si>
    <t xml:space="preserve">35061090.</t>
  </si>
  <si>
    <t xml:space="preserve">356</t>
  </si>
  <si>
    <t xml:space="preserve">PS STANDART  BRANCO</t>
  </si>
  <si>
    <t xml:space="preserve">360</t>
  </si>
  <si>
    <t xml:space="preserve">ACTOS COMERCIO IMPORTACAO E EXPORTACAO EIRELI</t>
  </si>
  <si>
    <t xml:space="preserve">39203000.</t>
  </si>
  <si>
    <t xml:space="preserve">DE POLIMEROS DE ESTIRENO</t>
  </si>
  <si>
    <t xml:space="preserve">358</t>
  </si>
  <si>
    <t xml:space="preserve">LONA FREIO TRAS A/C/D40 F4000/4000</t>
  </si>
  <si>
    <t xml:space="preserve">359</t>
  </si>
  <si>
    <t xml:space="preserve">PNEU 205/70 R15</t>
  </si>
  <si>
    <t xml:space="preserve">ANTONIO EDNARDO LOPES - EPP</t>
  </si>
  <si>
    <t xml:space="preserve">EQUIPAMENTOS CD</t>
  </si>
  <si>
    <t xml:space="preserve">73144900.</t>
  </si>
  <si>
    <t xml:space="preserve">BOBINA PARA CALCULADORA</t>
  </si>
  <si>
    <t xml:space="preserve">FORTFITAS COMERCIO DEMATERIAL PARA ESCRITÓRIOS LTDA ME</t>
  </si>
  <si>
    <t xml:space="preserve">48025510.</t>
  </si>
  <si>
    <t xml:space="preserve">DE LARGURA NAO SUPERIOR A 15CM</t>
  </si>
  <si>
    <t xml:space="preserve">MOLA DT I PB 76 2X28X1732 CAM</t>
  </si>
  <si>
    <t xml:space="preserve">73181600.</t>
  </si>
  <si>
    <t xml:space="preserve">PORCAS</t>
  </si>
  <si>
    <t xml:space="preserve">362</t>
  </si>
  <si>
    <t xml:space="preserve">ROLAMENTO CARDAN 40MM BORRACHA MEDIA</t>
  </si>
  <si>
    <t xml:space="preserve">363</t>
  </si>
  <si>
    <t xml:space="preserve">ROLAMENTO DIANT INTERNO MBB</t>
  </si>
  <si>
    <t xml:space="preserve">364</t>
  </si>
  <si>
    <t xml:space="preserve">ROLDANA</t>
  </si>
  <si>
    <t xml:space="preserve">KG</t>
  </si>
  <si>
    <t xml:space="preserve">83022000.</t>
  </si>
  <si>
    <t xml:space="preserve">RODIZIOS</t>
  </si>
  <si>
    <t xml:space="preserve">365</t>
  </si>
  <si>
    <t xml:space="preserve">AMORTECEDOR TRASEIRO</t>
  </si>
  <si>
    <t xml:space="preserve">366</t>
  </si>
  <si>
    <t xml:space="preserve">METALON</t>
  </si>
  <si>
    <t xml:space="preserve">73066100.</t>
  </si>
  <si>
    <t xml:space="preserve">DE SECAO QUADRADA OU RETANGULAR</t>
  </si>
  <si>
    <t xml:space="preserve">367</t>
  </si>
  <si>
    <t xml:space="preserve">BR CHATA</t>
  </si>
  <si>
    <t xml:space="preserve">72149100.</t>
  </si>
  <si>
    <t xml:space="preserve">DE SECAO TRANSVERSAL RETANGULAR</t>
  </si>
  <si>
    <t xml:space="preserve">368</t>
  </si>
  <si>
    <t xml:space="preserve">EMBUCHAMENTO C CHIME</t>
  </si>
  <si>
    <t xml:space="preserve">369</t>
  </si>
  <si>
    <t xml:space="preserve">ROLAMENTO DIANT EXTERNO MBB</t>
  </si>
  <si>
    <t xml:space="preserve">370</t>
  </si>
  <si>
    <t xml:space="preserve">BUCHA BARRA ESTAB</t>
  </si>
  <si>
    <t xml:space="preserve">371</t>
  </si>
  <si>
    <t xml:space="preserve">MORTADELA SADIA MISTA 3,5 KG</t>
  </si>
  <si>
    <t xml:space="preserve">MORTADELA</t>
  </si>
  <si>
    <t xml:space="preserve">CX +/- 12 KG</t>
  </si>
  <si>
    <t xml:space="preserve">372</t>
  </si>
  <si>
    <t xml:space="preserve">AGUA SANITARIA 5L CLEAR MIX</t>
  </si>
  <si>
    <t xml:space="preserve">122</t>
  </si>
  <si>
    <t xml:space="preserve">DIMALI DISTR.DE MAT.DE LIMPEZA ME</t>
  </si>
  <si>
    <t xml:space="preserve">27/04/2017</t>
  </si>
  <si>
    <t xml:space="preserve">373</t>
  </si>
  <si>
    <t xml:space="preserve">ALCOOL 70 ETILICO 5LT AUDAX</t>
  </si>
  <si>
    <t xml:space="preserve">109</t>
  </si>
  <si>
    <t xml:space="preserve">PRODUTO DE LIMPEZA</t>
  </si>
  <si>
    <t xml:space="preserve">38089419.</t>
  </si>
  <si>
    <t xml:space="preserve">374</t>
  </si>
  <si>
    <t xml:space="preserve">TE C ROSCA</t>
  </si>
  <si>
    <t xml:space="preserve">GURGEL COM DE MAT P CONSTRUÇÃO LTDA</t>
  </si>
  <si>
    <t xml:space="preserve">39174090.</t>
  </si>
  <si>
    <t xml:space="preserve">375</t>
  </si>
  <si>
    <t xml:space="preserve">DESINFETANTE 5L</t>
  </si>
  <si>
    <t xml:space="preserve">33021000.</t>
  </si>
  <si>
    <t xml:space="preserve">DOS TIPOS UTILIZADOS PARA AS INDUSTRIAS ALIMENTARES OU DE BE</t>
  </si>
  <si>
    <t xml:space="preserve">376</t>
  </si>
  <si>
    <t xml:space="preserve">ESPONJA DUPLA FACE BAKANINHA</t>
  </si>
  <si>
    <t xml:space="preserve">377</t>
  </si>
  <si>
    <t xml:space="preserve">FIBRA LIMPEZA GERAL C/ 5 UND 102X230</t>
  </si>
  <si>
    <t xml:space="preserve">68053090.</t>
  </si>
  <si>
    <t xml:space="preserve">378</t>
  </si>
  <si>
    <t xml:space="preserve">PANO CHAO</t>
  </si>
  <si>
    <t xml:space="preserve">63071000.</t>
  </si>
  <si>
    <t xml:space="preserve">RODILHAS, ESFREGOES, PANOS DE PRATO OU DE COZINHA, FLANELAS</t>
  </si>
  <si>
    <t xml:space="preserve">379</t>
  </si>
  <si>
    <t xml:space="preserve">PAPEL HIG FS 30M C/ 4 ROLOS</t>
  </si>
  <si>
    <t xml:space="preserve">380</t>
  </si>
  <si>
    <t xml:space="preserve">RODO PLASTICO ESSENCIALE</t>
  </si>
  <si>
    <t xml:space="preserve">PRODUTOS EM GERAL</t>
  </si>
  <si>
    <t xml:space="preserve">96039000.</t>
  </si>
  <si>
    <t xml:space="preserve">OUTRAS VASSOURAS,ESCOVAS,PINCEIS,ESPANADORES,RODOS,ETC.</t>
  </si>
  <si>
    <t xml:space="preserve">381</t>
  </si>
  <si>
    <t xml:space="preserve">SABONETE LIQUIDO 5L BRAZIL</t>
  </si>
  <si>
    <t xml:space="preserve">34012090.</t>
  </si>
  <si>
    <t xml:space="preserve">382</t>
  </si>
  <si>
    <t xml:space="preserve">SUPORTE PARA FIBRA  P/ CABO LT BETTANIN</t>
  </si>
  <si>
    <t xml:space="preserve">383</t>
  </si>
  <si>
    <t xml:space="preserve">TOUCA CLIPADA  DESC C/ 100</t>
  </si>
  <si>
    <t xml:space="preserve">63079010.</t>
  </si>
  <si>
    <t xml:space="preserve">DE FALSO TECIDO</t>
  </si>
  <si>
    <t xml:space="preserve">384</t>
  </si>
  <si>
    <t xml:space="preserve">VASSOURA PELO PLASTICA 40CM ESCOVABRAS</t>
  </si>
  <si>
    <t xml:space="preserve">385</t>
  </si>
  <si>
    <t xml:space="preserve">OLEO MTR DIESEL 15W 40 DEL VAC GRANEL</t>
  </si>
  <si>
    <t xml:space="preserve">386</t>
  </si>
  <si>
    <t xml:space="preserve">ESTOPA LIMPEZA</t>
  </si>
  <si>
    <t xml:space="preserve">387</t>
  </si>
  <si>
    <t xml:space="preserve">FILTRO COMB VW DELIVERY</t>
  </si>
  <si>
    <t xml:space="preserve">84212300.</t>
  </si>
  <si>
    <t xml:space="preserve">PARA FILTRAR OLEOS MINERAIS NOS MOTORES DE IGNICAO POR CENTE</t>
  </si>
  <si>
    <t xml:space="preserve">388</t>
  </si>
  <si>
    <t xml:space="preserve">FILTRO</t>
  </si>
  <si>
    <t xml:space="preserve">84219999.</t>
  </si>
  <si>
    <t xml:space="preserve">389</t>
  </si>
  <si>
    <t xml:space="preserve">LAMP 67 1 POLO 24V</t>
  </si>
  <si>
    <t xml:space="preserve">106</t>
  </si>
  <si>
    <t xml:space="preserve">LAMPADAS P/ FAROL</t>
  </si>
  <si>
    <t xml:space="preserve">85392990.</t>
  </si>
  <si>
    <t xml:space="preserve">390</t>
  </si>
  <si>
    <t xml:space="preserve">LAMP 1034 2 POLOS 24V PNP</t>
  </si>
  <si>
    <t xml:space="preserve">391</t>
  </si>
  <si>
    <t xml:space="preserve">FILTRO SEPARADOR DAGUA RACOR VW MTR MAN</t>
  </si>
  <si>
    <t xml:space="preserve">84212990.</t>
  </si>
  <si>
    <t xml:space="preserve">392</t>
  </si>
  <si>
    <t xml:space="preserve">CJ BUCHA ELASTICA</t>
  </si>
  <si>
    <t xml:space="preserve">CEARA DIESEL S/A</t>
  </si>
  <si>
    <t xml:space="preserve">393</t>
  </si>
  <si>
    <t xml:space="preserve">AMORTECEDOR</t>
  </si>
  <si>
    <t xml:space="preserve">JOICE SILVA DO NASCIMENTO</t>
  </si>
  <si>
    <t xml:space="preserve">394</t>
  </si>
  <si>
    <t xml:space="preserve">PARAFUSO</t>
  </si>
  <si>
    <t xml:space="preserve">94</t>
  </si>
  <si>
    <t xml:space="preserve">PILHA</t>
  </si>
  <si>
    <t xml:space="preserve">73181500.</t>
  </si>
  <si>
    <t xml:space="preserve">OUTROS PARAFUSOS E PINOS OU PERNOS, MESMO COM AS PORCAS E AR</t>
  </si>
  <si>
    <t xml:space="preserve">395</t>
  </si>
  <si>
    <t xml:space="preserve">PORCA</t>
  </si>
  <si>
    <t xml:space="preserve">396</t>
  </si>
  <si>
    <t xml:space="preserve">DESENGRIPANTE</t>
  </si>
  <si>
    <t xml:space="preserve">84148021.</t>
  </si>
  <si>
    <t xml:space="preserve">TURBOALIMENTADORES DE AR, DE PESO INFERIOR OU IGUAL A 50KG P</t>
  </si>
  <si>
    <t xml:space="preserve">397</t>
  </si>
  <si>
    <t xml:space="preserve">THINNER SOLV 101</t>
  </si>
  <si>
    <t xml:space="preserve">38140090.</t>
  </si>
  <si>
    <t xml:space="preserve">398</t>
  </si>
  <si>
    <t xml:space="preserve">ESTOPA ALVEJADA 200G</t>
  </si>
  <si>
    <t xml:space="preserve">53013000.</t>
  </si>
  <si>
    <t xml:space="preserve">ESTOPAS E DESPERDICIOS DE LINHO</t>
  </si>
  <si>
    <t xml:space="preserve">399</t>
  </si>
  <si>
    <t xml:space="preserve">OLEO INFILREX LITRO</t>
  </si>
  <si>
    <t xml:space="preserve">400</t>
  </si>
  <si>
    <t xml:space="preserve">VEDADOR SINT</t>
  </si>
  <si>
    <t xml:space="preserve">401</t>
  </si>
  <si>
    <t xml:space="preserve">ANEL DE VEDACAO</t>
  </si>
  <si>
    <t xml:space="preserve">74152100.</t>
  </si>
  <si>
    <t xml:space="preserve">ARRUELAS (INCLUIDAS AS DE PRESSAO)</t>
  </si>
  <si>
    <t xml:space="preserve">402</t>
  </si>
  <si>
    <t xml:space="preserve">CJ ELEMENTO DO FILTRO CO</t>
  </si>
  <si>
    <t xml:space="preserve">403</t>
  </si>
  <si>
    <t xml:space="preserve">JOGO DE PECAS DO ELEMENTO DO FILTRO OLEO</t>
  </si>
  <si>
    <t xml:space="preserve">404</t>
  </si>
  <si>
    <t xml:space="preserve">ELEMENTO FILTRO COMBUST RACOR</t>
  </si>
  <si>
    <t xml:space="preserve">405</t>
  </si>
  <si>
    <t xml:space="preserve">OLEO HD 85W90 GR</t>
  </si>
  <si>
    <t xml:space="preserve">406</t>
  </si>
  <si>
    <t xml:space="preserve">OLEO MX 15W40 GRANEL</t>
  </si>
  <si>
    <t xml:space="preserve">407</t>
  </si>
  <si>
    <t xml:space="preserve">PATINHO BOV RESF FORTEFRIGO</t>
  </si>
  <si>
    <t xml:space="preserve">02/05/2017</t>
  </si>
  <si>
    <t xml:space="preserve">408</t>
  </si>
  <si>
    <t xml:space="preserve">BIFE DO VAZIO CONG FRIBOI</t>
  </si>
  <si>
    <t xml:space="preserve">11/05/2017</t>
  </si>
  <si>
    <t xml:space="preserve">409</t>
  </si>
  <si>
    <t xml:space="preserve">LOMBINHO BOV CONG FRIBOI</t>
  </si>
  <si>
    <t xml:space="preserve">411</t>
  </si>
  <si>
    <t xml:space="preserve">CAMARA DE AR</t>
  </si>
  <si>
    <t xml:space="preserve">40139000.</t>
  </si>
  <si>
    <t xml:space="preserve">17/05/2017</t>
  </si>
  <si>
    <t xml:space="preserve">412</t>
  </si>
  <si>
    <t xml:space="preserve">CORRETIVO</t>
  </si>
  <si>
    <t xml:space="preserve">73259990.</t>
  </si>
  <si>
    <t xml:space="preserve">413</t>
  </si>
  <si>
    <t xml:space="preserve">MOLA DT 2V PARAB AGRALE MA12T 2005</t>
  </si>
  <si>
    <t xml:space="preserve">414</t>
  </si>
  <si>
    <t xml:space="preserve">CALCO GUIA FX MOLA DT VW 1618021017210</t>
  </si>
  <si>
    <t xml:space="preserve">73202010.</t>
  </si>
  <si>
    <t xml:space="preserve">CILINDRICAS</t>
  </si>
  <si>
    <t xml:space="preserve">415</t>
  </si>
  <si>
    <t xml:space="preserve">DISCO TACOGRAFOS 180KM</t>
  </si>
  <si>
    <t xml:space="preserve">48234000.</t>
  </si>
  <si>
    <t xml:space="preserve">PAPEISDIAGRAMA PARA APARELHOS REGISTRADORES, EM BOBINAS, EM</t>
  </si>
  <si>
    <t xml:space="preserve">416</t>
  </si>
  <si>
    <t xml:space="preserve">DISCO TACOGRAFOS 125KM</t>
  </si>
  <si>
    <t xml:space="preserve">421</t>
  </si>
  <si>
    <t xml:space="preserve">TRASEIRO TOCO RESF VACA FORTEFRIGO</t>
  </si>
  <si>
    <t xml:space="preserve">PÇ +/- 45 KG</t>
  </si>
  <si>
    <t xml:space="preserve">22/05/2017</t>
  </si>
  <si>
    <t xml:space="preserve">422</t>
  </si>
  <si>
    <t xml:space="preserve">BISTECA RESF FORTEFRIGO</t>
  </si>
  <si>
    <t xml:space="preserve">PÇ +/- 12 KG</t>
  </si>
  <si>
    <t xml:space="preserve">423</t>
  </si>
  <si>
    <t xml:space="preserve">TRASEIRO TOCO  RESF FORTEFRIGO</t>
  </si>
  <si>
    <t xml:space="preserve">24/05/2017</t>
  </si>
  <si>
    <t xml:space="preserve">424</t>
  </si>
  <si>
    <t xml:space="preserve">BUCHA ESTAB DT TS MB 710</t>
  </si>
  <si>
    <t xml:space="preserve">25/05/2017</t>
  </si>
  <si>
    <t xml:space="preserve">425</t>
  </si>
  <si>
    <t xml:space="preserve">BUCHA MOLA DT TS PARTE TS TS F30 4MM MBB</t>
  </si>
  <si>
    <t xml:space="preserve">426</t>
  </si>
  <si>
    <t xml:space="preserve">FLANELA</t>
  </si>
  <si>
    <t xml:space="preserve">427</t>
  </si>
  <si>
    <t xml:space="preserve">ACOPL 4P</t>
  </si>
  <si>
    <t xml:space="preserve">85366910.</t>
  </si>
  <si>
    <t xml:space="preserve">TOMADA POLARIZADA E TOMADA BLINDADA</t>
  </si>
  <si>
    <t xml:space="preserve">428</t>
  </si>
  <si>
    <t xml:space="preserve">SECANTE</t>
  </si>
  <si>
    <t xml:space="preserve">95</t>
  </si>
  <si>
    <t xml:space="preserve">TINTAS EM GERAL</t>
  </si>
  <si>
    <t xml:space="preserve">39095011.</t>
  </si>
  <si>
    <t xml:space="preserve">SOLUCOES EM SOLVENTES ORGANICOS</t>
  </si>
  <si>
    <t xml:space="preserve">429</t>
  </si>
  <si>
    <t xml:space="preserve">CB FLEX</t>
  </si>
  <si>
    <t xml:space="preserve">85444900.</t>
  </si>
  <si>
    <t xml:space="preserve">OUTROS CONDUTORES ELETR.P/TENSAO&lt;=80V</t>
  </si>
  <si>
    <t xml:space="preserve">430</t>
  </si>
  <si>
    <t xml:space="preserve">MOLA DT 1 70X10X1550 650X900 S BUCHAS</t>
  </si>
  <si>
    <t xml:space="preserve">431</t>
  </si>
  <si>
    <t xml:space="preserve">ESMPU CINZA</t>
  </si>
  <si>
    <t xml:space="preserve">32089010.</t>
  </si>
  <si>
    <t xml:space="preserve">TINTAS</t>
  </si>
  <si>
    <t xml:space="preserve">432</t>
  </si>
  <si>
    <t xml:space="preserve">PORCA SXT UNC</t>
  </si>
  <si>
    <t xml:space="preserve">433</t>
  </si>
  <si>
    <t xml:space="preserve">LIMPADORA DE PISOS BD 530</t>
  </si>
  <si>
    <t xml:space="preserve">128</t>
  </si>
  <si>
    <t xml:space="preserve">KARCHER INDUSTRIA E COMERCIO LTDA</t>
  </si>
  <si>
    <t xml:space="preserve">EQUIPAMENTO DE LIMPEZA</t>
  </si>
  <si>
    <t xml:space="preserve">84798999.</t>
  </si>
  <si>
    <t xml:space="preserve">31/05/2017</t>
  </si>
  <si>
    <t xml:space="preserve">435</t>
  </si>
  <si>
    <t xml:space="preserve">DIANTEIRO RESF LKJ FRIGORIFICO</t>
  </si>
  <si>
    <t xml:space="preserve">08/06/2017</t>
  </si>
  <si>
    <t xml:space="preserve">436</t>
  </si>
  <si>
    <t xml:space="preserve">TRASEIRO RESF LKJ FRIGORIFICO</t>
  </si>
  <si>
    <t xml:space="preserve">439</t>
  </si>
  <si>
    <t xml:space="preserve">FRALDAO CONG RIO MARIA</t>
  </si>
  <si>
    <t xml:space="preserve">75</t>
  </si>
  <si>
    <t xml:space="preserve">FRAUDAO</t>
  </si>
  <si>
    <t xml:space="preserve">PÇ +/- 2KG</t>
  </si>
  <si>
    <t xml:space="preserve">13/06/2017</t>
  </si>
  <si>
    <t xml:space="preserve">440</t>
  </si>
  <si>
    <t xml:space="preserve">TRASEIRO TOCO RESF LKJ</t>
  </si>
  <si>
    <t xml:space="preserve">PÇ +/- 45KG</t>
  </si>
  <si>
    <t xml:space="preserve">14/06/2017</t>
  </si>
  <si>
    <t xml:space="preserve">441</t>
  </si>
  <si>
    <t xml:space="preserve">BISTECA BOV RESF LKJ</t>
  </si>
  <si>
    <t xml:space="preserve">PÇ +/- 12KG</t>
  </si>
  <si>
    <t xml:space="preserve">443</t>
  </si>
  <si>
    <t xml:space="preserve">TRASEIRO RESF BOV PADRAO</t>
  </si>
  <si>
    <t xml:space="preserve">1183</t>
  </si>
  <si>
    <t xml:space="preserve">BN CARNES DISTRIBUIDORA LTDA</t>
  </si>
  <si>
    <t xml:space="preserve">PC +/- 60KG</t>
  </si>
  <si>
    <t xml:space="preserve">19/06/2017</t>
  </si>
  <si>
    <t xml:space="preserve">446</t>
  </si>
  <si>
    <t xml:space="preserve">195/50R16 P7CINT 84VPN/ IP: 2692900</t>
  </si>
  <si>
    <t xml:space="preserve">22/06/2017</t>
  </si>
  <si>
    <t xml:space="preserve">447</t>
  </si>
  <si>
    <t xml:space="preserve">CALCO SUSP FINO</t>
  </si>
  <si>
    <t xml:space="preserve">448</t>
  </si>
  <si>
    <t xml:space="preserve">CORREIA ALT/GIR/BBA/VENT MBB OM904/906</t>
  </si>
  <si>
    <t xml:space="preserve">40103100.</t>
  </si>
  <si>
    <t xml:space="preserve">CORREIAS DE TRANSMISSAO SEM FIM, DE SECAO TRAPEZOIDAL, ESTRI</t>
  </si>
  <si>
    <t xml:space="preserve">449</t>
  </si>
  <si>
    <t xml:space="preserve">BOMBA DAGUA F4000 99/CAMINHAO C1215/1415</t>
  </si>
  <si>
    <t xml:space="preserve">84133090.</t>
  </si>
  <si>
    <t xml:space="preserve">450</t>
  </si>
  <si>
    <t xml:space="preserve">COPO DESC 150ML FC</t>
  </si>
  <si>
    <t xml:space="preserve">39249000.</t>
  </si>
  <si>
    <t xml:space="preserve">452</t>
  </si>
  <si>
    <t xml:space="preserve">DETERGENTE LIQUIDO 5L BRAZIL</t>
  </si>
  <si>
    <t xml:space="preserve">453</t>
  </si>
  <si>
    <t xml:space="preserve">PAPEL TOALHA C/2.400</t>
  </si>
  <si>
    <t xml:space="preserve">48182000.</t>
  </si>
  <si>
    <t xml:space="preserve">LENCOS (INCLUIDOS OS DE MAQUILAGEM) E TOALHAS DE MAO</t>
  </si>
  <si>
    <t xml:space="preserve">454</t>
  </si>
  <si>
    <t xml:space="preserve">SABAO EM PO SACHET 500G</t>
  </si>
  <si>
    <t xml:space="preserve">34022000.</t>
  </si>
  <si>
    <t xml:space="preserve">PREPARACOES ACONDICIONADAS PARA VENDA A RETALHO</t>
  </si>
  <si>
    <t xml:space="preserve">455</t>
  </si>
  <si>
    <t xml:space="preserve">TRASEIRO RESF VACA BOI BRASIL</t>
  </si>
  <si>
    <t xml:space="preserve">IND E COM DE CARNES E DERIVADOS BOI BRASIL LTDA</t>
  </si>
  <si>
    <t xml:space="preserve">TRASEIRO DE VACA</t>
  </si>
  <si>
    <t xml:space="preserve">PC +/- 50 KG</t>
  </si>
  <si>
    <t xml:space="preserve">26/06/2017</t>
  </si>
  <si>
    <t xml:space="preserve">459</t>
  </si>
  <si>
    <t xml:space="preserve">CHAVE SETA MBB 710</t>
  </si>
  <si>
    <t xml:space="preserve">85365090.</t>
  </si>
  <si>
    <t xml:space="preserve">27/06/2017</t>
  </si>
  <si>
    <t xml:space="preserve">460</t>
  </si>
  <si>
    <t xml:space="preserve">RELE PISCA LINHA PESADA/ONIBUS/VOLVO</t>
  </si>
  <si>
    <t xml:space="preserve">85364100.</t>
  </si>
  <si>
    <t xml:space="preserve">PARA TENSAO NAO SUPERIOR A 60V</t>
  </si>
  <si>
    <t xml:space="preserve">464</t>
  </si>
  <si>
    <t xml:space="preserve">TRASEIRO RESF VACA LKJ</t>
  </si>
  <si>
    <t xml:space="preserve">28/06/2017</t>
  </si>
  <si>
    <t xml:space="preserve">465</t>
  </si>
  <si>
    <t xml:space="preserve">TRASEIRO TOCO VACA LKJ</t>
  </si>
  <si>
    <t xml:space="preserve">466</t>
  </si>
  <si>
    <t xml:space="preserve">TRASEIRO TOCO VACA RIO MARIA</t>
  </si>
  <si>
    <t xml:space="preserve">29/06/2017</t>
  </si>
  <si>
    <t xml:space="preserve">468</t>
  </si>
  <si>
    <t xml:space="preserve">PATINHO BOV CONG FRIBOI</t>
  </si>
  <si>
    <t xml:space="preserve">PATINHO CONGELADO</t>
  </si>
  <si>
    <t xml:space="preserve">10/07/2017</t>
  </si>
  <si>
    <t xml:space="preserve">472</t>
  </si>
  <si>
    <t xml:space="preserve">DIANTEIRO RESF DL</t>
  </si>
  <si>
    <t xml:space="preserve">R LOPES DE OLIVEIRA ME</t>
  </si>
  <si>
    <t xml:space="preserve">13/07/2017</t>
  </si>
  <si>
    <t xml:space="preserve">473</t>
  </si>
  <si>
    <t xml:space="preserve">COXAO MOLE CONG FRIBOI</t>
  </si>
  <si>
    <t xml:space="preserve">73</t>
  </si>
  <si>
    <t xml:space="preserve">COXAO MOLE CONGELADO</t>
  </si>
  <si>
    <t xml:space="preserve">19/07/2017</t>
  </si>
  <si>
    <t xml:space="preserve">474</t>
  </si>
  <si>
    <t xml:space="preserve">KIT VENTILADOR AXIAL RAC 4 E - 450MM - C</t>
  </si>
  <si>
    <t xml:space="preserve">BLC IND COM DE PECAS PARA REFRIGERACAO EIRELI</t>
  </si>
  <si>
    <t xml:space="preserve">84145990.</t>
  </si>
  <si>
    <t xml:space="preserve">25/07/2017</t>
  </si>
  <si>
    <t xml:space="preserve">475</t>
  </si>
  <si>
    <t xml:space="preserve">CHAVE AC P/ APROX</t>
  </si>
  <si>
    <t xml:space="preserve">DTS COM DE EQUIP DE SEGURANCA ELE</t>
  </si>
  <si>
    <t xml:space="preserve">27/07/2017</t>
  </si>
  <si>
    <t xml:space="preserve">476</t>
  </si>
  <si>
    <t xml:space="preserve">CAFE</t>
  </si>
  <si>
    <t xml:space="preserve">COMERCIAL JW DE ALIMENTOS EIRELI</t>
  </si>
  <si>
    <t xml:space="preserve">CX</t>
  </si>
  <si>
    <t xml:space="preserve">20055100.</t>
  </si>
  <si>
    <t xml:space="preserve">FEIJAO EM GRAO,PREPARADO OU CONSERVADO,NAO CONGELADO</t>
  </si>
  <si>
    <t xml:space="preserve">477</t>
  </si>
  <si>
    <t xml:space="preserve">VL 1040 - USO GERAL 900ML</t>
  </si>
  <si>
    <t xml:space="preserve">VELOFLEX INDUSTRIA DE PRODUTOS QUIMICOS E REP LTDA</t>
  </si>
  <si>
    <t xml:space="preserve">478</t>
  </si>
  <si>
    <t xml:space="preserve">PRIMER VELOPOX</t>
  </si>
  <si>
    <t xml:space="preserve">479</t>
  </si>
  <si>
    <t xml:space="preserve">480</t>
  </si>
  <si>
    <t xml:space="preserve">PORCA SXT 12MM 1 75 MA</t>
  </si>
  <si>
    <t xml:space="preserve">50</t>
  </si>
  <si>
    <t xml:space="preserve">TRUCKAO SERVICOS MECANICOS AUTOMOTIVOS LTDA</t>
  </si>
  <si>
    <t xml:space="preserve">481</t>
  </si>
  <si>
    <t xml:space="preserve">CRAVO MOLA LISO CAB REDONDA 3 8X1</t>
  </si>
  <si>
    <t xml:space="preserve">482</t>
  </si>
  <si>
    <t xml:space="preserve">GRAMPO MOLA 5 8X72X220D TS MICRO LO 81</t>
  </si>
  <si>
    <t xml:space="preserve">73181900.</t>
  </si>
  <si>
    <t xml:space="preserve">483</t>
  </si>
  <si>
    <t xml:space="preserve">PARAF SXT 12X35 MB FINA P1 5 RP CL8 8</t>
  </si>
  <si>
    <t xml:space="preserve">484</t>
  </si>
  <si>
    <t xml:space="preserve">FECH DIGITAL FR</t>
  </si>
  <si>
    <t xml:space="preserve">485</t>
  </si>
  <si>
    <t xml:space="preserve">CAR ACION APROX</t>
  </si>
  <si>
    <t xml:space="preserve">486</t>
  </si>
  <si>
    <t xml:space="preserve">MAO FRANCESA</t>
  </si>
  <si>
    <t xml:space="preserve">73089010.</t>
  </si>
  <si>
    <t xml:space="preserve">CHAPAS, BARRAS, PERFIS, TUBOS E SEMELHANTES, PROPRIOS PARA C</t>
  </si>
  <si>
    <t xml:space="preserve">487</t>
  </si>
  <si>
    <t xml:space="preserve">PARAF SXT 3 8X4POL R1 UNC16</t>
  </si>
  <si>
    <t xml:space="preserve">489</t>
  </si>
  <si>
    <t xml:space="preserve">LAMPADA P/ FREIOS/RE 2POLOS PINOS</t>
  </si>
  <si>
    <t xml:space="preserve">85392910.</t>
  </si>
  <si>
    <t xml:space="preserve">PARA TENSAO INFERIOR OU IGUAL A 15V</t>
  </si>
  <si>
    <t xml:space="preserve">490</t>
  </si>
  <si>
    <t xml:space="preserve">LAMPADA P/ PISCA 1 POLO 12V UNIVERSAL</t>
  </si>
  <si>
    <t xml:space="preserve">491</t>
  </si>
  <si>
    <t xml:space="preserve">LAMPADA P/ FAROL 75/70W</t>
  </si>
  <si>
    <t xml:space="preserve">85392110.</t>
  </si>
  <si>
    <t xml:space="preserve">492</t>
  </si>
  <si>
    <t xml:space="preserve">FLANGE ENTALHADO MBB 809 812 912</t>
  </si>
  <si>
    <t xml:space="preserve">493</t>
  </si>
  <si>
    <t xml:space="preserve">LAMP H7 24V 70W</t>
  </si>
  <si>
    <t xml:space="preserve">85392190.</t>
  </si>
  <si>
    <t xml:space="preserve">494</t>
  </si>
  <si>
    <t xml:space="preserve">OLEO CX CAMBIO DIF SAE90 API GL5 1L</t>
  </si>
  <si>
    <t xml:space="preserve">495</t>
  </si>
  <si>
    <t xml:space="preserve">PAST FR DT SYL 1391</t>
  </si>
  <si>
    <t xml:space="preserve">29/07/2017</t>
  </si>
  <si>
    <t xml:space="preserve">496</t>
  </si>
  <si>
    <t xml:space="preserve">DISCO FR DT VENT RCDI07530</t>
  </si>
  <si>
    <t xml:space="preserve">497</t>
  </si>
  <si>
    <t xml:space="preserve">FILTRO AR ELEMENTO  MBB VW</t>
  </si>
  <si>
    <t xml:space="preserve">498</t>
  </si>
  <si>
    <t xml:space="preserve">FILTRO COMB  OM904</t>
  </si>
  <si>
    <t xml:space="preserve">499</t>
  </si>
  <si>
    <t xml:space="preserve">FILTRO LUBMTR MBB OM364 364A LA</t>
  </si>
  <si>
    <t xml:space="preserve">500</t>
  </si>
  <si>
    <t xml:space="preserve">LUVA CARDAN DESLIZANTE 16E INT MBB 809 8</t>
  </si>
  <si>
    <t xml:space="preserve">501</t>
  </si>
  <si>
    <t xml:space="preserve">PONTEIRA CARDAN 16E MBB L809 812</t>
  </si>
  <si>
    <t xml:space="preserve">502</t>
  </si>
  <si>
    <t xml:space="preserve">RET PINHO DIF MBB L608D 709 712C 912C 9</t>
  </si>
  <si>
    <t xml:space="preserve">503</t>
  </si>
  <si>
    <t xml:space="preserve">CRUZETA CARDAN MBB 710 912 LO 809 812 OF</t>
  </si>
  <si>
    <t xml:space="preserve">504</t>
  </si>
  <si>
    <t xml:space="preserve">FILTRO COMB S DRENO MBB L710 LO712 OM364</t>
  </si>
  <si>
    <t xml:space="preserve">506</t>
  </si>
  <si>
    <t xml:space="preserve">BISTECA BOV CONG FRIGOTIL</t>
  </si>
  <si>
    <t xml:space="preserve">BISTECAS</t>
  </si>
  <si>
    <t xml:space="preserve">02022090.</t>
  </si>
  <si>
    <t xml:space="preserve">OUTRAS PECAS NAO DESOSSADAS DE BOVINO,CONGELADAS</t>
  </si>
  <si>
    <t xml:space="preserve">03/08/2017</t>
  </si>
  <si>
    <t xml:space="preserve">508</t>
  </si>
  <si>
    <t xml:space="preserve">PARAF CENTRO 12X07 CB 8 8</t>
  </si>
  <si>
    <t xml:space="preserve">08/08/2017</t>
  </si>
  <si>
    <t xml:space="preserve">509</t>
  </si>
  <si>
    <t xml:space="preserve">MOLA TS 4 70X13X1094 MBB CAM L710 BUS</t>
  </si>
  <si>
    <t xml:space="preserve">510</t>
  </si>
  <si>
    <t xml:space="preserve">CONTRAPINO 4X40</t>
  </si>
  <si>
    <t xml:space="preserve">73182400.</t>
  </si>
  <si>
    <t xml:space="preserve">CHAVETAS, CAVILHAS E CONTRAPINOS</t>
  </si>
  <si>
    <t xml:space="preserve">511</t>
  </si>
  <si>
    <t xml:space="preserve">BARRA DIR AXIAL HYUNDAI HR 04</t>
  </si>
  <si>
    <t xml:space="preserve">87089412.</t>
  </si>
  <si>
    <t xml:space="preserve">BARRA DE DIRECAO P/"DUMPERS" E TRATORES EXC.RODOVIARIOS</t>
  </si>
  <si>
    <t xml:space="preserve">BLUE AIR ARLA 32 GALAO 20L TS</t>
  </si>
  <si>
    <t xml:space="preserve">09/08/2017</t>
  </si>
  <si>
    <t xml:space="preserve">513</t>
  </si>
  <si>
    <t xml:space="preserve">COXAO MOLE RESF MASTER BOI</t>
  </si>
  <si>
    <t xml:space="preserve">14/08/2017</t>
  </si>
  <si>
    <t xml:space="preserve">514</t>
  </si>
  <si>
    <t xml:space="preserve">COXAO DURO RESF MASTER BOI</t>
  </si>
  <si>
    <t xml:space="preserve">515</t>
  </si>
  <si>
    <t xml:space="preserve">CONTRA FILE S/ OSSO RESF MASTER BOI</t>
  </si>
  <si>
    <t xml:space="preserve">CONTRA FILE RESF</t>
  </si>
  <si>
    <t xml:space="preserve">516</t>
  </si>
  <si>
    <t xml:space="preserve">ADITIVO RAD</t>
  </si>
  <si>
    <t xml:space="preserve">38112120.</t>
  </si>
  <si>
    <t xml:space="preserve">ANTIDESGASTES, ANTICORROSIVOS OU ANTIOXIDANTES, CONTENDO DIA</t>
  </si>
  <si>
    <t xml:space="preserve">17/08/2017</t>
  </si>
  <si>
    <t xml:space="preserve">517</t>
  </si>
  <si>
    <t xml:space="preserve">BOMBA DANCO</t>
  </si>
  <si>
    <t xml:space="preserve">LOJA DAS FERRAGENS COMERCIO DE FERRAMENTAS LTDA ME</t>
  </si>
  <si>
    <t xml:space="preserve">84137080.</t>
  </si>
  <si>
    <t xml:space="preserve">OUTRAS, DE VAZAO INFERIOR OU IGUAL A 300 LITROS POR MINUTO</t>
  </si>
  <si>
    <t xml:space="preserve">518</t>
  </si>
  <si>
    <t xml:space="preserve">COXIM RAD SUP MBB 608D 302 206 207 307 3</t>
  </si>
  <si>
    <t xml:space="preserve">519</t>
  </si>
  <si>
    <t xml:space="preserve">TUBO ESPACADOR BOMBA DAGUA MBB TR 0M366</t>
  </si>
  <si>
    <t xml:space="preserve">520</t>
  </si>
  <si>
    <t xml:space="preserve">AGUA DESTILADA</t>
  </si>
  <si>
    <t xml:space="preserve">28070010.</t>
  </si>
  <si>
    <t xml:space="preserve">ACIDO SULFURICO</t>
  </si>
  <si>
    <t xml:space="preserve">521</t>
  </si>
  <si>
    <t xml:space="preserve">ABRACADEIRA 1 1 2 X 2 P MANG</t>
  </si>
  <si>
    <t xml:space="preserve">522</t>
  </si>
  <si>
    <t xml:space="preserve">SILICONE</t>
  </si>
  <si>
    <t xml:space="preserve">35069190.</t>
  </si>
  <si>
    <t xml:space="preserve">523</t>
  </si>
  <si>
    <t xml:space="preserve">CORREIA DUPLA 2X13X1275</t>
  </si>
  <si>
    <t xml:space="preserve">40103300.</t>
  </si>
  <si>
    <t xml:space="preserve">524</t>
  </si>
  <si>
    <t xml:space="preserve">MICRO OLEO</t>
  </si>
  <si>
    <t xml:space="preserve">525</t>
  </si>
  <si>
    <t xml:space="preserve">JG JUNTAS VALV TERMOSTATICA MB 0M 364 36</t>
  </si>
  <si>
    <t xml:space="preserve">84819090.</t>
  </si>
  <si>
    <t xml:space="preserve">526</t>
  </si>
  <si>
    <t xml:space="preserve">SALSICHA CONG PERDIGAO</t>
  </si>
  <si>
    <t xml:space="preserve">SALSICHA</t>
  </si>
  <si>
    <t xml:space="preserve">23/08/2017</t>
  </si>
  <si>
    <t xml:space="preserve">527</t>
  </si>
  <si>
    <t xml:space="preserve">MAMINHA CONG FRIBOI</t>
  </si>
  <si>
    <t xml:space="preserve">530</t>
  </si>
  <si>
    <t xml:space="preserve">CASTROL GTX 20W 50 ANT-BOR 24X1</t>
  </si>
  <si>
    <t xml:space="preserve">28/08/2017</t>
  </si>
  <si>
    <t xml:space="preserve">531</t>
  </si>
  <si>
    <t xml:space="preserve">TAMPA OLEO MTR55200024</t>
  </si>
  <si>
    <t xml:space="preserve">532</t>
  </si>
  <si>
    <t xml:space="preserve">FILTRO OLEO MOTOR</t>
  </si>
  <si>
    <t xml:space="preserve">533</t>
  </si>
  <si>
    <t xml:space="preserve">VELA IGN SUP F0000KE0P07</t>
  </si>
  <si>
    <t xml:space="preserve">85111000.</t>
  </si>
  <si>
    <t xml:space="preserve">VELAS DE IGNICAO</t>
  </si>
  <si>
    <t xml:space="preserve">534</t>
  </si>
  <si>
    <t xml:space="preserve">RADIEX LIMPA TBI RX330 500ML</t>
  </si>
  <si>
    <t xml:space="preserve">38109000.</t>
  </si>
  <si>
    <t xml:space="preserve">535</t>
  </si>
  <si>
    <t xml:space="preserve">SENSOR TEMP C/SUPORTE R4099</t>
  </si>
  <si>
    <t xml:space="preserve">536</t>
  </si>
  <si>
    <t xml:space="preserve">FILTRO AR CA5325</t>
  </si>
  <si>
    <t xml:space="preserve">537</t>
  </si>
  <si>
    <t xml:space="preserve">FILTRO COMB WK513</t>
  </si>
  <si>
    <t xml:space="preserve">538</t>
  </si>
  <si>
    <t xml:space="preserve">JUNTA TAMPA VALV 75613</t>
  </si>
  <si>
    <t xml:space="preserve">539</t>
  </si>
  <si>
    <t xml:space="preserve">ANEL VEDAC BOB DISTR 14463980</t>
  </si>
  <si>
    <t xml:space="preserve">540</t>
  </si>
  <si>
    <t xml:space="preserve">CORREIA GIR/ALT/ BA VW 8.160 9.160</t>
  </si>
  <si>
    <t xml:space="preserve">541</t>
  </si>
  <si>
    <t xml:space="preserve">BOMBA DAGUA</t>
  </si>
  <si>
    <t xml:space="preserve">542</t>
  </si>
  <si>
    <t xml:space="preserve">CORREIA DENT</t>
  </si>
  <si>
    <t xml:space="preserve">40103500.</t>
  </si>
  <si>
    <t xml:space="preserve">CORREIAS DE TRANSMISSAO SEM FIM, SINCRONAS, COM UMA CIRCUNFE</t>
  </si>
  <si>
    <t xml:space="preserve">544</t>
  </si>
  <si>
    <t xml:space="preserve">PLUG</t>
  </si>
  <si>
    <t xml:space="preserve">REALCE COMERCIO E REPRESENTAÇÃO LTDA</t>
  </si>
  <si>
    <t xml:space="preserve">UNIDADE</t>
  </si>
  <si>
    <t xml:space="preserve">545</t>
  </si>
  <si>
    <t xml:space="preserve">TAMPA RESERV DAGUA TC4051</t>
  </si>
  <si>
    <t xml:space="preserve">546</t>
  </si>
  <si>
    <t xml:space="preserve">MANGOTE SUP RAD 10193</t>
  </si>
  <si>
    <t xml:space="preserve">547</t>
  </si>
  <si>
    <t xml:space="preserve">ABRACADEIRA 25X38</t>
  </si>
  <si>
    <t xml:space="preserve">73261900.</t>
  </si>
  <si>
    <t xml:space="preserve">548</t>
  </si>
  <si>
    <t xml:space="preserve">KIT REP JUNTA HOMOC213659G</t>
  </si>
  <si>
    <t xml:space="preserve">549</t>
  </si>
  <si>
    <t xml:space="preserve">ROL SEMI-EIXO DT VKJP84888</t>
  </si>
  <si>
    <t xml:space="preserve">84821010.</t>
  </si>
  <si>
    <t xml:space="preserve">550</t>
  </si>
  <si>
    <t xml:space="preserve">TUTELA ZC 80Y 24X 1L</t>
  </si>
  <si>
    <t xml:space="preserve">551</t>
  </si>
  <si>
    <t xml:space="preserve">MANG FILTRO AR C9001</t>
  </si>
  <si>
    <t xml:space="preserve">59090000.</t>
  </si>
  <si>
    <t xml:space="preserve">MANGUEIRAS E TUBOS SEMELHANTES, DE MATERIAS TEXTEIS, MESMO C</t>
  </si>
  <si>
    <t xml:space="preserve">552</t>
  </si>
  <si>
    <t xml:space="preserve">JG CABO ENG SEL MARCHA MBB ACCELO 815C</t>
  </si>
  <si>
    <t xml:space="preserve">85443000.</t>
  </si>
  <si>
    <t xml:space="preserve">JOGOS DE FIOS P/VELAS DE IGNICAO E OUTS.FIOS P/VEICULOS</t>
  </si>
  <si>
    <t xml:space="preserve">553</t>
  </si>
  <si>
    <t xml:space="preserve">ROL SEMI-EIXO DT VKJP84887</t>
  </si>
  <si>
    <t xml:space="preserve">554</t>
  </si>
  <si>
    <t xml:space="preserve">ABRACADEIRA B913 9X13</t>
  </si>
  <si>
    <t xml:space="preserve">556</t>
  </si>
  <si>
    <t xml:space="preserve">TENSOR COR</t>
  </si>
  <si>
    <t xml:space="preserve">29/08/2017</t>
  </si>
  <si>
    <t xml:space="preserve">557</t>
  </si>
  <si>
    <t xml:space="preserve">ESPELHO RETROV EXT FORD CARGO - LS341</t>
  </si>
  <si>
    <t xml:space="preserve">70091000.</t>
  </si>
  <si>
    <t xml:space="preserve">ESPELHOS RETROVISORES PARA VEICULOS</t>
  </si>
  <si>
    <t xml:space="preserve">30/08/2017</t>
  </si>
  <si>
    <t xml:space="preserve">561</t>
  </si>
  <si>
    <t xml:space="preserve">CORACAO DA ALCATRA RESF FRIBOI</t>
  </si>
  <si>
    <t xml:space="preserve">CORACAO DA ALCATRA RESFRIADO</t>
  </si>
  <si>
    <t xml:space="preserve">18/09/2017</t>
  </si>
  <si>
    <t xml:space="preserve">568</t>
  </si>
  <si>
    <t xml:space="preserve">CONTRA FILE BOV RESF BOI BRASIL</t>
  </si>
  <si>
    <t xml:space="preserve">28/09/2017</t>
  </si>
  <si>
    <t xml:space="preserve">569</t>
  </si>
  <si>
    <t xml:space="preserve">BISTECA BOVINA RESF</t>
  </si>
  <si>
    <t xml:space="preserve">138</t>
  </si>
  <si>
    <t xml:space="preserve">E&amp;F COMERCIO DE ALIMENTOS LTDA ME</t>
  </si>
  <si>
    <t xml:space="preserve">PC +/- 12 KG</t>
  </si>
  <si>
    <t xml:space="preserve">29/09/2017</t>
  </si>
  <si>
    <t xml:space="preserve">571</t>
  </si>
  <si>
    <t xml:space="preserve">PERNIL REDONDO SUINO BONASA CONG</t>
  </si>
  <si>
    <t xml:space="preserve">BONASA ALIMENTOS S/A</t>
  </si>
  <si>
    <t xml:space="preserve">CX +/- 20KG</t>
  </si>
  <si>
    <t xml:space="preserve">09/10/2017</t>
  </si>
  <si>
    <t xml:space="preserve">574</t>
  </si>
  <si>
    <t xml:space="preserve">PONTA DE AGULHA RESF PADRAO</t>
  </si>
  <si>
    <t xml:space="preserve">PC +\- 12 KG</t>
  </si>
  <si>
    <t xml:space="preserve">29/10/2017</t>
  </si>
  <si>
    <t xml:space="preserve">576</t>
  </si>
  <si>
    <t xml:space="preserve">SOBREPALETA SUINA CONG SADIA</t>
  </si>
  <si>
    <t xml:space="preserve">1058</t>
  </si>
  <si>
    <t xml:space="preserve">41</t>
  </si>
  <si>
    <t xml:space="preserve">SOBREPALETA</t>
  </si>
  <si>
    <t xml:space="preserve">13/11/2017</t>
  </si>
  <si>
    <t xml:space="preserve">579</t>
  </si>
  <si>
    <t xml:space="preserve">PERNIL SUINO C/ OSSO SADIA</t>
  </si>
  <si>
    <t xml:space="preserve">23/11/2017</t>
  </si>
  <si>
    <t xml:space="preserve">582</t>
  </si>
  <si>
    <t xml:space="preserve">COXAO DURO RESF MINERVA</t>
  </si>
  <si>
    <t xml:space="preserve">145</t>
  </si>
  <si>
    <t xml:space="preserve">MINERVA S/A</t>
  </si>
  <si>
    <t xml:space="preserve">01/12/2017</t>
  </si>
  <si>
    <t xml:space="preserve">584</t>
  </si>
  <si>
    <t xml:space="preserve">PICANHA A BOV CONG FRIBOI</t>
  </si>
  <si>
    <t xml:space="preserve">11/12/2017</t>
  </si>
  <si>
    <t xml:space="preserve">587</t>
  </si>
  <si>
    <t xml:space="preserve">BUCHO BOV ALVEJADO CONG FRIG SAO PAULO</t>
  </si>
  <si>
    <t xml:space="preserve">146</t>
  </si>
  <si>
    <t xml:space="preserve">SAO PAULO CARNES E DERIVADOS EIRELE ME</t>
  </si>
  <si>
    <t xml:space="preserve">13/12/2017</t>
  </si>
  <si>
    <t xml:space="preserve">589</t>
  </si>
  <si>
    <t xml:space="preserve">CARNE INDUSTRIAL BOV CONG FRIBOI</t>
  </si>
  <si>
    <t xml:space="preserve">20</t>
  </si>
  <si>
    <t xml:space="preserve">CARNE INDUSTRIAL</t>
  </si>
  <si>
    <t xml:space="preserve">593</t>
  </si>
  <si>
    <t xml:space="preserve">CUPIM CONG BOLINA ESTANCIA 92</t>
  </si>
  <si>
    <t xml:space="preserve">19/12/2017</t>
  </si>
  <si>
    <t xml:space="preserve">597</t>
  </si>
  <si>
    <t xml:space="preserve">PEITO C/ OSSO INDIVIDUAL BONASA</t>
  </si>
  <si>
    <t xml:space="preserve">PEITO C/ OSSO</t>
  </si>
  <si>
    <t xml:space="preserve">CX 18 KG</t>
  </si>
  <si>
    <t xml:space="preserve">02071422.</t>
  </si>
  <si>
    <t xml:space="preserve">PEITOS - DESOSSADOS</t>
  </si>
  <si>
    <t xml:space="preserve">27/12/2017</t>
  </si>
  <si>
    <t xml:space="preserve">605</t>
  </si>
  <si>
    <t xml:space="preserve">PONTA DE AGULHA RESF LKJ</t>
  </si>
  <si>
    <t xml:space="preserve">31/01/2018</t>
  </si>
  <si>
    <t xml:space="preserve">606</t>
  </si>
  <si>
    <t xml:space="preserve">COSTELA SUINA EM TIRAS CONG SADIA</t>
  </si>
  <si>
    <t xml:space="preserve">SADIA</t>
  </si>
  <si>
    <t xml:space="preserve">23/02/2018</t>
  </si>
  <si>
    <t xml:space="preserve">LINGUIÇA CALABRESA PERDIGÃO 4,5 KG</t>
  </si>
  <si>
    <t xml:space="preserve">PERDIGAO</t>
  </si>
  <si>
    <t xml:space="preserve">02/03/2018</t>
  </si>
  <si>
    <t xml:space="preserve">609</t>
  </si>
  <si>
    <t xml:space="preserve">CONTRA FILE BOV CONG QUALITYBEEF</t>
  </si>
  <si>
    <t xml:space="preserve">06/04/2018</t>
  </si>
  <si>
    <t xml:space="preserve">610</t>
  </si>
  <si>
    <t xml:space="preserve">PICANHA B CONG QUALITYBEEF MAFRIPAR</t>
  </si>
  <si>
    <t xml:space="preserve">612</t>
  </si>
  <si>
    <t xml:space="preserve">BACON INTEIRO SADIA CX 10KG</t>
  </si>
  <si>
    <t xml:space="preserve">58</t>
  </si>
  <si>
    <t xml:space="preserve">BACON</t>
  </si>
  <si>
    <t xml:space="preserve">CX +/- 10 KG</t>
  </si>
  <si>
    <t xml:space="preserve">02101200.</t>
  </si>
  <si>
    <t xml:space="preserve">BARRIGAS E PEITOS,ENTREMEADOS,DE SUINO,SALGADOS,ETC.</t>
  </si>
  <si>
    <t xml:space="preserve">11/04/2018</t>
  </si>
  <si>
    <t xml:space="preserve">613</t>
  </si>
  <si>
    <t xml:space="preserve">PATINHO BOV RESF QUALITYBEEF</t>
  </si>
  <si>
    <t xml:space="preserve">27/04/2018</t>
  </si>
  <si>
    <t xml:space="preserve">617</t>
  </si>
  <si>
    <t xml:space="preserve">LINGUICA TIPO CALABRESA NOBRE PCT 2KG</t>
  </si>
  <si>
    <t xml:space="preserve">21/05/2018</t>
  </si>
  <si>
    <t xml:space="preserve">619</t>
  </si>
  <si>
    <t xml:space="preserve">TV SMART LED SAMSUNG</t>
  </si>
  <si>
    <t xml:space="preserve">175</t>
  </si>
  <si>
    <t xml:space="preserve">TECNO INDUSTRIA E COMERCIO DE COMPUTADORES LTDA</t>
  </si>
  <si>
    <t xml:space="preserve">85287200.</t>
  </si>
  <si>
    <t xml:space="preserve">OUTROS, EM CORES</t>
  </si>
  <si>
    <t xml:space="preserve">26/05/2018</t>
  </si>
  <si>
    <t xml:space="preserve">620</t>
  </si>
  <si>
    <t xml:space="preserve">COXAO MOLE RESF QUALITYBEEF</t>
  </si>
  <si>
    <t xml:space="preserve">11/06/2018</t>
  </si>
  <si>
    <t xml:space="preserve">622</t>
  </si>
  <si>
    <t xml:space="preserve">COXAO MOLE RESF LKJ</t>
  </si>
  <si>
    <t xml:space="preserve">14/06/2018</t>
  </si>
  <si>
    <t xml:space="preserve">623</t>
  </si>
  <si>
    <t xml:space="preserve">PERNIL SUINO C/ OSSO CONG SUINCO</t>
  </si>
  <si>
    <t xml:space="preserve">184</t>
  </si>
  <si>
    <t xml:space="preserve">SUINCO COOPERATIVA DE SUINOCULTORES</t>
  </si>
  <si>
    <t xml:space="preserve">624</t>
  </si>
  <si>
    <t xml:space="preserve">SOBREPALETA CONG PREMIADA - SUINCO</t>
  </si>
  <si>
    <t xml:space="preserve">CX  15 KG</t>
  </si>
  <si>
    <t xml:space="preserve">625</t>
  </si>
  <si>
    <t xml:space="preserve">LOMBO SUINO CONG PREMIADA - SUINCO</t>
  </si>
  <si>
    <t xml:space="preserve">61</t>
  </si>
  <si>
    <t xml:space="preserve">LOMBO</t>
  </si>
  <si>
    <t xml:space="preserve">626</t>
  </si>
  <si>
    <t xml:space="preserve">PICANHA SUINA TEMPERADA SUINCO</t>
  </si>
  <si>
    <t xml:space="preserve">PICANHA TEMPERADA</t>
  </si>
  <si>
    <t xml:space="preserve">02031900.</t>
  </si>
  <si>
    <t xml:space="preserve">OUTRAS CARNES DE SUINO,FRESCAS OU REFRIGERADAS</t>
  </si>
  <si>
    <t xml:space="preserve">627</t>
  </si>
  <si>
    <t xml:space="preserve">LINGUICA TOSCANA CONG SUINCO</t>
  </si>
  <si>
    <t xml:space="preserve">628</t>
  </si>
  <si>
    <t xml:space="preserve">LINGUICA CALABRESA SUINCO PCT 2,5KG</t>
  </si>
  <si>
    <t xml:space="preserve">631</t>
  </si>
  <si>
    <t xml:space="preserve">ALCATRA C/ MAMINHA RESF MAFRIPAR</t>
  </si>
  <si>
    <t xml:space="preserve">18/06/2018</t>
  </si>
  <si>
    <t xml:space="preserve">633</t>
  </si>
  <si>
    <t xml:space="preserve">COXAO DURO RESF LKJ</t>
  </si>
  <si>
    <t xml:space="preserve">25/06/2018</t>
  </si>
  <si>
    <t xml:space="preserve">634</t>
  </si>
  <si>
    <t xml:space="preserve">LAGARTO RESF LKJ</t>
  </si>
  <si>
    <t xml:space="preserve">636</t>
  </si>
  <si>
    <t xml:space="preserve">PATINHO BOV RESF LKJ</t>
  </si>
  <si>
    <t xml:space="preserve">878</t>
  </si>
  <si>
    <t xml:space="preserve">L K J - FRIGORIFICO LTDA</t>
  </si>
  <si>
    <t xml:space="preserve">637</t>
  </si>
  <si>
    <t xml:space="preserve">CUPIM RESF A LKJ</t>
  </si>
  <si>
    <t xml:space="preserve">638</t>
  </si>
  <si>
    <t xml:space="preserve">SANGRIA CONG LKJ</t>
  </si>
  <si>
    <t xml:space="preserve">639</t>
  </si>
  <si>
    <t xml:space="preserve">PONTA DE AGULHA FRIGOTIL</t>
  </si>
  <si>
    <t xml:space="preserve">PC +/- 12KG</t>
  </si>
  <si>
    <t xml:space="preserve">30/06/2018</t>
  </si>
  <si>
    <t xml:space="preserve">645</t>
  </si>
  <si>
    <t xml:space="preserve">DIANTEIRO RESF VALENCIO</t>
  </si>
  <si>
    <t xml:space="preserve">09/07/2018</t>
  </si>
  <si>
    <t xml:space="preserve">649</t>
  </si>
  <si>
    <t xml:space="preserve">TRASEIRO RESF VALENCIO</t>
  </si>
  <si>
    <t xml:space="preserve">20/07/2018</t>
  </si>
  <si>
    <t xml:space="preserve">651</t>
  </si>
  <si>
    <t xml:space="preserve">TRASEIRO TOCO RESF VALENCIO</t>
  </si>
  <si>
    <t xml:space="preserve">PC +/- 45KG</t>
  </si>
  <si>
    <t xml:space="preserve">23/07/2018</t>
  </si>
  <si>
    <t xml:space="preserve">652</t>
  </si>
  <si>
    <t xml:space="preserve">TRASEIRO TOCO VACA RESF VALENCIO</t>
  </si>
  <si>
    <t xml:space="preserve">653</t>
  </si>
  <si>
    <t xml:space="preserve">BISTECA RESF VALENCIO</t>
  </si>
  <si>
    <t xml:space="preserve">654</t>
  </si>
  <si>
    <t xml:space="preserve">SALSICHA HOT DOG CONG AVIVAR PCT 2,5 KG</t>
  </si>
  <si>
    <t xml:space="preserve">AVIVAR ALIMENTOS LTDA</t>
  </si>
  <si>
    <t xml:space="preserve">10/08/2018</t>
  </si>
  <si>
    <t xml:space="preserve">655</t>
  </si>
  <si>
    <t xml:space="preserve">COXA S/COXA PCT ENVELOPADO AVIVAR</t>
  </si>
  <si>
    <t xml:space="preserve">02071412.</t>
  </si>
  <si>
    <t xml:space="preserve">COXAS COM SOBRECOXAS</t>
  </si>
  <si>
    <t xml:space="preserve">660</t>
  </si>
  <si>
    <t xml:space="preserve">PONTA DE AGULHA RESF VALENCIO</t>
  </si>
  <si>
    <t xml:space="preserve">PC +/- 16 KG</t>
  </si>
  <si>
    <t xml:space="preserve">14/09/2018</t>
  </si>
  <si>
    <t xml:space="preserve">661</t>
  </si>
  <si>
    <t xml:space="preserve">FILE DE PEITO IND MR FRANGO 18 KG</t>
  </si>
  <si>
    <t xml:space="preserve">GONCAVES E TORTOLA S/A</t>
  </si>
  <si>
    <t xml:space="preserve">30</t>
  </si>
  <si>
    <t xml:space="preserve">FILE DE PEITO PCT</t>
  </si>
  <si>
    <t xml:space="preserve">18/09/2018</t>
  </si>
  <si>
    <t xml:space="preserve">663</t>
  </si>
  <si>
    <t xml:space="preserve">COSTELA SUINA INTEIRA CONG SUINCO</t>
  </si>
  <si>
    <t xml:space="preserve">25/09/2018</t>
  </si>
  <si>
    <t xml:space="preserve">669</t>
  </si>
  <si>
    <t xml:space="preserve">COXA/SOBRECOXA PCT CONG JAGUAR</t>
  </si>
  <si>
    <t xml:space="preserve">217</t>
  </si>
  <si>
    <t xml:space="preserve">JAGUARFRANGOS INDUSTRIA E COMERCIO DE ALIMENTOS LTDA</t>
  </si>
  <si>
    <t xml:space="preserve">14/10/2018</t>
  </si>
  <si>
    <t xml:space="preserve">672</t>
  </si>
  <si>
    <t xml:space="preserve">COXAO DURO RESF FORTEFRIGO</t>
  </si>
  <si>
    <t xml:space="preserve">22/10/2018</t>
  </si>
  <si>
    <t xml:space="preserve">673</t>
  </si>
  <si>
    <t xml:space="preserve">CESTA FELICIDADE SADIA CX 2 KITS</t>
  </si>
  <si>
    <t xml:space="preserve">INDUSTRIALIZADOS</t>
  </si>
  <si>
    <t xml:space="preserve">NATALINOS</t>
  </si>
  <si>
    <t xml:space="preserve">CX 2 KITS</t>
  </si>
  <si>
    <t xml:space="preserve">02071220.</t>
  </si>
  <si>
    <t xml:space="preserve">CARNES E MIUDEZAS, COMESTÍVEIS, FRESCAS, REFRIGERADAS OU CONGELADAS, DAS AVES DA POSIÇÃO DE GALOS OU DE GALINHAS: SEM MIUDEZAS</t>
  </si>
  <si>
    <t xml:space="preserve">29/10/2018</t>
  </si>
  <si>
    <t xml:space="preserve">675</t>
  </si>
  <si>
    <t xml:space="preserve">CAM SEG HIKV BULLET IR I MEGA LENT 2 8MM</t>
  </si>
  <si>
    <t xml:space="preserve">85258019.</t>
  </si>
  <si>
    <t xml:space="preserve">13/11/2018</t>
  </si>
  <si>
    <t xml:space="preserve">676</t>
  </si>
  <si>
    <t xml:space="preserve">CAM SEG HIKV IR I MEGA DOME HD 2 8MM</t>
  </si>
  <si>
    <t xml:space="preserve">677</t>
  </si>
  <si>
    <t xml:space="preserve">BACON EM MANTA SUINCO</t>
  </si>
  <si>
    <t xml:space="preserve">16/11/2018</t>
  </si>
  <si>
    <t xml:space="preserve">681</t>
  </si>
  <si>
    <t xml:space="preserve">MAMINHA ARGENTINA PLATE CONG</t>
  </si>
  <si>
    <t xml:space="preserve">CX +/- 23 KG</t>
  </si>
  <si>
    <t xml:space="preserve">27/12/2018</t>
  </si>
  <si>
    <t xml:space="preserve">682</t>
  </si>
  <si>
    <t xml:space="preserve">CUPIM B BOV CONG MARFRIG</t>
  </si>
  <si>
    <t xml:space="preserve">02/01/2019</t>
  </si>
  <si>
    <t xml:space="preserve">683</t>
  </si>
  <si>
    <t xml:space="preserve">LOMBINHO CONG BOV MARFRIG</t>
  </si>
  <si>
    <t xml:space="preserve">684</t>
  </si>
  <si>
    <t xml:space="preserve">FIGADO BOV CONG MARFRIG</t>
  </si>
  <si>
    <t xml:space="preserve">685</t>
  </si>
  <si>
    <t xml:space="preserve">COXAO MOLE CONG MARFRIG</t>
  </si>
  <si>
    <t xml:space="preserve">686</t>
  </si>
  <si>
    <t xml:space="preserve">LOMBO SUINO CONG SUINCO</t>
  </si>
  <si>
    <t xml:space="preserve">CX 23 KG</t>
  </si>
  <si>
    <t xml:space="preserve">05/01/2019</t>
  </si>
  <si>
    <t xml:space="preserve">687</t>
  </si>
  <si>
    <t xml:space="preserve">PE SALGADO SUINCO</t>
  </si>
  <si>
    <t xml:space="preserve">688</t>
  </si>
  <si>
    <t xml:space="preserve">RABO CONG SUINCO - EM SACOS</t>
  </si>
  <si>
    <t xml:space="preserve">RABO SALGADO</t>
  </si>
  <si>
    <t xml:space="preserve">02064900.</t>
  </si>
  <si>
    <t xml:space="preserve">OUTRAS MIUDEZAS COMESTIVEIS DE SUINO,CONGELADAS</t>
  </si>
  <si>
    <t xml:space="preserve">689</t>
  </si>
  <si>
    <t xml:space="preserve">FIGADO BOV CONG VALENCIO</t>
  </si>
  <si>
    <t xml:space="preserve">07/01/2019</t>
  </si>
  <si>
    <t xml:space="preserve">692</t>
  </si>
  <si>
    <t xml:space="preserve">BIFE DO VAZIO CONG FORTEFRIGO</t>
  </si>
  <si>
    <t xml:space="preserve">09/01/2019</t>
  </si>
  <si>
    <t xml:space="preserve">697</t>
  </si>
  <si>
    <t xml:space="preserve">COSTELA MINGA CONG MARFRIG</t>
  </si>
  <si>
    <t xml:space="preserve">COSTELA TIRAS</t>
  </si>
  <si>
    <t xml:space="preserve">05/02/2019</t>
  </si>
  <si>
    <t xml:space="preserve">698</t>
  </si>
  <si>
    <t xml:space="preserve">DIANTEIRO RESF JBS</t>
  </si>
  <si>
    <t xml:space="preserve">PÇ +/- 60 KG</t>
  </si>
  <si>
    <t xml:space="preserve">07/02/2019</t>
  </si>
  <si>
    <t xml:space="preserve">699</t>
  </si>
  <si>
    <t xml:space="preserve">PONTA DE AGULHA RESF JBS</t>
  </si>
  <si>
    <t xml:space="preserve">700</t>
  </si>
  <si>
    <t xml:space="preserve">CONTRA FILE RESF FRIBOI</t>
  </si>
  <si>
    <t xml:space="preserve">08/02/2019</t>
  </si>
  <si>
    <t xml:space="preserve">702</t>
  </si>
  <si>
    <t xml:space="preserve">TIBONE CONG MATURATTA FRIBOI</t>
  </si>
  <si>
    <t xml:space="preserve">CX +/- 15 KG</t>
  </si>
  <si>
    <t xml:space="preserve">703</t>
  </si>
  <si>
    <t xml:space="preserve">MUSCULO BOV RESF FRIBOI</t>
  </si>
  <si>
    <t xml:space="preserve">MUSCULO</t>
  </si>
  <si>
    <t xml:space="preserve">708</t>
  </si>
  <si>
    <t xml:space="preserve">PALETA S/ OSSO CONG FRIBOI</t>
  </si>
  <si>
    <t xml:space="preserve">710</t>
  </si>
  <si>
    <t xml:space="preserve">FRALDAO BOV CONG FRIBOI</t>
  </si>
  <si>
    <t xml:space="preserve">CX  +/- 25KG</t>
  </si>
  <si>
    <t xml:space="preserve">714</t>
  </si>
  <si>
    <t xml:space="preserve">FILE MIGNON BOV CONG FRIBOI (APETI)</t>
  </si>
  <si>
    <t xml:space="preserve">715</t>
  </si>
  <si>
    <t xml:space="preserve">LINGUICA TIPO CALABRESA RETA PCT 2,5KG</t>
  </si>
  <si>
    <t xml:space="preserve">15/02/2019</t>
  </si>
  <si>
    <t xml:space="preserve">COXAO MOLE RESF MARFRIG</t>
  </si>
  <si>
    <t xml:space="preserve">25/02/2019</t>
  </si>
  <si>
    <t xml:space="preserve">720</t>
  </si>
  <si>
    <t xml:space="preserve">ALCATRA C/ MAMINHA RESF MARFRIG</t>
  </si>
  <si>
    <t xml:space="preserve">721</t>
  </si>
  <si>
    <t xml:space="preserve">PATINHO BOV RESF MARFRIG</t>
  </si>
  <si>
    <t xml:space="preserve">27/02/2019</t>
  </si>
  <si>
    <t xml:space="preserve">722</t>
  </si>
  <si>
    <t xml:space="preserve">CORDAO DO FILE CONG FRIBOI</t>
  </si>
  <si>
    <t xml:space="preserve">CORDAO DO FILE</t>
  </si>
  <si>
    <t xml:space="preserve">724</t>
  </si>
  <si>
    <t xml:space="preserve">COXAO DURO BOV RESF MARFRIG</t>
  </si>
  <si>
    <t xml:space="preserve">13/03/2019</t>
  </si>
  <si>
    <t xml:space="preserve">725</t>
  </si>
  <si>
    <t xml:space="preserve">PALETA BOV S/MUSCULO RESF MARFRIG</t>
  </si>
  <si>
    <t xml:space="preserve">727</t>
  </si>
  <si>
    <t xml:space="preserve">CAPA DO COXAO MOLE CONG MARFRIG</t>
  </si>
  <si>
    <t xml:space="preserve">CAPA DO COXAO MOLE CONGELADO</t>
  </si>
  <si>
    <t xml:space="preserve">731</t>
  </si>
  <si>
    <t xml:space="preserve">BACON SUINO DEFUMADO AURORA</t>
  </si>
  <si>
    <t xml:space="preserve">CX 11 KG</t>
  </si>
  <si>
    <t xml:space="preserve">01/04/2019</t>
  </si>
  <si>
    <t xml:space="preserve">737</t>
  </si>
  <si>
    <t xml:space="preserve">CORDAO DO FILE CONG MARFRIG</t>
  </si>
  <si>
    <t xml:space="preserve">08/04/2019</t>
  </si>
  <si>
    <t xml:space="preserve">739</t>
  </si>
  <si>
    <t xml:space="preserve">PRESUNTO RESF COZINHA PREMIADA</t>
  </si>
  <si>
    <t xml:space="preserve">87</t>
  </si>
  <si>
    <t xml:space="preserve">PRESUNTO</t>
  </si>
  <si>
    <t xml:space="preserve">CX 6,76 KG</t>
  </si>
  <si>
    <t xml:space="preserve">16024900.</t>
  </si>
  <si>
    <t xml:space="preserve">OUTRAS PREPARS.ALIMENT.E CONSERVAS,DE SUINOS E MISTURAS</t>
  </si>
  <si>
    <t xml:space="preserve">12/04/2019</t>
  </si>
  <si>
    <t xml:space="preserve">740</t>
  </si>
  <si>
    <t xml:space="preserve">APRESUNTADO RESF COZINHA PREMIADA</t>
  </si>
  <si>
    <t xml:space="preserve">CX 8 KG</t>
  </si>
  <si>
    <t xml:space="preserve">741</t>
  </si>
  <si>
    <t xml:space="preserve">BACON FATIADO SUINCO</t>
  </si>
  <si>
    <t xml:space="preserve">CX 4 KG</t>
  </si>
  <si>
    <t xml:space="preserve">744</t>
  </si>
  <si>
    <t xml:space="preserve">MAMINHA CONG MARFRIG</t>
  </si>
  <si>
    <t xml:space="preserve">29/04/2019</t>
  </si>
  <si>
    <t xml:space="preserve">748</t>
  </si>
  <si>
    <t xml:space="preserve">ACEM BOV RESF LKJ</t>
  </si>
  <si>
    <t xml:space="preserve">13/05/2019</t>
  </si>
  <si>
    <t xml:space="preserve">749</t>
  </si>
  <si>
    <t xml:space="preserve">PALETA S/ MUSCULO RESF LKJ</t>
  </si>
  <si>
    <t xml:space="preserve">753</t>
  </si>
  <si>
    <t xml:space="preserve">FRALDINHA DIAFRAGMA BOV CONG MARFRIG</t>
  </si>
  <si>
    <t xml:space="preserve">05/06/2019</t>
  </si>
  <si>
    <t xml:space="preserve">759</t>
  </si>
  <si>
    <t xml:space="preserve">CAPA DE FILE CONG MARFRIG</t>
  </si>
  <si>
    <t xml:space="preserve">09/07/2019</t>
  </si>
  <si>
    <t xml:space="preserve">762</t>
  </si>
  <si>
    <t xml:space="preserve">CAMINHAO 8.160 DRC 15/15 VOLKSWAGEM</t>
  </si>
  <si>
    <t xml:space="preserve">B V DISTRIBUIDORA DE CARNES LTDA</t>
  </si>
  <si>
    <t xml:space="preserve">1 UNI</t>
  </si>
  <si>
    <t xml:space="preserve">17/07/2019</t>
  </si>
  <si>
    <t xml:space="preserve">764</t>
  </si>
  <si>
    <t xml:space="preserve">JUNTA</t>
  </si>
  <si>
    <t xml:space="preserve">TERRADIESEL AUTO PECAS LTDA</t>
  </si>
  <si>
    <t xml:space="preserve">JG</t>
  </si>
  <si>
    <t xml:space="preserve">48239099.</t>
  </si>
  <si>
    <t xml:space="preserve">05/08/2019</t>
  </si>
  <si>
    <t xml:space="preserve">766</t>
  </si>
  <si>
    <t xml:space="preserve">ANTE FERRUGEM</t>
  </si>
  <si>
    <t xml:space="preserve">34039900.</t>
  </si>
  <si>
    <t xml:space="preserve">767</t>
  </si>
  <si>
    <t xml:space="preserve">FRANQUIA REF VALOR COMPL DA MERC ADQUIRI</t>
  </si>
  <si>
    <t xml:space="preserve">MG VIDROS AUTOMOTIVOS LTDA</t>
  </si>
  <si>
    <t xml:space="preserve">70072100.</t>
  </si>
  <si>
    <t xml:space="preserve">DE DIMENSOES E FORMATOS QUE PERMITAM A SUA APLICACAO EM AUTO</t>
  </si>
  <si>
    <t xml:space="preserve">06/08/2019</t>
  </si>
  <si>
    <t xml:space="preserve">768</t>
  </si>
  <si>
    <t xml:space="preserve">PONTA DA COSTELA SUINA CONG SADIA</t>
  </si>
  <si>
    <t xml:space="preserve">07/08/2019</t>
  </si>
  <si>
    <t xml:space="preserve">769</t>
  </si>
  <si>
    <t xml:space="preserve">APONTADOR PARA NAVEGACAO DE TELA</t>
  </si>
  <si>
    <t xml:space="preserve">ELETRONICA MORIA COMERCIO E SERVIÇOS DE APARELHOS ELETRONICO</t>
  </si>
  <si>
    <t xml:space="preserve">09/08/2019</t>
  </si>
  <si>
    <t xml:space="preserve">770</t>
  </si>
  <si>
    <t xml:space="preserve">TV 55 SMART 4K LG PRETO</t>
  </si>
  <si>
    <t xml:space="preserve">MAGAZINE LUIZA S/A</t>
  </si>
  <si>
    <t xml:space="preserve">771</t>
  </si>
  <si>
    <t xml:space="preserve">BISTECA SUINA SERRADO AURORA CX 3 KG</t>
  </si>
  <si>
    <t xml:space="preserve">BISTECA SUINA</t>
  </si>
  <si>
    <t xml:space="preserve">CX 3 KG</t>
  </si>
  <si>
    <t xml:space="preserve">772</t>
  </si>
  <si>
    <t xml:space="preserve">LINGUIÇA SUINA NOBRE CX 10 KG</t>
  </si>
  <si>
    <t xml:space="preserve">12/08/2019</t>
  </si>
  <si>
    <t xml:space="preserve">773</t>
  </si>
  <si>
    <t xml:space="preserve">LAGARTO BOV CONG FRIBOI</t>
  </si>
  <si>
    <t xml:space="preserve">LAGARTO CONGELADO</t>
  </si>
  <si>
    <t xml:space="preserve">775</t>
  </si>
  <si>
    <t xml:space="preserve">PILHA RECARREGAVEL</t>
  </si>
  <si>
    <t xml:space="preserve">RAIMUNDO GUILHERME FERREIRA LOPES ME</t>
  </si>
  <si>
    <t xml:space="preserve">UNID</t>
  </si>
  <si>
    <t xml:space="preserve">85061010.</t>
  </si>
  <si>
    <t xml:space="preserve">PILHAS ALCALINAS</t>
  </si>
  <si>
    <t xml:space="preserve">14/08/2019</t>
  </si>
  <si>
    <t xml:space="preserve">776</t>
  </si>
  <si>
    <t xml:space="preserve">PERNIL SUINO S/ OSSO CONG SUINCO</t>
  </si>
  <si>
    <t xml:space="preserve">PERNIL S/ OSSO</t>
  </si>
  <si>
    <t xml:space="preserve">CX +/- 22 KG</t>
  </si>
  <si>
    <t xml:space="preserve">16/08/2019</t>
  </si>
  <si>
    <t xml:space="preserve">777</t>
  </si>
  <si>
    <t xml:space="preserve">19/08/2019</t>
  </si>
  <si>
    <t xml:space="preserve">778</t>
  </si>
  <si>
    <t xml:space="preserve">VERNIZ</t>
  </si>
  <si>
    <t xml:space="preserve">SOARES MOURAO COMERCIO DE TINTAS LTDA</t>
  </si>
  <si>
    <t xml:space="preserve">96</t>
  </si>
  <si>
    <t xml:space="preserve">VERNIZ EM GERAL</t>
  </si>
  <si>
    <t xml:space="preserve">GL</t>
  </si>
  <si>
    <t xml:space="preserve">32091010.</t>
  </si>
  <si>
    <t xml:space="preserve">780</t>
  </si>
  <si>
    <t xml:space="preserve">TINTAS ACRÍLICO</t>
  </si>
  <si>
    <t xml:space="preserve">BD</t>
  </si>
  <si>
    <t xml:space="preserve">781</t>
  </si>
  <si>
    <t xml:space="preserve">GESSO</t>
  </si>
  <si>
    <t xml:space="preserve">97</t>
  </si>
  <si>
    <t xml:space="preserve">GESSO EM GERAL</t>
  </si>
  <si>
    <t xml:space="preserve">25202090.</t>
  </si>
  <si>
    <t xml:space="preserve">OUTRAS FORMAS DE GESSO</t>
  </si>
  <si>
    <t xml:space="preserve">782</t>
  </si>
  <si>
    <t xml:space="preserve">LIXA FERRO GRAO</t>
  </si>
  <si>
    <t xml:space="preserve">98</t>
  </si>
  <si>
    <t xml:space="preserve">LIXA EM GERAL</t>
  </si>
  <si>
    <t xml:space="preserve">68052000.</t>
  </si>
  <si>
    <t xml:space="preserve">APLICADOS APENAS SOBRE PAPEL OU CARTAO</t>
  </si>
  <si>
    <t xml:space="preserve">783</t>
  </si>
  <si>
    <t xml:space="preserve">CAIXA 4X2</t>
  </si>
  <si>
    <t xml:space="preserve">CAIXA EM GERAL</t>
  </si>
  <si>
    <t xml:space="preserve">784</t>
  </si>
  <si>
    <t xml:space="preserve">VERNIZ NEUTREX</t>
  </si>
  <si>
    <t xml:space="preserve">785</t>
  </si>
  <si>
    <t xml:space="preserve">ARANHA BOV CONG FRIBOI</t>
  </si>
  <si>
    <t xml:space="preserve">ARANHA</t>
  </si>
  <si>
    <t xml:space="preserve">CX+/- 25 KG</t>
  </si>
  <si>
    <t xml:space="preserve">786</t>
  </si>
  <si>
    <t xml:space="preserve">PEDRICA</t>
  </si>
  <si>
    <t xml:space="preserve">PREDRAS E PREDIÇAS EM GERAL</t>
  </si>
  <si>
    <t xml:space="preserve">METRO</t>
  </si>
  <si>
    <t xml:space="preserve">25171000.</t>
  </si>
  <si>
    <t xml:space="preserve">CALHAUS,CASCALHOS E PEDRAS BRITADAS,PARA CONCRETO,ETC.</t>
  </si>
  <si>
    <t xml:space="preserve">21/08/2019</t>
  </si>
  <si>
    <t xml:space="preserve">787</t>
  </si>
  <si>
    <t xml:space="preserve">BRITA</t>
  </si>
  <si>
    <t xml:space="preserve">M</t>
  </si>
  <si>
    <t xml:space="preserve">788</t>
  </si>
  <si>
    <t xml:space="preserve">COMPUTADOR DESKTOP</t>
  </si>
  <si>
    <t xml:space="preserve">A.M. FEIJAO DE MENESES</t>
  </si>
  <si>
    <t xml:space="preserve">COMPUTADOR</t>
  </si>
  <si>
    <t xml:space="preserve">1 UNIDADE</t>
  </si>
  <si>
    <t xml:space="preserve">84715010.</t>
  </si>
  <si>
    <t xml:space="preserve">DE PEQUENA CAPACIDADE, BASEADAS EM MICROPROCESSADORES, COM C</t>
  </si>
  <si>
    <t xml:space="preserve">789</t>
  </si>
  <si>
    <t xml:space="preserve">DISCO RIGIDO 2TB</t>
  </si>
  <si>
    <t xml:space="preserve">DISCO RIGIDO</t>
  </si>
  <si>
    <t xml:space="preserve">84717012.</t>
  </si>
  <si>
    <t xml:space="preserve">PARA DISCOS RIGIDOS, COM UM SO CONJUNTO CABECADISCO (HDA"HEA</t>
  </si>
  <si>
    <t xml:space="preserve">790</t>
  </si>
  <si>
    <t xml:space="preserve">BACKUP/VIGILANCIA DUAL CORE</t>
  </si>
  <si>
    <t xml:space="preserve">792</t>
  </si>
  <si>
    <t xml:space="preserve">195/70R15 CHRONO</t>
  </si>
  <si>
    <t xml:space="preserve">22/08/2019</t>
  </si>
  <si>
    <t xml:space="preserve">793</t>
  </si>
  <si>
    <t xml:space="preserve">VALV P/ PNEU S/C</t>
  </si>
  <si>
    <t xml:space="preserve">794</t>
  </si>
  <si>
    <t xml:space="preserve">REC CAB COMPRESSOR AR 66 70 VW</t>
  </si>
  <si>
    <t xml:space="preserve">84149039.</t>
  </si>
  <si>
    <t xml:space="preserve">23/08/2019</t>
  </si>
  <si>
    <t xml:space="preserve">795</t>
  </si>
  <si>
    <t xml:space="preserve">JOELHO SOLDAVEL</t>
  </si>
  <si>
    <t xml:space="preserve">796</t>
  </si>
  <si>
    <t xml:space="preserve">CONJUNTO CAMARA ACEL</t>
  </si>
  <si>
    <t xml:space="preserve">157</t>
  </si>
  <si>
    <t xml:space="preserve">NEWLAND VEÍCULOS LTDA</t>
  </si>
  <si>
    <t xml:space="preserve">73143900.</t>
  </si>
  <si>
    <t xml:space="preserve">797</t>
  </si>
  <si>
    <t xml:space="preserve">REP VALV 4 CIRCUITOS KNORR</t>
  </si>
  <si>
    <t xml:space="preserve">798</t>
  </si>
  <si>
    <t xml:space="preserve">FILTRO DESUMIDIFICADOR MBB VW</t>
  </si>
  <si>
    <t xml:space="preserve">84213990.</t>
  </si>
  <si>
    <t xml:space="preserve">799</t>
  </si>
  <si>
    <t xml:space="preserve">REP SECADOR AR</t>
  </si>
  <si>
    <t xml:space="preserve">800</t>
  </si>
  <si>
    <t xml:space="preserve">TERMINAL BATERIA POSITIVO</t>
  </si>
  <si>
    <t xml:space="preserve">801</t>
  </si>
  <si>
    <t xml:space="preserve">SILENCIADOR VALV APU</t>
  </si>
  <si>
    <t xml:space="preserve">802</t>
  </si>
  <si>
    <t xml:space="preserve">ANEL SEG COMPRESSOR AR</t>
  </si>
  <si>
    <t xml:space="preserve">84149032.</t>
  </si>
  <si>
    <t xml:space="preserve">ANEIS DE SEGMENTO</t>
  </si>
  <si>
    <t xml:space="preserve">803</t>
  </si>
  <si>
    <t xml:space="preserve">PISTAO COMPRESSOR AR 66 70 VW</t>
  </si>
  <si>
    <t xml:space="preserve">84149031.</t>
  </si>
  <si>
    <t xml:space="preserve">PISTOES OU EMBOLOS</t>
  </si>
  <si>
    <t xml:space="preserve">804</t>
  </si>
  <si>
    <t xml:space="preserve">SENSOR RESERV DAGUA</t>
  </si>
  <si>
    <t xml:space="preserve">90261029.</t>
  </si>
  <si>
    <t xml:space="preserve">806</t>
  </si>
  <si>
    <t xml:space="preserve">M-SUPER MOTO 4T SG</t>
  </si>
  <si>
    <t xml:space="preserve">C B BATERIAS LTDA</t>
  </si>
  <si>
    <t xml:space="preserve">29</t>
  </si>
  <si>
    <t xml:space="preserve">PECAS MOTO</t>
  </si>
  <si>
    <t xml:space="preserve">27/08/2019</t>
  </si>
  <si>
    <t xml:space="preserve">807</t>
  </si>
  <si>
    <t xml:space="preserve">BATERIA AUTOM  12V</t>
  </si>
  <si>
    <t xml:space="preserve">85119000.</t>
  </si>
  <si>
    <t xml:space="preserve">PARTES</t>
  </si>
  <si>
    <t xml:space="preserve">808</t>
  </si>
  <si>
    <t xml:space="preserve">LAMP P/ FARO FIESTA/KA/VECTRA</t>
  </si>
  <si>
    <t xml:space="preserve">29/08/2019</t>
  </si>
  <si>
    <t xml:space="preserve">809</t>
  </si>
  <si>
    <t xml:space="preserve">COXAO DURO CONG MARFRIG</t>
  </si>
  <si>
    <t xml:space="preserve">107</t>
  </si>
  <si>
    <t xml:space="preserve">COXAO DURO CONGELADO</t>
  </si>
  <si>
    <t xml:space="preserve">811</t>
  </si>
  <si>
    <t xml:space="preserve">CAMISA MANGA CURTA</t>
  </si>
  <si>
    <t xml:space="preserve">D' ANGELLUS CONFECCOES INDUSTRIA E COMERCIO LTDA</t>
  </si>
  <si>
    <t xml:space="preserve">FARDAMENTO</t>
  </si>
  <si>
    <t xml:space="preserve">108</t>
  </si>
  <si>
    <t xml:space="preserve">CAMISAS</t>
  </si>
  <si>
    <t xml:space="preserve">62053000.</t>
  </si>
  <si>
    <t xml:space="preserve">DE FIBRAS SINTETICAS OU ARTIFICIAIS</t>
  </si>
  <si>
    <t xml:space="preserve">03/09/2019</t>
  </si>
  <si>
    <t xml:space="preserve">812</t>
  </si>
  <si>
    <t xml:space="preserve">GRAMPO COBRE 26/6 C/5000 ACC</t>
  </si>
  <si>
    <t xml:space="preserve">83052000.</t>
  </si>
  <si>
    <t xml:space="preserve">GRAMPOS APRESENTADOS EM BARRETAS</t>
  </si>
  <si>
    <t xml:space="preserve">813</t>
  </si>
  <si>
    <t xml:space="preserve">EXTRATOR GRAMPO</t>
  </si>
  <si>
    <t xml:space="preserve">82141000.</t>
  </si>
  <si>
    <t xml:space="preserve">ESPATULAS, ABRECARTAS, RASPADEIRAS, APONTADORES DE LAPIS E S</t>
  </si>
  <si>
    <t xml:space="preserve">814</t>
  </si>
  <si>
    <t xml:space="preserve">ARANHA CAPA</t>
  </si>
  <si>
    <t xml:space="preserve">87087090.</t>
  </si>
  <si>
    <t xml:space="preserve">OUTRAS RODAS,SUAS PARTES E ACESS.P/VEICULOS AUTOMOVEIS</t>
  </si>
  <si>
    <t xml:space="preserve">815</t>
  </si>
  <si>
    <t xml:space="preserve">PRIS MOTOR</t>
  </si>
  <si>
    <t xml:space="preserve">816</t>
  </si>
  <si>
    <t xml:space="preserve">TRAVA ROSCA QUIMICA</t>
  </si>
  <si>
    <t xml:space="preserve">817</t>
  </si>
  <si>
    <t xml:space="preserve">OLEO</t>
  </si>
  <si>
    <t xml:space="preserve">818</t>
  </si>
  <si>
    <t xml:space="preserve">ROL ALT</t>
  </si>
  <si>
    <t xml:space="preserve">821</t>
  </si>
  <si>
    <t xml:space="preserve">FRALDINHA DIAFRAGMA CONG. FRIBEV</t>
  </si>
  <si>
    <t xml:space="preserve">06/09/2019</t>
  </si>
  <si>
    <t xml:space="preserve">822</t>
  </si>
  <si>
    <t xml:space="preserve">MASCARA SALGADA SUINA SUINCO</t>
  </si>
  <si>
    <t xml:space="preserve">ORELHA SALGADA</t>
  </si>
  <si>
    <t xml:space="preserve">823</t>
  </si>
  <si>
    <t xml:space="preserve">TONER</t>
  </si>
  <si>
    <t xml:space="preserve">166</t>
  </si>
  <si>
    <t xml:space="preserve">EDMAR INACIO FIRMINO - ME</t>
  </si>
  <si>
    <t xml:space="preserve">AQUISIÇÃO DE PEÇAS EM GERAL HARDWARE</t>
  </si>
  <si>
    <t xml:space="preserve">113</t>
  </si>
  <si>
    <t xml:space="preserve">IMPRESSORAS</t>
  </si>
  <si>
    <t xml:space="preserve">84439933.</t>
  </si>
  <si>
    <t xml:space="preserve">CARTUCHOS DE REVELADOR OU DE PRODUTOS PARA VIRAGEM ("TONERS"</t>
  </si>
  <si>
    <t xml:space="preserve">824</t>
  </si>
  <si>
    <t xml:space="preserve">REVELADORA</t>
  </si>
  <si>
    <t xml:space="preserve">84439939.</t>
  </si>
  <si>
    <t xml:space="preserve">825</t>
  </si>
  <si>
    <t xml:space="preserve">ROLO CARGA</t>
  </si>
  <si>
    <t xml:space="preserve">826</t>
  </si>
  <si>
    <t xml:space="preserve">TAMPA COMANDO VAL 352</t>
  </si>
  <si>
    <t xml:space="preserve">10/09/2019</t>
  </si>
  <si>
    <t xml:space="preserve">827</t>
  </si>
  <si>
    <t xml:space="preserve">MANG INTER PRETA VW</t>
  </si>
  <si>
    <t xml:space="preserve">40093100.</t>
  </si>
  <si>
    <t xml:space="preserve">SEM ACESSORIOS</t>
  </si>
  <si>
    <t xml:space="preserve">828</t>
  </si>
  <si>
    <t xml:space="preserve">ADESIVO</t>
  </si>
  <si>
    <t xml:space="preserve">11/09/2019</t>
  </si>
  <si>
    <t xml:space="preserve">829</t>
  </si>
  <si>
    <t xml:space="preserve">CUICA FREIO</t>
  </si>
  <si>
    <t xml:space="preserve">830</t>
  </si>
  <si>
    <t xml:space="preserve">ILUMIN DE EMERG AUT - LEA30</t>
  </si>
  <si>
    <t xml:space="preserve">114</t>
  </si>
  <si>
    <t xml:space="preserve">LAMPADAS</t>
  </si>
  <si>
    <t xml:space="preserve">831</t>
  </si>
  <si>
    <t xml:space="preserve">PATINHO BOV CONG FRIBOI (PORCIONADO)</t>
  </si>
  <si>
    <t xml:space="preserve">832</t>
  </si>
  <si>
    <t xml:space="preserve">CONTRA FILE CONG FRIBOI</t>
  </si>
  <si>
    <t xml:space="preserve">833</t>
  </si>
  <si>
    <t xml:space="preserve">GASOLINA ADITIVA</t>
  </si>
  <si>
    <t xml:space="preserve">12/09/2019</t>
  </si>
  <si>
    <t xml:space="preserve">834</t>
  </si>
  <si>
    <t xml:space="preserve">RESERV DAGUA RAD MBB ACELLO</t>
  </si>
  <si>
    <t xml:space="preserve">13/09/2019</t>
  </si>
  <si>
    <t xml:space="preserve">835</t>
  </si>
  <si>
    <t xml:space="preserve">FILTRO LUB</t>
  </si>
  <si>
    <t xml:space="preserve">16/09/2019</t>
  </si>
  <si>
    <t xml:space="preserve">836</t>
  </si>
  <si>
    <t xml:space="preserve">ELEMENTO FILTRO AR</t>
  </si>
  <si>
    <t xml:space="preserve">837</t>
  </si>
  <si>
    <t xml:space="preserve">BL REC 38X50</t>
  </si>
  <si>
    <t xml:space="preserve">48201000.</t>
  </si>
  <si>
    <t xml:space="preserve">LIVROS DE REGISTRO E DE CONTABILIDADE, BLOCOS DE NOTAS, DE E</t>
  </si>
  <si>
    <t xml:space="preserve">838</t>
  </si>
  <si>
    <t xml:space="preserve">REFIL TINTA</t>
  </si>
  <si>
    <t xml:space="preserve">RAFAEL &amp; DANTAS LTDA</t>
  </si>
  <si>
    <t xml:space="preserve">96122000.</t>
  </si>
  <si>
    <t xml:space="preserve">ALMOFADAS DE CARIMBO</t>
  </si>
  <si>
    <t xml:space="preserve">839</t>
  </si>
  <si>
    <t xml:space="preserve">FITA ADESIVA 45X100</t>
  </si>
  <si>
    <t xml:space="preserve">59061000.</t>
  </si>
  <si>
    <t xml:space="preserve">FITAS ADESIVAS DE LARGURA NAO SUPERIOR A 20CM</t>
  </si>
  <si>
    <t xml:space="preserve">840</t>
  </si>
  <si>
    <t xml:space="preserve">ARQUIVO</t>
  </si>
  <si>
    <t xml:space="preserve">39261000.</t>
  </si>
  <si>
    <t xml:space="preserve">ARTIGOS DE ESCRITORIO E ARTIGOS ESCOLARES</t>
  </si>
  <si>
    <t xml:space="preserve">842</t>
  </si>
  <si>
    <t xml:space="preserve">PALETA S/ MUSCULO CONG MARFRIG</t>
  </si>
  <si>
    <t xml:space="preserve">843</t>
  </si>
  <si>
    <t xml:space="preserve">PERFIL ENC 93 X 30 2.00MM</t>
  </si>
  <si>
    <t xml:space="preserve">AÇO CEARENSE INDUSTRIAL LTDA</t>
  </si>
  <si>
    <t xml:space="preserve">17/09/2019</t>
  </si>
  <si>
    <t xml:space="preserve">844</t>
  </si>
  <si>
    <t xml:space="preserve">PERFIL U 4" 40MM 3,00MM LQ 6000MM</t>
  </si>
  <si>
    <t xml:space="preserve">845</t>
  </si>
  <si>
    <t xml:space="preserve">BARRA REDONDA MECANICA 9,50MM 6M N</t>
  </si>
  <si>
    <t xml:space="preserve">72149910.</t>
  </si>
  <si>
    <t xml:space="preserve">DE SECAO CIRCULAR</t>
  </si>
  <si>
    <t xml:space="preserve">18/09/2019</t>
  </si>
  <si>
    <t xml:space="preserve">846</t>
  </si>
  <si>
    <t xml:space="preserve">DETERGENTE CLORADO</t>
  </si>
  <si>
    <t xml:space="preserve">RAIMUNDA EUSELIA ARAUJO BARROS</t>
  </si>
  <si>
    <t xml:space="preserve">34029090.</t>
  </si>
  <si>
    <t xml:space="preserve">26/09/2019</t>
  </si>
  <si>
    <t xml:space="preserve">847</t>
  </si>
  <si>
    <t xml:space="preserve">VEDADOR DO BUJAO DO CARTER N/S10</t>
  </si>
  <si>
    <t xml:space="preserve">KRAUTOP VEICULOS E PEÇAS LTDA</t>
  </si>
  <si>
    <t xml:space="preserve">28</t>
  </si>
  <si>
    <t xml:space="preserve">PECAS VEICULOS PEQUENO PORTE</t>
  </si>
  <si>
    <t xml:space="preserve">848</t>
  </si>
  <si>
    <t xml:space="preserve">FILTRO DE AR DO AR CONDICIONADO N/S10</t>
  </si>
  <si>
    <t xml:space="preserve">849</t>
  </si>
  <si>
    <t xml:space="preserve">FLUIDO DO FREIO DOT 4</t>
  </si>
  <si>
    <t xml:space="preserve">850</t>
  </si>
  <si>
    <t xml:space="preserve">OLEO MOTOR</t>
  </si>
  <si>
    <t xml:space="preserve">851</t>
  </si>
  <si>
    <t xml:space="preserve">ELEMENTO DO FILTRO DE OLEO - N/S10</t>
  </si>
  <si>
    <t xml:space="preserve">852</t>
  </si>
  <si>
    <t xml:space="preserve">FILTRO SEPARADOR DAGUA MBB</t>
  </si>
  <si>
    <t xml:space="preserve">853</t>
  </si>
  <si>
    <t xml:space="preserve">CABO BY1001</t>
  </si>
  <si>
    <t xml:space="preserve">CABOS EM GERAL</t>
  </si>
  <si>
    <t xml:space="preserve">85044030.</t>
  </si>
  <si>
    <t xml:space="preserve">CONVERSORES DE CORRENTE CONTINUA</t>
  </si>
  <si>
    <t xml:space="preserve">854</t>
  </si>
  <si>
    <t xml:space="preserve">CABO 2 RCA + 2RCA NIQUEL 2M</t>
  </si>
  <si>
    <t xml:space="preserve">85444200.</t>
  </si>
  <si>
    <t xml:space="preserve">MUNIDOS DE PECAS DE CONEXAO</t>
  </si>
  <si>
    <t xml:space="preserve">855</t>
  </si>
  <si>
    <t xml:space="preserve">AREIA GROSSA MT</t>
  </si>
  <si>
    <t xml:space="preserve">118</t>
  </si>
  <si>
    <t xml:space="preserve">AREIA</t>
  </si>
  <si>
    <t xml:space="preserve">25059000.</t>
  </si>
  <si>
    <t xml:space="preserve">OUTRAS AREIAS NATURAIS,MESMO CORADAS</t>
  </si>
  <si>
    <t xml:space="preserve">856</t>
  </si>
  <si>
    <t xml:space="preserve">AREIA FINA MT</t>
  </si>
  <si>
    <t xml:space="preserve">25232990.</t>
  </si>
  <si>
    <t xml:space="preserve">OUTROS TIPOS DE CIMENTO "PORTLAND"</t>
  </si>
  <si>
    <t xml:space="preserve">857</t>
  </si>
  <si>
    <t xml:space="preserve">CIMENTO POTY 50KG</t>
  </si>
  <si>
    <t xml:space="preserve">CIMENTO</t>
  </si>
  <si>
    <t xml:space="preserve">SC</t>
  </si>
  <si>
    <t xml:space="preserve">25232910.</t>
  </si>
  <si>
    <t xml:space="preserve">CIMENTOS "PORTLAND",COMUNS</t>
  </si>
  <si>
    <t xml:space="preserve">859</t>
  </si>
  <si>
    <t xml:space="preserve">TIJOLO FURADO TAVARES UNID</t>
  </si>
  <si>
    <t xml:space="preserve">TIJOLO</t>
  </si>
  <si>
    <t xml:space="preserve">69041000.</t>
  </si>
  <si>
    <t xml:space="preserve">TIJOLOS PARA CONSTRUCAO</t>
  </si>
  <si>
    <t xml:space="preserve">860</t>
  </si>
  <si>
    <t xml:space="preserve">SUPERCAL HIDRACOR</t>
  </si>
  <si>
    <t xml:space="preserve">SUPERCAL</t>
  </si>
  <si>
    <t xml:space="preserve">25223000.</t>
  </si>
  <si>
    <t xml:space="preserve">CAL HIDRAULICA</t>
  </si>
  <si>
    <t xml:space="preserve">861</t>
  </si>
  <si>
    <t xml:space="preserve">BROXA NYLON</t>
  </si>
  <si>
    <t xml:space="preserve">96034090.</t>
  </si>
  <si>
    <t xml:space="preserve">ESCOVAS E PINCEIS P/PINTAR,CAIAR,ENVERNIZAR,ETC.BONECAS</t>
  </si>
  <si>
    <t xml:space="preserve">862</t>
  </si>
  <si>
    <t xml:space="preserve">TINTA EM PO HIDRACOR</t>
  </si>
  <si>
    <t xml:space="preserve">863</t>
  </si>
  <si>
    <t xml:space="preserve">TERMINAL BAT CHAPA INF C 2  PARAF</t>
  </si>
  <si>
    <t xml:space="preserve">30/09/2019</t>
  </si>
  <si>
    <t xml:space="preserve">865</t>
  </si>
  <si>
    <t xml:space="preserve">PICANHA A BOV CONG MARFRIG</t>
  </si>
  <si>
    <t xml:space="preserve">866</t>
  </si>
  <si>
    <t xml:space="preserve">LINGUA CONG FRIBOI</t>
  </si>
  <si>
    <t xml:space="preserve">LINGUA</t>
  </si>
  <si>
    <t xml:space="preserve">02062100.</t>
  </si>
  <si>
    <t xml:space="preserve">LINGUAS DE BOVINO,CONGELADAS</t>
  </si>
  <si>
    <t xml:space="preserve">01/10/2019</t>
  </si>
  <si>
    <t xml:space="preserve">867</t>
  </si>
  <si>
    <t xml:space="preserve">REGULADOR ALT 80AMP</t>
  </si>
  <si>
    <t xml:space="preserve">90328911.</t>
  </si>
  <si>
    <t xml:space="preserve">REGULADORES ELETRONICOS,DE VOLTAGEM,AUTOMATICOS</t>
  </si>
  <si>
    <t xml:space="preserve">02/10/2019</t>
  </si>
  <si>
    <t xml:space="preserve">868</t>
  </si>
  <si>
    <t xml:space="preserve">AMORT DT VW 7100</t>
  </si>
  <si>
    <t xml:space="preserve">869</t>
  </si>
  <si>
    <t xml:space="preserve">SENSOR FG SB41</t>
  </si>
  <si>
    <t xml:space="preserve">REFRIGERACAO DUFRIO COMERCIO E IMPORTACAO LTDA</t>
  </si>
  <si>
    <t xml:space="preserve">85334011.</t>
  </si>
  <si>
    <t xml:space="preserve">TERMISTORES</t>
  </si>
  <si>
    <t xml:space="preserve">870</t>
  </si>
  <si>
    <t xml:space="preserve">GRAXA 01KG ROL C SABAO</t>
  </si>
  <si>
    <t xml:space="preserve">871</t>
  </si>
  <si>
    <t xml:space="preserve">RET RD DT FORD VW</t>
  </si>
  <si>
    <t xml:space="preserve">872</t>
  </si>
  <si>
    <t xml:space="preserve">MOLA PATIM FR</t>
  </si>
  <si>
    <t xml:space="preserve">873</t>
  </si>
  <si>
    <t xml:space="preserve">MOLA PATIM FR SIST MASTER</t>
  </si>
  <si>
    <t xml:space="preserve">874</t>
  </si>
  <si>
    <t xml:space="preserve">BORRACHA C ROL CARDAN</t>
  </si>
  <si>
    <t xml:space="preserve">875</t>
  </si>
  <si>
    <t xml:space="preserve">ROL ALT MTR PART</t>
  </si>
  <si>
    <t xml:space="preserve">876</t>
  </si>
  <si>
    <t xml:space="preserve">TERMINAL INSTALACAO ENCAIXE</t>
  </si>
  <si>
    <t xml:space="preserve">877</t>
  </si>
  <si>
    <t xml:space="preserve">ROL ALT 80 90A MB</t>
  </si>
  <si>
    <t xml:space="preserve">OLEO HIPOIDAL CX CAMBIO DIF</t>
  </si>
  <si>
    <t xml:space="preserve">879</t>
  </si>
  <si>
    <t xml:space="preserve">COLA ADESIVA MTR DIESEL</t>
  </si>
  <si>
    <t xml:space="preserve">880</t>
  </si>
  <si>
    <t xml:space="preserve">SOLVEFLEX</t>
  </si>
  <si>
    <t xml:space="preserve">881</t>
  </si>
  <si>
    <t xml:space="preserve">FERROLAC 3,6LT CINZA</t>
  </si>
  <si>
    <t xml:space="preserve">JOSE EUDES NUNES DA SILVA</t>
  </si>
  <si>
    <t xml:space="preserve">882</t>
  </si>
  <si>
    <t xml:space="preserve">SOLVENTE THINNER 101GL</t>
  </si>
  <si>
    <t xml:space="preserve">884</t>
  </si>
  <si>
    <t xml:space="preserve">CANTONEIRA 1X 1/8</t>
  </si>
  <si>
    <t xml:space="preserve">COMEFE COMERCIAL DE FERROS LTDA</t>
  </si>
  <si>
    <t xml:space="preserve">72162100.</t>
  </si>
  <si>
    <t xml:space="preserve">PERFIS EM L</t>
  </si>
  <si>
    <t xml:space="preserve">885</t>
  </si>
  <si>
    <t xml:space="preserve">886</t>
  </si>
  <si>
    <t xml:space="preserve">DISCO P/ CORTE ACO INOX</t>
  </si>
  <si>
    <t xml:space="preserve">68042211.</t>
  </si>
  <si>
    <t xml:space="preserve">AGLOMERADOS COM RESINA</t>
  </si>
  <si>
    <t xml:space="preserve">889</t>
  </si>
  <si>
    <t xml:space="preserve">TELHA CUM TZ</t>
  </si>
  <si>
    <t xml:space="preserve">123</t>
  </si>
  <si>
    <t xml:space="preserve">TELHA</t>
  </si>
  <si>
    <t xml:space="preserve">MT</t>
  </si>
  <si>
    <t xml:space="preserve">73089090.</t>
  </si>
  <si>
    <t xml:space="preserve">07/10/2019</t>
  </si>
  <si>
    <t xml:space="preserve">890</t>
  </si>
  <si>
    <t xml:space="preserve">CONVERSOR DIG DE TV C/GRAVADOR CD</t>
  </si>
  <si>
    <t xml:space="preserve">R7 COMERCIO E SERVIÇOS DE INFORMATICA</t>
  </si>
  <si>
    <t xml:space="preserve">124</t>
  </si>
  <si>
    <t xml:space="preserve">CONVERSOR DIGITAL</t>
  </si>
  <si>
    <t xml:space="preserve">84231000.</t>
  </si>
  <si>
    <t xml:space="preserve">BALANCAS PARA PESSOAS INCLUIDAS AS BALANCAS PARA BEBES BAL</t>
  </si>
  <si>
    <t xml:space="preserve">891</t>
  </si>
  <si>
    <t xml:space="preserve">JUNTA ACO DRENO C</t>
  </si>
  <si>
    <t xml:space="preserve">73269090.</t>
  </si>
  <si>
    <t xml:space="preserve">892</t>
  </si>
  <si>
    <t xml:space="preserve">PRE-FILTRO COMB HILUX</t>
  </si>
  <si>
    <t xml:space="preserve">893</t>
  </si>
  <si>
    <t xml:space="preserve">FILTRO ELEMENTO FI</t>
  </si>
  <si>
    <t xml:space="preserve">894</t>
  </si>
  <si>
    <t xml:space="preserve">BUCHA ESTAB HILUX</t>
  </si>
  <si>
    <t xml:space="preserve">895</t>
  </si>
  <si>
    <t xml:space="preserve">JUNTA (BUJAO DRENO CARTER OLEO)</t>
  </si>
  <si>
    <t xml:space="preserve">76169900.</t>
  </si>
  <si>
    <t xml:space="preserve">896</t>
  </si>
  <si>
    <t xml:space="preserve">FILTRO OLEO HILUX</t>
  </si>
  <si>
    <t xml:space="preserve">897</t>
  </si>
  <si>
    <t xml:space="preserve">OLEO TOY 5W30 TB</t>
  </si>
  <si>
    <t xml:space="preserve">898</t>
  </si>
  <si>
    <t xml:space="preserve">OLEO LUBRIFICANTE, C</t>
  </si>
  <si>
    <t xml:space="preserve">OLEO TRANS ATF DIII</t>
  </si>
  <si>
    <t xml:space="preserve">27101992.</t>
  </si>
  <si>
    <t xml:space="preserve">LIQUIDOS PARA TRANSMISSOES HIDRAULICAS</t>
  </si>
  <si>
    <t xml:space="preserve">900</t>
  </si>
  <si>
    <t xml:space="preserve">KIT REVISAO</t>
  </si>
  <si>
    <t xml:space="preserve">38119090.</t>
  </si>
  <si>
    <t xml:space="preserve">901</t>
  </si>
  <si>
    <t xml:space="preserve">SOLUCAO P/ RADIADOR ADITIVO</t>
  </si>
  <si>
    <t xml:space="preserve">NEWSEDAN COMERCIO DE VEICULO LTDA</t>
  </si>
  <si>
    <t xml:space="preserve">10/10/2019</t>
  </si>
  <si>
    <t xml:space="preserve">902</t>
  </si>
  <si>
    <t xml:space="preserve">HELIX ULTRA AP. L 5W30 RENEGADE</t>
  </si>
  <si>
    <t xml:space="preserve">903</t>
  </si>
  <si>
    <t xml:space="preserve">PERFIL I 8 W 200 X 26.6</t>
  </si>
  <si>
    <t xml:space="preserve">KIACO COMERCIAL DE ACO LTDA</t>
  </si>
  <si>
    <t xml:space="preserve">72163200.</t>
  </si>
  <si>
    <t xml:space="preserve">PERFIS EM I</t>
  </si>
  <si>
    <t xml:space="preserve">904</t>
  </si>
  <si>
    <t xml:space="preserve">ELETRODO SOLDA WELD</t>
  </si>
  <si>
    <t xml:space="preserve">83111000.</t>
  </si>
  <si>
    <t xml:space="preserve">ELETRODOS REVESTIDOS EXTERIORMENTE PARA SOLDAR A ARCO, DE ME</t>
  </si>
  <si>
    <t xml:space="preserve">906</t>
  </si>
  <si>
    <t xml:space="preserve">CARRE SUINO CONG FRIMESA</t>
  </si>
  <si>
    <t xml:space="preserve">908</t>
  </si>
  <si>
    <t xml:space="preserve">LONA PRETA 4 X 1</t>
  </si>
  <si>
    <t xml:space="preserve">M&amp;C COMERCIO DE FERRAGENS LTDA</t>
  </si>
  <si>
    <t xml:space="preserve">125</t>
  </si>
  <si>
    <t xml:space="preserve">LONA</t>
  </si>
  <si>
    <t xml:space="preserve">16/10/2019</t>
  </si>
  <si>
    <t xml:space="preserve">909</t>
  </si>
  <si>
    <t xml:space="preserve">LAMP PINGO DAGUA GD 12V 3W</t>
  </si>
  <si>
    <t xml:space="preserve">17/10/2019</t>
  </si>
  <si>
    <t xml:space="preserve">910</t>
  </si>
  <si>
    <t xml:space="preserve">ABRACADEIRA NYLON 10CM</t>
  </si>
  <si>
    <t xml:space="preserve">911</t>
  </si>
  <si>
    <t xml:space="preserve">FITA</t>
  </si>
  <si>
    <t xml:space="preserve">912</t>
  </si>
  <si>
    <t xml:space="preserve">LANT DELIMITADORA VM C LED BI VOLT</t>
  </si>
  <si>
    <t xml:space="preserve">85122021.</t>
  </si>
  <si>
    <t xml:space="preserve">LUZES FIXAS</t>
  </si>
  <si>
    <t xml:space="preserve">913</t>
  </si>
  <si>
    <t xml:space="preserve">SENSOR FILTRO COMB VW COR AMARELA</t>
  </si>
  <si>
    <t xml:space="preserve">914</t>
  </si>
  <si>
    <t xml:space="preserve">LANT PLACA CR C LED  BI VOLT</t>
  </si>
  <si>
    <t xml:space="preserve">915</t>
  </si>
  <si>
    <t xml:space="preserve">SIKADURA EPOXI 1KG</t>
  </si>
  <si>
    <t xml:space="preserve">SIKADUR</t>
  </si>
  <si>
    <t xml:space="preserve">18/10/2019</t>
  </si>
  <si>
    <t xml:space="preserve">916</t>
  </si>
  <si>
    <t xml:space="preserve">CURVA  HORIZ PERF</t>
  </si>
  <si>
    <t xml:space="preserve">917</t>
  </si>
  <si>
    <t xml:space="preserve">PREGO</t>
  </si>
  <si>
    <t xml:space="preserve">127</t>
  </si>
  <si>
    <t xml:space="preserve">PREGOS</t>
  </si>
  <si>
    <t xml:space="preserve">918</t>
  </si>
  <si>
    <t xml:space="preserve">ARAME</t>
  </si>
  <si>
    <t xml:space="preserve">72172090.</t>
  </si>
  <si>
    <t xml:space="preserve">919</t>
  </si>
  <si>
    <t xml:space="preserve">TRELICA LEVE 6M</t>
  </si>
  <si>
    <t xml:space="preserve">309</t>
  </si>
  <si>
    <t xml:space="preserve">THIAGO  VITAL RABELO ME</t>
  </si>
  <si>
    <t xml:space="preserve">TRELICA</t>
  </si>
  <si>
    <t xml:space="preserve">73084000.</t>
  </si>
  <si>
    <t xml:space="preserve">MATERIAL PARA ANDAIMES, PARA ARMACOES E PARA ESCORAMENTOS</t>
  </si>
  <si>
    <t xml:space="preserve">VERGALHAO</t>
  </si>
  <si>
    <t xml:space="preserve">130</t>
  </si>
  <si>
    <t xml:space="preserve">72131000.</t>
  </si>
  <si>
    <t xml:space="preserve">DENTADOS, COM NERVURAS, SULCOS OU RELEVOS, OBTIDOS DURANTE A</t>
  </si>
  <si>
    <t xml:space="preserve">921</t>
  </si>
  <si>
    <t xml:space="preserve">VERGALHAO CA50 10 .00MM</t>
  </si>
  <si>
    <t xml:space="preserve">72142000.</t>
  </si>
  <si>
    <t xml:space="preserve">DENTADAS, COM NERVURAS, SULCOS OU RELEVOS, OBTIDOS DURANTE A</t>
  </si>
  <si>
    <t xml:space="preserve">922</t>
  </si>
  <si>
    <t xml:space="preserve">ARAME RECOZIDO 18</t>
  </si>
  <si>
    <t xml:space="preserve">72171090.</t>
  </si>
  <si>
    <t xml:space="preserve">927</t>
  </si>
  <si>
    <t xml:space="preserve">FILE MIGNON S/ CORDAO CONG QUALITYBEEF</t>
  </si>
  <si>
    <t xml:space="preserve">22/10/2019</t>
  </si>
  <si>
    <t xml:space="preserve">928</t>
  </si>
  <si>
    <t xml:space="preserve">ROL RD DT INT  MBB ACCELO</t>
  </si>
  <si>
    <t xml:space="preserve">24/10/2019</t>
  </si>
  <si>
    <t xml:space="preserve">929</t>
  </si>
  <si>
    <t xml:space="preserve">ROL RD DT EXTERNO  MBB ACCELO</t>
  </si>
  <si>
    <t xml:space="preserve">930</t>
  </si>
  <si>
    <t xml:space="preserve">RET TS MBB ACELLO 915 815</t>
  </si>
  <si>
    <t xml:space="preserve">931</t>
  </si>
  <si>
    <t xml:space="preserve">RETENTOR  RODA DT ACCELO 715 915OPCIONAL</t>
  </si>
  <si>
    <t xml:space="preserve">932</t>
  </si>
  <si>
    <t xml:space="preserve">PINHAO DIF MBB ACCELO 915</t>
  </si>
  <si>
    <t xml:space="preserve">933</t>
  </si>
  <si>
    <t xml:space="preserve">JG LONA FR DT TS SIST MASTER VW AGRALE</t>
  </si>
  <si>
    <t xml:space="preserve">934</t>
  </si>
  <si>
    <t xml:space="preserve">REBITE 10X08 FERRO BICROM TUBULAR</t>
  </si>
  <si>
    <t xml:space="preserve">935</t>
  </si>
  <si>
    <t xml:space="preserve">CONE SINALIZA 70CM</t>
  </si>
  <si>
    <t xml:space="preserve">APIGUANA MAQUINAS E FERRAMENTAS LTDA</t>
  </si>
  <si>
    <t xml:space="preserve">139</t>
  </si>
  <si>
    <t xml:space="preserve">EQUIPAMENTOS DE EPI</t>
  </si>
  <si>
    <t xml:space="preserve">938</t>
  </si>
  <si>
    <t xml:space="preserve">TRAVA ARANHA CUBO TS 63X88MM</t>
  </si>
  <si>
    <t xml:space="preserve">939</t>
  </si>
  <si>
    <t xml:space="preserve">CORREIA POLY V MTR MBB ATEGO</t>
  </si>
  <si>
    <t xml:space="preserve">940</t>
  </si>
  <si>
    <t xml:space="preserve">REFIL TONER 1 KG</t>
  </si>
  <si>
    <t xml:space="preserve">941</t>
  </si>
  <si>
    <t xml:space="preserve">CARTUCHO FS 1060</t>
  </si>
  <si>
    <t xml:space="preserve">942</t>
  </si>
  <si>
    <t xml:space="preserve">MOLA FREIO G MENOR</t>
  </si>
  <si>
    <t xml:space="preserve">28/10/2019</t>
  </si>
  <si>
    <t xml:space="preserve">943</t>
  </si>
  <si>
    <t xml:space="preserve">LAJES DE CERAMICA</t>
  </si>
  <si>
    <t xml:space="preserve">PONTUAL COMERCIO VAREJISTA DE MATERIAL DE CONSTRUCAO LTDA</t>
  </si>
  <si>
    <t xml:space="preserve">68101100.</t>
  </si>
  <si>
    <t xml:space="preserve">BLOCOS E TIJOLOS PARA A CONSTRUCAO</t>
  </si>
  <si>
    <t xml:space="preserve">944</t>
  </si>
  <si>
    <t xml:space="preserve">AÇUCAR</t>
  </si>
  <si>
    <t xml:space="preserve">FD</t>
  </si>
  <si>
    <t xml:space="preserve">17011100.</t>
  </si>
  <si>
    <t xml:space="preserve">ACUCAR DE CANA,EM BRUTO</t>
  </si>
  <si>
    <t xml:space="preserve">945</t>
  </si>
  <si>
    <t xml:space="preserve">SILICONE VERM CINZA 50G</t>
  </si>
  <si>
    <t xml:space="preserve">39100013.</t>
  </si>
  <si>
    <t xml:space="preserve">COPOLIMEROS DE DIMETILSILOXANO COM COMPOSTOS VINILICOS, DE V</t>
  </si>
  <si>
    <t xml:space="preserve">947</t>
  </si>
  <si>
    <t xml:space="preserve">SEMI EIXO VW8140</t>
  </si>
  <si>
    <t xml:space="preserve">949</t>
  </si>
  <si>
    <t xml:space="preserve">ROL EXT TZ VW/F4000</t>
  </si>
  <si>
    <t xml:space="preserve">950</t>
  </si>
  <si>
    <t xml:space="preserve">OLEO LITRO 90CX/DIF</t>
  </si>
  <si>
    <t xml:space="preserve">951</t>
  </si>
  <si>
    <t xml:space="preserve">GRAMPO 5/8X82X300-D</t>
  </si>
  <si>
    <t xml:space="preserve">952</t>
  </si>
  <si>
    <t xml:space="preserve">SILICONE LOCTITE CINZA</t>
  </si>
  <si>
    <t xml:space="preserve">954</t>
  </si>
  <si>
    <t xml:space="preserve">CAIXA SATELITE VW8160</t>
  </si>
  <si>
    <t xml:space="preserve">955</t>
  </si>
  <si>
    <t xml:space="preserve">ROL LAT COROA VW8140</t>
  </si>
  <si>
    <t xml:space="preserve">956</t>
  </si>
  <si>
    <t xml:space="preserve">MOBIL 4T 20W50</t>
  </si>
  <si>
    <t xml:space="preserve">957</t>
  </si>
  <si>
    <t xml:space="preserve">ALUM CHAPA XADREZ 2 X 1 X 3MM</t>
  </si>
  <si>
    <t xml:space="preserve">ALUMIL COMERCIO E REPRESENTACOES LTDA</t>
  </si>
  <si>
    <t xml:space="preserve">132</t>
  </si>
  <si>
    <t xml:space="preserve">ALUMINIO</t>
  </si>
  <si>
    <t xml:space="preserve">76061190.</t>
  </si>
  <si>
    <t xml:space="preserve">958</t>
  </si>
  <si>
    <t xml:space="preserve">CHAPAS 1/4"</t>
  </si>
  <si>
    <t xml:space="preserve">METAL &amp; ACO INDUSTRIA, COMERCIO E SERVIÇOS EIRELI</t>
  </si>
  <si>
    <t xml:space="preserve">133</t>
  </si>
  <si>
    <t xml:space="preserve">CHAPAS</t>
  </si>
  <si>
    <t xml:space="preserve">72085200.</t>
  </si>
  <si>
    <t xml:space="preserve">DE ESPESSURA IGUAL OU SUPERIOR A 4,75MM MAS NAO SUPERIOR A 1</t>
  </si>
  <si>
    <t xml:space="preserve">959</t>
  </si>
  <si>
    <t xml:space="preserve">CALHA GALVALUME 0,43MM</t>
  </si>
  <si>
    <t xml:space="preserve">CALHA</t>
  </si>
  <si>
    <t xml:space="preserve">69051000.</t>
  </si>
  <si>
    <t xml:space="preserve">TELHAS</t>
  </si>
  <si>
    <t xml:space="preserve">960</t>
  </si>
  <si>
    <t xml:space="preserve">ACEM BOV CONG MARFRIG</t>
  </si>
  <si>
    <t xml:space="preserve">962</t>
  </si>
  <si>
    <t xml:space="preserve">SAIDA HORIZ</t>
  </si>
  <si>
    <t xml:space="preserve">29/10/2019</t>
  </si>
  <si>
    <t xml:space="preserve">963</t>
  </si>
  <si>
    <t xml:space="preserve">LUVA SOLDAVEL</t>
  </si>
  <si>
    <t xml:space="preserve">964</t>
  </si>
  <si>
    <t xml:space="preserve">CURVA  P/ ELETRODUTO ROSCAVEL 3/4" TIGRE</t>
  </si>
  <si>
    <t xml:space="preserve">136</t>
  </si>
  <si>
    <t xml:space="preserve">ELETRODUTO</t>
  </si>
  <si>
    <t xml:space="preserve">965</t>
  </si>
  <si>
    <t xml:space="preserve">BROCA AAO RAP IRWIN  13/64</t>
  </si>
  <si>
    <t xml:space="preserve">A DE SILVA A ME</t>
  </si>
  <si>
    <t xml:space="preserve">137</t>
  </si>
  <si>
    <t xml:space="preserve">BROCAS</t>
  </si>
  <si>
    <t xml:space="preserve">82075011.</t>
  </si>
  <si>
    <t xml:space="preserve">HELICOIDAIS, COM DIAMETRO INFERIOR OU IGUAL A 52MM</t>
  </si>
  <si>
    <t xml:space="preserve">966</t>
  </si>
  <si>
    <t xml:space="preserve">PF AUTO BROC TEL ZB  12X4</t>
  </si>
  <si>
    <t xml:space="preserve">CT</t>
  </si>
  <si>
    <t xml:space="preserve">967</t>
  </si>
  <si>
    <t xml:space="preserve">REB REPUXO ALUM 4,8(3/16)X12</t>
  </si>
  <si>
    <t xml:space="preserve">83082000.</t>
  </si>
  <si>
    <t xml:space="preserve">REBITES TUBULARES OU DE HASTE FENDIDA</t>
  </si>
  <si>
    <t xml:space="preserve">968</t>
  </si>
  <si>
    <t xml:space="preserve">CALAO TRAPEZOIDE TELHA</t>
  </si>
  <si>
    <t xml:space="preserve">39269010.</t>
  </si>
  <si>
    <t xml:space="preserve">ARRUELAS</t>
  </si>
  <si>
    <t xml:space="preserve">969</t>
  </si>
  <si>
    <t xml:space="preserve">CINTO ERGONOMICO PROF  LOMBAR G</t>
  </si>
  <si>
    <t xml:space="preserve">STOCK CPOM. EQUIP. E DE SEGURANÇA LTDA</t>
  </si>
  <si>
    <t xml:space="preserve">90211010.</t>
  </si>
  <si>
    <t xml:space="preserve">ARTIGOS E APARELHOS ORTOPEDICOS</t>
  </si>
  <si>
    <t xml:space="preserve">30/10/2019</t>
  </si>
  <si>
    <t xml:space="preserve">970</t>
  </si>
  <si>
    <t xml:space="preserve">CINTO ERGONOMICO PROF LOMBAR GG</t>
  </si>
  <si>
    <t xml:space="preserve">971</t>
  </si>
  <si>
    <t xml:space="preserve">TABUA DE PNEUS</t>
  </si>
  <si>
    <t xml:space="preserve">972</t>
  </si>
  <si>
    <t xml:space="preserve">KIT DE FIXAÇÃO P/ PAINEL</t>
  </si>
  <si>
    <t xml:space="preserve">973</t>
  </si>
  <si>
    <t xml:space="preserve">KIT FAIXA P/  PARACHOQUE</t>
  </si>
  <si>
    <t xml:space="preserve">73170090.</t>
  </si>
  <si>
    <t xml:space="preserve">974</t>
  </si>
  <si>
    <t xml:space="preserve">FAIXA REFLEXIVA GRAU DIAMANTE</t>
  </si>
  <si>
    <t xml:space="preserve">975</t>
  </si>
  <si>
    <t xml:space="preserve">FAIXA REFLEXIVA DIAMANTE LD</t>
  </si>
  <si>
    <t xml:space="preserve">977</t>
  </si>
  <si>
    <t xml:space="preserve">JG LAMEIRA PRETO 70X50</t>
  </si>
  <si>
    <t xml:space="preserve">978</t>
  </si>
  <si>
    <t xml:space="preserve">VALV FR MAO SIST WABCO MBB 16TON 96</t>
  </si>
  <si>
    <t xml:space="preserve">84818099.</t>
  </si>
  <si>
    <t xml:space="preserve">979</t>
  </si>
  <si>
    <t xml:space="preserve">PARAF SXT 8X20 RI MAI 25 CL8 8</t>
  </si>
  <si>
    <t xml:space="preserve">980</t>
  </si>
  <si>
    <t xml:space="preserve">CH ALLEN</t>
  </si>
  <si>
    <t xml:space="preserve">82054000.</t>
  </si>
  <si>
    <t xml:space="preserve">CHAVES DE FENDAMANUAISDE METAIS COMUNS</t>
  </si>
  <si>
    <t xml:space="preserve">981</t>
  </si>
  <si>
    <t xml:space="preserve">73182200.</t>
  </si>
  <si>
    <t xml:space="preserve">OUTRAS ARRUELAS</t>
  </si>
  <si>
    <t xml:space="preserve">982</t>
  </si>
  <si>
    <t xml:space="preserve">CHAPA LAMEIRA 60CM</t>
  </si>
  <si>
    <t xml:space="preserve">983</t>
  </si>
  <si>
    <t xml:space="preserve">TELHA MT TZ 40 0,43MM ZIN 4300MM</t>
  </si>
  <si>
    <t xml:space="preserve">984</t>
  </si>
  <si>
    <t xml:space="preserve">TELHA MT TZ 40 0,43MM ZIN 7500MM</t>
  </si>
  <si>
    <t xml:space="preserve">985</t>
  </si>
  <si>
    <t xml:space="preserve">TELHA MT TZ 40 0,43MM ZIN 6500MM</t>
  </si>
  <si>
    <t xml:space="preserve">986</t>
  </si>
  <si>
    <t xml:space="preserve">TELHA MT TZ 40 0,43MM ZIN 8000MM</t>
  </si>
  <si>
    <t xml:space="preserve">987</t>
  </si>
  <si>
    <t xml:space="preserve">MEDIDOR DE DISTANCIA 50MT GLM 50 C BOSCH</t>
  </si>
  <si>
    <t xml:space="preserve">MEGA COMERCIO DE ELETRODOMESTICOS E FERRAMENTAS LTDA</t>
  </si>
  <si>
    <t xml:space="preserve">140</t>
  </si>
  <si>
    <t xml:space="preserve">MEDIDOR</t>
  </si>
  <si>
    <t xml:space="preserve">90151000.</t>
  </si>
  <si>
    <t xml:space="preserve">TELEMETROS</t>
  </si>
  <si>
    <t xml:space="preserve">988</t>
  </si>
  <si>
    <t xml:space="preserve">SARRAFOS DE MAPARAJUBA</t>
  </si>
  <si>
    <t xml:space="preserve">316</t>
  </si>
  <si>
    <t xml:space="preserve">MADEIRAS GOMEZ LTDA EPP</t>
  </si>
  <si>
    <t xml:space="preserve">141</t>
  </si>
  <si>
    <t xml:space="preserve">SARRAFOS</t>
  </si>
  <si>
    <t xml:space="preserve">44130000.</t>
  </si>
  <si>
    <t xml:space="preserve">MADEIRA DENSIFICADA, EM BLOCOS, PRANCHAS, LAMINAS OU PERFIS.</t>
  </si>
  <si>
    <t xml:space="preserve">989</t>
  </si>
  <si>
    <t xml:space="preserve">FITA IMP EPSON FX890 MASTERPRINT</t>
  </si>
  <si>
    <t xml:space="preserve">96121090.</t>
  </si>
  <si>
    <t xml:space="preserve">OUTRAS FITAS IMPRESSORAS DE OUTRAS MATERIAS</t>
  </si>
  <si>
    <t xml:space="preserve">990</t>
  </si>
  <si>
    <t xml:space="preserve">MARCA TEXTO ASUPER NEON</t>
  </si>
  <si>
    <t xml:space="preserve">96082000.</t>
  </si>
  <si>
    <t xml:space="preserve">CANETAS E MARCADORES,C/PONTA DE FELTRO/PONTAS POROSAS</t>
  </si>
  <si>
    <t xml:space="preserve">991</t>
  </si>
  <si>
    <t xml:space="preserve">CAD CD FLORAL 1M 96F PANAMERICANA 2316</t>
  </si>
  <si>
    <t xml:space="preserve">48202000.</t>
  </si>
  <si>
    <t xml:space="preserve">CADERNOS</t>
  </si>
  <si>
    <t xml:space="preserve">992</t>
  </si>
  <si>
    <t xml:space="preserve">CAD CD FLORAL 1M 96F PANAMERICANA 1616</t>
  </si>
  <si>
    <t xml:space="preserve">993</t>
  </si>
  <si>
    <t xml:space="preserve">COMBOGO TIPO CAMBOTA 30X10CM</t>
  </si>
  <si>
    <t xml:space="preserve">MARCOS THIAGO NOGUEIRA GURGEL</t>
  </si>
  <si>
    <t xml:space="preserve">142</t>
  </si>
  <si>
    <t xml:space="preserve">COMBOGO</t>
  </si>
  <si>
    <t xml:space="preserve">68109100.</t>
  </si>
  <si>
    <t xml:space="preserve">ELEMENTOS PREFABRICADOS PARA A CONSTRUCAO OU ENGENHARIA CIVI</t>
  </si>
  <si>
    <t xml:space="preserve">994</t>
  </si>
  <si>
    <t xml:space="preserve">MANGOTE RAD INF ACCELO</t>
  </si>
  <si>
    <t xml:space="preserve">996</t>
  </si>
  <si>
    <t xml:space="preserve">ABARC SEM FIM</t>
  </si>
  <si>
    <t xml:space="preserve">31/10/2019</t>
  </si>
  <si>
    <t xml:space="preserve">997</t>
  </si>
  <si>
    <t xml:space="preserve">ABARC GATO</t>
  </si>
  <si>
    <t xml:space="preserve">998</t>
  </si>
  <si>
    <t xml:space="preserve">AUTOTRAFO 300V</t>
  </si>
  <si>
    <t xml:space="preserve">85043211.</t>
  </si>
  <si>
    <t xml:space="preserve">PARA FREQUENCIAS INFERIORES OU IGUAIS A 60HZ</t>
  </si>
  <si>
    <t xml:space="preserve">999</t>
  </si>
  <si>
    <t xml:space="preserve">BATERIA MO</t>
  </si>
  <si>
    <t xml:space="preserve">85073011.</t>
  </si>
  <si>
    <t xml:space="preserve">DE CAPACIDADE INFERIOR OU IGUAL A 15AH</t>
  </si>
  <si>
    <t xml:space="preserve">1000</t>
  </si>
  <si>
    <t xml:space="preserve">VALDIVANDO HOLANDA GUIMARAES</t>
  </si>
  <si>
    <t xml:space="preserve">01/11/2019</t>
  </si>
  <si>
    <t xml:space="preserve">1001</t>
  </si>
  <si>
    <t xml:space="preserve">VEDA 1 SUPER 18LT</t>
  </si>
  <si>
    <t xml:space="preserve">VEDA</t>
  </si>
  <si>
    <t xml:space="preserve">38245000.</t>
  </si>
  <si>
    <t xml:space="preserve">ARGAMASSAS E CONCRETOS, NAO REFRATARIOS</t>
  </si>
  <si>
    <t xml:space="preserve">07/11/2019</t>
  </si>
  <si>
    <t xml:space="preserve">1002</t>
  </si>
  <si>
    <t xml:space="preserve">PLACA 4 X 2 3 SECOES NEVE LUNARE</t>
  </si>
  <si>
    <t xml:space="preserve">PLACA</t>
  </si>
  <si>
    <t xml:space="preserve">73102190.</t>
  </si>
  <si>
    <t xml:space="preserve">1004</t>
  </si>
  <si>
    <t xml:space="preserve">FIGADO BOV CONG FRIBEV</t>
  </si>
  <si>
    <t xml:space="preserve">11/11/2019</t>
  </si>
  <si>
    <t xml:space="preserve">1006</t>
  </si>
  <si>
    <t xml:space="preserve">CANTONEIRA L 100X100 3/16'</t>
  </si>
  <si>
    <t xml:space="preserve">12/11/2019</t>
  </si>
  <si>
    <t xml:space="preserve">1007</t>
  </si>
  <si>
    <t xml:space="preserve">COXAO DURO CONG FRIBOI</t>
  </si>
  <si>
    <t xml:space="preserve">14/11/2019</t>
  </si>
  <si>
    <t xml:space="preserve">1011</t>
  </si>
  <si>
    <t xml:space="preserve">TRILHO TRELICADO</t>
  </si>
  <si>
    <t xml:space="preserve">25/11/2019</t>
  </si>
  <si>
    <t xml:space="preserve">1012</t>
  </si>
  <si>
    <t xml:space="preserve">PATINHO BOV CONG MARFRIG</t>
  </si>
  <si>
    <t xml:space="preserve">26/11/2019</t>
  </si>
  <si>
    <t xml:space="preserve">1015</t>
  </si>
  <si>
    <t xml:space="preserve">CESTA OTIMISMO PEK PD  C/ 2 KITS</t>
  </si>
  <si>
    <t xml:space="preserve">04/12/2019</t>
  </si>
  <si>
    <t xml:space="preserve">1016</t>
  </si>
  <si>
    <t xml:space="preserve">TELA Q92</t>
  </si>
  <si>
    <t xml:space="preserve">05/12/2019</t>
  </si>
  <si>
    <t xml:space="preserve">1017</t>
  </si>
  <si>
    <t xml:space="preserve">ROL INT DT VW/FO/VOLARE</t>
  </si>
  <si>
    <t xml:space="preserve">1018</t>
  </si>
  <si>
    <t xml:space="preserve">FILTRO AR PRIM</t>
  </si>
  <si>
    <t xml:space="preserve">1019</t>
  </si>
  <si>
    <t xml:space="preserve">OLEO BALDE</t>
  </si>
  <si>
    <t xml:space="preserve">1020</t>
  </si>
  <si>
    <t xml:space="preserve">GRAXA LUBRIFICANTE</t>
  </si>
  <si>
    <t xml:space="preserve">27101999.</t>
  </si>
  <si>
    <t xml:space="preserve">1021</t>
  </si>
  <si>
    <t xml:space="preserve">IND IMP PAIN MOD</t>
  </si>
  <si>
    <t xml:space="preserve">1022</t>
  </si>
  <si>
    <t xml:space="preserve">MOLA ESP 80X27 VW7100</t>
  </si>
  <si>
    <t xml:space="preserve">1023</t>
  </si>
  <si>
    <t xml:space="preserve">ROL EXT DT 8140</t>
  </si>
  <si>
    <t xml:space="preserve">1024</t>
  </si>
  <si>
    <t xml:space="preserve">TERM  DIRECAO 8120/VOL-E</t>
  </si>
  <si>
    <t xml:space="preserve">1025</t>
  </si>
  <si>
    <t xml:space="preserve">BALANCIM PARAB CG VW</t>
  </si>
  <si>
    <t xml:space="preserve">1026</t>
  </si>
  <si>
    <t xml:space="preserve">CONTRA PINO 1 /4X2</t>
  </si>
  <si>
    <t xml:space="preserve">1027</t>
  </si>
  <si>
    <t xml:space="preserve">FILTRO LUBRIF VW 9160 ADV</t>
  </si>
  <si>
    <t xml:space="preserve">1028</t>
  </si>
  <si>
    <t xml:space="preserve">FILTRO COMB VW9160/10160 DEL</t>
  </si>
  <si>
    <t xml:space="preserve">1034</t>
  </si>
  <si>
    <t xml:space="preserve">SACO DE LIXO 20L  C/100</t>
  </si>
  <si>
    <t xml:space="preserve">11/12/2019</t>
  </si>
  <si>
    <t xml:space="preserve">1035</t>
  </si>
  <si>
    <t xml:space="preserve">CIL AUX EMB INF VW8160 ADV</t>
  </si>
  <si>
    <t xml:space="preserve">12/12/2019</t>
  </si>
  <si>
    <t xml:space="preserve">1036</t>
  </si>
  <si>
    <t xml:space="preserve">SERVO EMBR GARGO 2632</t>
  </si>
  <si>
    <t xml:space="preserve">1037</t>
  </si>
  <si>
    <t xml:space="preserve">OLEO BALDE 40 INGRAX</t>
  </si>
  <si>
    <t xml:space="preserve">1040</t>
  </si>
  <si>
    <t xml:space="preserve">ACEM BOV CONG LKJ</t>
  </si>
  <si>
    <t xml:space="preserve">13/12/2019</t>
  </si>
  <si>
    <t xml:space="preserve">1042</t>
  </si>
  <si>
    <t xml:space="preserve">ARRU PONTA EIXO DT VW8120</t>
  </si>
  <si>
    <t xml:space="preserve">1043</t>
  </si>
  <si>
    <t xml:space="preserve">MP1 DESENGRIPANTE ANTICORROSIVO 321ML</t>
  </si>
  <si>
    <t xml:space="preserve">1044</t>
  </si>
  <si>
    <t xml:space="preserve">CAXILHO GALVANIZADO</t>
  </si>
  <si>
    <t xml:space="preserve">76101000.</t>
  </si>
  <si>
    <t xml:space="preserve">PORTAS E JANELAS, E SEUS CAIXILHOS, ALIZARES E SOLEIRAS</t>
  </si>
  <si>
    <t xml:space="preserve">1045</t>
  </si>
  <si>
    <t xml:space="preserve">BOTA PVC C/MEDIO FUJIWARA BCA</t>
  </si>
  <si>
    <t xml:space="preserve">64019200.</t>
  </si>
  <si>
    <t xml:space="preserve">COBRINDO O TORNOZELO, MAS NAO O JOELHO</t>
  </si>
  <si>
    <t xml:space="preserve">1046</t>
  </si>
  <si>
    <t xml:space="preserve">CINTO ERGONOMICO PROF  LOMBAR M</t>
  </si>
  <si>
    <t xml:space="preserve">1047</t>
  </si>
  <si>
    <t xml:space="preserve">BATERIA SELADA  12V</t>
  </si>
  <si>
    <t xml:space="preserve">162</t>
  </si>
  <si>
    <t xml:space="preserve">LOGOS COM E TECNICA LTDA</t>
  </si>
  <si>
    <t xml:space="preserve">BATERIA</t>
  </si>
  <si>
    <t xml:space="preserve">85072010.</t>
  </si>
  <si>
    <t xml:space="preserve">DE PESO INFERIOR OU IGUAL A 1.000KG</t>
  </si>
  <si>
    <t xml:space="preserve">1048</t>
  </si>
  <si>
    <t xml:space="preserve">ALVADRA  INOX  MAVA</t>
  </si>
  <si>
    <t xml:space="preserve">ORG MELO  COM DE MAD E MAT PARA CONS LTDA</t>
  </si>
  <si>
    <t xml:space="preserve">ALDAVRA INOX</t>
  </si>
  <si>
    <t xml:space="preserve">83013000.</t>
  </si>
  <si>
    <t xml:space="preserve">FECHADURAS DOS TIPOS UTILIZADOS EM MOVEIS</t>
  </si>
  <si>
    <t xml:space="preserve">17/12/2019</t>
  </si>
  <si>
    <t xml:space="preserve">1049</t>
  </si>
  <si>
    <t xml:space="preserve">VASSOURAO</t>
  </si>
  <si>
    <t xml:space="preserve">1050</t>
  </si>
  <si>
    <t xml:space="preserve">MANGUEIRA TRAÇADA DE 1/2</t>
  </si>
  <si>
    <t xml:space="preserve">39173900.</t>
  </si>
  <si>
    <t xml:space="preserve">1051</t>
  </si>
  <si>
    <t xml:space="preserve">CHUMBADOR 5/8X5</t>
  </si>
  <si>
    <t xml:space="preserve">DISTRIBUIDORA DE PARAFUSOS MINA LTDA</t>
  </si>
  <si>
    <t xml:space="preserve">CHUMBADOR</t>
  </si>
  <si>
    <t xml:space="preserve">1052</t>
  </si>
  <si>
    <t xml:space="preserve">SIKAFLEX 101 SELA PLUS CINZA 250ML</t>
  </si>
  <si>
    <t xml:space="preserve">JAGUAR COMERCIO DE TINTAS LTDA</t>
  </si>
  <si>
    <t xml:space="preserve">1053</t>
  </si>
  <si>
    <t xml:space="preserve">TRINCHA MEDIA TIGRE 695 2</t>
  </si>
  <si>
    <t xml:space="preserve">1054</t>
  </si>
  <si>
    <t xml:space="preserve">THINNER PEG &amp; PINTE EUCATEX AGRANEL</t>
  </si>
  <si>
    <t xml:space="preserve">1055</t>
  </si>
  <si>
    <t xml:space="preserve">FERROLACK 3.6LT CINZA</t>
  </si>
  <si>
    <t xml:space="preserve">1056</t>
  </si>
  <si>
    <t xml:space="preserve">BLAP DISC R822 115X22 40 NORTON</t>
  </si>
  <si>
    <t xml:space="preserve">1057</t>
  </si>
  <si>
    <t xml:space="preserve">***  SSD 240 GB KINGSTON A400</t>
  </si>
  <si>
    <t xml:space="preserve">84717019.</t>
  </si>
  <si>
    <t xml:space="preserve">SMARTPHONE CELULAR</t>
  </si>
  <si>
    <t xml:space="preserve">85171231.</t>
  </si>
  <si>
    <t xml:space="preserve">PORTATEIS</t>
  </si>
  <si>
    <t xml:space="preserve">1059</t>
  </si>
  <si>
    <t xml:space="preserve">***SWITCH 8P 1000 TENDA SG108</t>
  </si>
  <si>
    <t xml:space="preserve">SWITCH</t>
  </si>
  <si>
    <t xml:space="preserve">18/12/2019</t>
  </si>
  <si>
    <t xml:space="preserve">1060</t>
  </si>
  <si>
    <t xml:space="preserve">MAMINHA URUGAUIA PUL SELECTION CONG</t>
  </si>
  <si>
    <t xml:space="preserve">20/12/2019</t>
  </si>
  <si>
    <t xml:space="preserve">1061</t>
  </si>
  <si>
    <t xml:space="preserve">COXA/SOBRECOXA IND CONG MISTER FRANGO</t>
  </si>
  <si>
    <t xml:space="preserve">23/12/2019</t>
  </si>
  <si>
    <t xml:space="preserve">1064</t>
  </si>
  <si>
    <t xml:space="preserve">CONEXÃO VAL 16X22</t>
  </si>
  <si>
    <t xml:space="preserve">AUTO PECAS PADRE CICERO LTDA</t>
  </si>
  <si>
    <t xml:space="preserve">26/12/2019</t>
  </si>
  <si>
    <t xml:space="preserve">1065</t>
  </si>
  <si>
    <t xml:space="preserve">1066</t>
  </si>
  <si>
    <t xml:space="preserve">BUCHA EST DT/TZ ATEGO</t>
  </si>
  <si>
    <t xml:space="preserve">1067</t>
  </si>
  <si>
    <t xml:space="preserve">TE SOLDAVEL</t>
  </si>
  <si>
    <t xml:space="preserve">1068</t>
  </si>
  <si>
    <t xml:space="preserve">OLEO LITRO 15W40 TURBO</t>
  </si>
  <si>
    <t xml:space="preserve">1069</t>
  </si>
  <si>
    <t xml:space="preserve">LIMP INJECAO A DIESEL</t>
  </si>
  <si>
    <t xml:space="preserve">1070</t>
  </si>
  <si>
    <t xml:space="preserve">SACO PASTA CAT 4F  A4</t>
  </si>
  <si>
    <t xml:space="preserve">1071</t>
  </si>
  <si>
    <t xml:space="preserve">CANETA ESF 0.7  VM COMPACTOR</t>
  </si>
  <si>
    <t xml:space="preserve">96081000.</t>
  </si>
  <si>
    <t xml:space="preserve">CANETAS ESFEROGRAFICAS</t>
  </si>
  <si>
    <t xml:space="preserve">1072</t>
  </si>
  <si>
    <t xml:space="preserve">ELASTICO Nº18 AM 1KG</t>
  </si>
  <si>
    <t xml:space="preserve">1073</t>
  </si>
  <si>
    <t xml:space="preserve">REGUA NEW LINE 30CM</t>
  </si>
  <si>
    <t xml:space="preserve">1074</t>
  </si>
  <si>
    <t xml:space="preserve">GRAMPEADOR METAL 11.5CM 25F ONDA</t>
  </si>
  <si>
    <t xml:space="preserve">84729040.</t>
  </si>
  <si>
    <t xml:space="preserve">MAQUINAS PARA APONTAR LAPIS, PERFURADORES, GRAMPEADORES E DE</t>
  </si>
  <si>
    <t xml:space="preserve">1075</t>
  </si>
  <si>
    <t xml:space="preserve">PAPEL ESCOLAR A4 BR 200F 60KG</t>
  </si>
  <si>
    <t xml:space="preserve">1076</t>
  </si>
  <si>
    <t xml:space="preserve">CARCAÇA CONG SADIA 1.2 KG</t>
  </si>
  <si>
    <t xml:space="preserve">31</t>
  </si>
  <si>
    <t xml:space="preserve">CARCACAS FRANGO</t>
  </si>
  <si>
    <t xml:space="preserve">13/01/2020</t>
  </si>
  <si>
    <t xml:space="preserve">1077</t>
  </si>
  <si>
    <t xml:space="preserve">215/75  R17.5 TIANGLE 16PR PN</t>
  </si>
  <si>
    <t xml:space="preserve">16/01/2020</t>
  </si>
  <si>
    <t xml:space="preserve">1079</t>
  </si>
  <si>
    <t xml:space="preserve">DRAFT  ADITIVO P/DIESEL 200ML</t>
  </si>
  <si>
    <t xml:space="preserve">38112140.</t>
  </si>
  <si>
    <t xml:space="preserve">DETERGENTES METALICOS</t>
  </si>
  <si>
    <t xml:space="preserve">23/01/2020</t>
  </si>
  <si>
    <t xml:space="preserve">1080</t>
  </si>
  <si>
    <t xml:space="preserve">TUBO</t>
  </si>
  <si>
    <t xml:space="preserve">24/01/2020</t>
  </si>
  <si>
    <t xml:space="preserve">1081</t>
  </si>
  <si>
    <t xml:space="preserve">CAP ESGOTO 100MM</t>
  </si>
  <si>
    <t xml:space="preserve">1082</t>
  </si>
  <si>
    <t xml:space="preserve">ROLO FUSAO</t>
  </si>
  <si>
    <t xml:space="preserve">84433114.</t>
  </si>
  <si>
    <t xml:space="preserve">A ôLASERö, LED (DIODOS EMISSORES DE LUZ) OU LCS (SISTEMA DE</t>
  </si>
  <si>
    <t xml:space="preserve">1083</t>
  </si>
  <si>
    <t xml:space="preserve">UNIAO SOLDAVEL  25MM</t>
  </si>
  <si>
    <t xml:space="preserve">1084</t>
  </si>
  <si>
    <t xml:space="preserve">ADAPTADOR 25 X 3/4</t>
  </si>
  <si>
    <t xml:space="preserve">1085</t>
  </si>
  <si>
    <t xml:space="preserve">CURVA</t>
  </si>
  <si>
    <t xml:space="preserve">1086</t>
  </si>
  <si>
    <t xml:space="preserve">UNIAO ROSCA 3/4</t>
  </si>
  <si>
    <t xml:space="preserve">1087</t>
  </si>
  <si>
    <t xml:space="preserve">VEDA ROSCA 25 MT</t>
  </si>
  <si>
    <t xml:space="preserve">39209990.</t>
  </si>
  <si>
    <t xml:space="preserve">1088</t>
  </si>
  <si>
    <t xml:space="preserve">POLYTUBES 17G</t>
  </si>
  <si>
    <t xml:space="preserve">1089</t>
  </si>
  <si>
    <t xml:space="preserve">CALOTA CUBO DT MB</t>
  </si>
  <si>
    <t xml:space="preserve">29/01/2020</t>
  </si>
  <si>
    <t xml:space="preserve">1090</t>
  </si>
  <si>
    <t xml:space="preserve">OLEO MULTIVISCOSO</t>
  </si>
  <si>
    <t xml:space="preserve">1091</t>
  </si>
  <si>
    <t xml:space="preserve">PF I W360X32,9 A572GR50</t>
  </si>
  <si>
    <t xml:space="preserve">GERDAU ACOS LONGOS S.A.</t>
  </si>
  <si>
    <t xml:space="preserve">30/01/2020</t>
  </si>
  <si>
    <t xml:space="preserve">1093</t>
  </si>
  <si>
    <t xml:space="preserve">SPLIT 30000 HW  FRIO AGRATTO ECO 220V -</t>
  </si>
  <si>
    <t xml:space="preserve">CONDICIONADORES DE AR</t>
  </si>
  <si>
    <t xml:space="preserve">147</t>
  </si>
  <si>
    <t xml:space="preserve">EQUIPAMENTOS PREDIAL</t>
  </si>
  <si>
    <t xml:space="preserve">84151011.</t>
  </si>
  <si>
    <t xml:space="preserve">DO TIPO ôSPLITSYSTEMö (SISTEMA COM ELEMENTOS SEPARADOS)</t>
  </si>
  <si>
    <t xml:space="preserve">03/02/2020</t>
  </si>
  <si>
    <t xml:space="preserve">1098</t>
  </si>
  <si>
    <t xml:space="preserve">FILE DE COSTELA (BIFES) CONG MATURATTA</t>
  </si>
  <si>
    <t xml:space="preserve">FILE DE COSTELA</t>
  </si>
  <si>
    <t xml:space="preserve">12/02/2020</t>
  </si>
  <si>
    <t xml:space="preserve">PEITO C/ OSSO INDIVIDUAL MISTER FRANGO</t>
  </si>
  <si>
    <t xml:space="preserve">1102</t>
  </si>
  <si>
    <t xml:space="preserve">COSTELA MINGA CONG FRIBOI</t>
  </si>
  <si>
    <t xml:space="preserve">19/02/2020</t>
  </si>
  <si>
    <t xml:space="preserve">1103</t>
  </si>
  <si>
    <t xml:space="preserve">CUPIM GRILL CONG FRIBOI</t>
  </si>
  <si>
    <t xml:space="preserve">CX+/-25 KG</t>
  </si>
  <si>
    <t xml:space="preserve">1104</t>
  </si>
  <si>
    <t xml:space="preserve">TERM</t>
  </si>
  <si>
    <t xml:space="preserve">85359000.</t>
  </si>
  <si>
    <t xml:space="preserve">21/02/2020</t>
  </si>
  <si>
    <t xml:space="preserve">1105</t>
  </si>
  <si>
    <t xml:space="preserve">ELETRODO PVC</t>
  </si>
  <si>
    <t xml:space="preserve">39172300.</t>
  </si>
  <si>
    <t xml:space="preserve">DE POLIMEROS DE CLORETO DE VINILA</t>
  </si>
  <si>
    <t xml:space="preserve">1106</t>
  </si>
  <si>
    <t xml:space="preserve">TP P/ ELETROC</t>
  </si>
  <si>
    <t xml:space="preserve">1107</t>
  </si>
  <si>
    <t xml:space="preserve">EMENDA INT ELETROC</t>
  </si>
  <si>
    <t xml:space="preserve">1108</t>
  </si>
  <si>
    <t xml:space="preserve">ELETROC PERF</t>
  </si>
  <si>
    <t xml:space="preserve">1112</t>
  </si>
  <si>
    <t xml:space="preserve">CUPIM TIPO A CONG FRIBOI</t>
  </si>
  <si>
    <t xml:space="preserve">CX+/-25KG</t>
  </si>
  <si>
    <t xml:space="preserve">7,89957E+13</t>
  </si>
  <si>
    <t xml:space="preserve">28/02/2020</t>
  </si>
  <si>
    <t xml:space="preserve">1113</t>
  </si>
  <si>
    <t xml:space="preserve">TERMO COMP 1F/1C</t>
  </si>
  <si>
    <t xml:space="preserve">02/03/2020</t>
  </si>
  <si>
    <t xml:space="preserve">1114</t>
  </si>
  <si>
    <t xml:space="preserve">DIVISOR BLIND C/4 SAIDAS 75</t>
  </si>
  <si>
    <t xml:space="preserve">ELETRONICA APOLO ALDEOTA LTDA</t>
  </si>
  <si>
    <t xml:space="preserve">85299090.</t>
  </si>
  <si>
    <t xml:space="preserve">1115</t>
  </si>
  <si>
    <t xml:space="preserve">CONECTOR</t>
  </si>
  <si>
    <t xml:space="preserve">85369090.</t>
  </si>
  <si>
    <t xml:space="preserve">1116</t>
  </si>
  <si>
    <t xml:space="preserve">SOQUETE DE PINO</t>
  </si>
  <si>
    <t xml:space="preserve">85366990.</t>
  </si>
  <si>
    <t xml:space="preserve">1117</t>
  </si>
  <si>
    <t xml:space="preserve">EXT ELETR PARAL 2X0,75</t>
  </si>
  <si>
    <t xml:space="preserve">1118</t>
  </si>
  <si>
    <t xml:space="preserve">LAMP GLOBO LED LEITOSA 9W</t>
  </si>
  <si>
    <t xml:space="preserve">1119</t>
  </si>
  <si>
    <t xml:space="preserve">TE 100X100MM ESG TIGRE</t>
  </si>
  <si>
    <t xml:space="preserve">ARAUJO CABRAL &amp; ALVES LTDA</t>
  </si>
  <si>
    <t xml:space="preserve">1120</t>
  </si>
  <si>
    <t xml:space="preserve">ANEL ORING ESG SBR</t>
  </si>
  <si>
    <t xml:space="preserve">203</t>
  </si>
  <si>
    <t xml:space="preserve">MB COMÉRCIO DE MATERIAIS DE CONSTRUÇÃO LTDA</t>
  </si>
  <si>
    <t xml:space="preserve">04/03/2020</t>
  </si>
  <si>
    <t xml:space="preserve">1121</t>
  </si>
  <si>
    <t xml:space="preserve">COTOVELO ESGOTO TIGRE 90º</t>
  </si>
  <si>
    <t xml:space="preserve">R CHAGAS E CIA LTDA</t>
  </si>
  <si>
    <t xml:space="preserve">1122</t>
  </si>
  <si>
    <t xml:space="preserve">REDUCAO EXCENTRICA ESGOTO TIGRE 150X100</t>
  </si>
  <si>
    <t xml:space="preserve">1123</t>
  </si>
  <si>
    <t xml:space="preserve">ANEL BORRACHA P/ESGOTO150MM KRONA</t>
  </si>
  <si>
    <t xml:space="preserve">1124</t>
  </si>
  <si>
    <t xml:space="preserve">CER 52X52 ITAUNAS BRANCO HD</t>
  </si>
  <si>
    <t xml:space="preserve">69089000.</t>
  </si>
  <si>
    <t xml:space="preserve">1125</t>
  </si>
  <si>
    <t xml:space="preserve">PORCE</t>
  </si>
  <si>
    <t xml:space="preserve">69079000.</t>
  </si>
  <si>
    <t xml:space="preserve">1126</t>
  </si>
  <si>
    <t xml:space="preserve">PLACA EPS 100MM F1</t>
  </si>
  <si>
    <t xml:space="preserve">39259000.</t>
  </si>
  <si>
    <t xml:space="preserve">05/03/2020</t>
  </si>
  <si>
    <t xml:space="preserve">1127</t>
  </si>
  <si>
    <t xml:space="preserve">REV 33X46 QUARTZO BRANCO A CERBRAS</t>
  </si>
  <si>
    <t xml:space="preserve">1130</t>
  </si>
  <si>
    <t xml:space="preserve">RODA LEVORIN COMP</t>
  </si>
  <si>
    <t xml:space="preserve">87168000.</t>
  </si>
  <si>
    <t xml:space="preserve">OUTROS VEICULOS NAO AUTOPROPULSORES</t>
  </si>
  <si>
    <t xml:space="preserve">11/03/2020</t>
  </si>
  <si>
    <t xml:space="preserve">1132</t>
  </si>
  <si>
    <t xml:space="preserve">COLAMIX AC II 30KG</t>
  </si>
  <si>
    <t xml:space="preserve">ARGAMASSAS COLAMIX EIRELI</t>
  </si>
  <si>
    <t xml:space="preserve">1133</t>
  </si>
  <si>
    <t xml:space="preserve">VELOCRYL DF VERMELHO SEG 5R 4/12 2,88L</t>
  </si>
  <si>
    <t xml:space="preserve">1134</t>
  </si>
  <si>
    <t xml:space="preserve">UK 2500 HD SC</t>
  </si>
  <si>
    <t xml:space="preserve">JANGADA AUTOMOTIVE COMERCIO DE VEICULOS E PECAS LTDA</t>
  </si>
  <si>
    <t xml:space="preserve">87042110.</t>
  </si>
  <si>
    <t xml:space="preserve">CHASSIS C/MOTOR DIESEL E CABINA,P/CARGA&lt;=5T</t>
  </si>
  <si>
    <t xml:space="preserve">1135</t>
  </si>
  <si>
    <t xml:space="preserve">TANQUE COMPENSACAO ORIGINAL ACELLO C/SEN</t>
  </si>
  <si>
    <t xml:space="preserve">12/03/2020</t>
  </si>
  <si>
    <t xml:space="preserve">1136</t>
  </si>
  <si>
    <t xml:space="preserve">COND HERM 1.0</t>
  </si>
  <si>
    <t xml:space="preserve">84189900.</t>
  </si>
  <si>
    <t xml:space="preserve">1137</t>
  </si>
  <si>
    <t xml:space="preserve">FILTRO DML 163R</t>
  </si>
  <si>
    <t xml:space="preserve">1138</t>
  </si>
  <si>
    <t xml:space="preserve">PRESSOST CART ALTA A27</t>
  </si>
  <si>
    <t xml:space="preserve">90322000.</t>
  </si>
  <si>
    <t xml:space="preserve">MANOSTATOS AUTOMATICOS (PRESSOSTATOS)</t>
  </si>
  <si>
    <t xml:space="preserve">1139</t>
  </si>
  <si>
    <t xml:space="preserve">CONT FG TICI 17RGTIL</t>
  </si>
  <si>
    <t xml:space="preserve">90328982.</t>
  </si>
  <si>
    <t xml:space="preserve">INSTRUMENTOS E APARS.AUTOMAT.P/CONTROLE DE TEMPERATURA</t>
  </si>
  <si>
    <t xml:space="preserve">1140</t>
  </si>
  <si>
    <t xml:space="preserve">CAMARA FRIFORIFICA</t>
  </si>
  <si>
    <t xml:space="preserve">EQUIPAMENTO  VEICULOS</t>
  </si>
  <si>
    <t xml:space="preserve">CAMARA FRIGORIFICA</t>
  </si>
  <si>
    <t xml:space="preserve">84186999.</t>
  </si>
  <si>
    <t xml:space="preserve">1141</t>
  </si>
  <si>
    <t xml:space="preserve">OLEO DANFOSS 160PZ</t>
  </si>
  <si>
    <t xml:space="preserve">39100019.</t>
  </si>
  <si>
    <t xml:space="preserve">1142</t>
  </si>
  <si>
    <t xml:space="preserve">MANG DRENO SPLIT CISTAL 1/2</t>
  </si>
  <si>
    <t xml:space="preserve">39173290.</t>
  </si>
  <si>
    <t xml:space="preserve">1143</t>
  </si>
  <si>
    <t xml:space="preserve">TEC USB K120</t>
  </si>
  <si>
    <t xml:space="preserve">84716052.</t>
  </si>
  <si>
    <t xml:space="preserve">TECLADOS</t>
  </si>
  <si>
    <t xml:space="preserve">16/03/2020</t>
  </si>
  <si>
    <t xml:space="preserve">1144</t>
  </si>
  <si>
    <t xml:space="preserve">KIT CILINDRO KYOCERA</t>
  </si>
  <si>
    <t xml:space="preserve">24/03/2020</t>
  </si>
  <si>
    <t xml:space="preserve">1146</t>
  </si>
  <si>
    <t xml:space="preserve">CONDUITE SPIRAFLEX</t>
  </si>
  <si>
    <t xml:space="preserve">31/03/2020</t>
  </si>
  <si>
    <t xml:space="preserve">1147</t>
  </si>
  <si>
    <t xml:space="preserve">VERG ROSCAVEL</t>
  </si>
  <si>
    <t xml:space="preserve">1148</t>
  </si>
  <si>
    <t xml:space="preserve">DISJ 1P</t>
  </si>
  <si>
    <t xml:space="preserve">85362000.</t>
  </si>
  <si>
    <t xml:space="preserve">DISJUNTORES</t>
  </si>
  <si>
    <t xml:space="preserve">1149</t>
  </si>
  <si>
    <t xml:space="preserve">TOM SOB</t>
  </si>
  <si>
    <t xml:space="preserve">1150</t>
  </si>
  <si>
    <t xml:space="preserve">FITA ISOL</t>
  </si>
  <si>
    <t xml:space="preserve">39191000.</t>
  </si>
  <si>
    <t xml:space="preserve">EM ROLOS DE LARGURA NAO SUPERIOR A 20CM</t>
  </si>
  <si>
    <t xml:space="preserve">1151</t>
  </si>
  <si>
    <t xml:space="preserve">DUNAS CJ INT 2 PAR 10A 250V BR</t>
  </si>
  <si>
    <t xml:space="preserve">85177099.</t>
  </si>
  <si>
    <t xml:space="preserve">1152</t>
  </si>
  <si>
    <t xml:space="preserve">CX LUZ</t>
  </si>
  <si>
    <t xml:space="preserve">1153</t>
  </si>
  <si>
    <t xml:space="preserve">CX PASS EMB PVC</t>
  </si>
  <si>
    <t xml:space="preserve">39259090.</t>
  </si>
  <si>
    <t xml:space="preserve">1154</t>
  </si>
  <si>
    <t xml:space="preserve">QD DISJ C/B</t>
  </si>
  <si>
    <t xml:space="preserve">85389090.</t>
  </si>
  <si>
    <t xml:space="preserve">1155</t>
  </si>
  <si>
    <t xml:space="preserve">IND PAIN MOD</t>
  </si>
  <si>
    <t xml:space="preserve">02/04/2020</t>
  </si>
  <si>
    <t xml:space="preserve">1156</t>
  </si>
  <si>
    <t xml:space="preserve">CILINDRO KYOCERA</t>
  </si>
  <si>
    <t xml:space="preserve">1157</t>
  </si>
  <si>
    <t xml:space="preserve">SENSOR PARA IMPRESSORA</t>
  </si>
  <si>
    <t xml:space="preserve">84439931.</t>
  </si>
  <si>
    <t xml:space="preserve">MECANISMOS DE IMPRESSAO, MESMO SEM CILINDRO FOTOSSENSIVEL IN</t>
  </si>
  <si>
    <t xml:space="preserve">1158</t>
  </si>
  <si>
    <t xml:space="preserve">JAPONA FRIGORIFICA</t>
  </si>
  <si>
    <t xml:space="preserve">189</t>
  </si>
  <si>
    <t xml:space="preserve">CLARUS COMERCIO DE EPIS E FERRAMENTA</t>
  </si>
  <si>
    <t xml:space="preserve">62011300.</t>
  </si>
  <si>
    <t xml:space="preserve">1159</t>
  </si>
  <si>
    <t xml:space="preserve">CAPUZ BALACLAVA</t>
  </si>
  <si>
    <t xml:space="preserve">63090010.</t>
  </si>
  <si>
    <t xml:space="preserve">VESTUARIO, SEUS ACESSORIOS, E SUAS PARTES</t>
  </si>
  <si>
    <t xml:space="preserve">1160</t>
  </si>
  <si>
    <t xml:space="preserve">CINTA ERGONOMICA C/SUP MAZOLA</t>
  </si>
  <si>
    <t xml:space="preserve">1161</t>
  </si>
  <si>
    <t xml:space="preserve">LUVA EM NYLON P/ CAMARA FRIA</t>
  </si>
  <si>
    <t xml:space="preserve">62160000.</t>
  </si>
  <si>
    <t xml:space="preserve">LUVAS, MITENES E SEMELHANTES.</t>
  </si>
  <si>
    <t xml:space="preserve">1162</t>
  </si>
  <si>
    <t xml:space="preserve">COMPOUND ADESIVO TIX 1KG VEDACIT</t>
  </si>
  <si>
    <t xml:space="preserve">CASA FORTE COMERCIO DE MATERIAL DE CONSTRUCAO LTDA</t>
  </si>
  <si>
    <t xml:space="preserve">1163</t>
  </si>
  <si>
    <t xml:space="preserve">ELETRODUTO GARGANTA</t>
  </si>
  <si>
    <t xml:space="preserve">1164</t>
  </si>
  <si>
    <t xml:space="preserve">TUBO ELETRODUTO</t>
  </si>
  <si>
    <t xml:space="preserve">VARA</t>
  </si>
  <si>
    <t xml:space="preserve">1165</t>
  </si>
  <si>
    <t xml:space="preserve">TARRAXA</t>
  </si>
  <si>
    <t xml:space="preserve">1166</t>
  </si>
  <si>
    <t xml:space="preserve">BARRA PARAFUSO</t>
  </si>
  <si>
    <t xml:space="preserve">03/04/2020</t>
  </si>
  <si>
    <t xml:space="preserve">1167</t>
  </si>
  <si>
    <t xml:space="preserve">ABRAÇADEIRA TIPO U</t>
  </si>
  <si>
    <t xml:space="preserve">1168</t>
  </si>
  <si>
    <t xml:space="preserve">ARRUELA 1/4</t>
  </si>
  <si>
    <t xml:space="preserve">1169</t>
  </si>
  <si>
    <t xml:space="preserve">CURVA DE ELETRODUTO</t>
  </si>
  <si>
    <t xml:space="preserve">1170</t>
  </si>
  <si>
    <t xml:space="preserve">1171</t>
  </si>
  <si>
    <t xml:space="preserve">MOLHA DEDO</t>
  </si>
  <si>
    <t xml:space="preserve">34042020.</t>
  </si>
  <si>
    <t xml:space="preserve">CERAS PREPARADAS</t>
  </si>
  <si>
    <t xml:space="preserve">1172</t>
  </si>
  <si>
    <t xml:space="preserve">ACIDO MURIATICO</t>
  </si>
  <si>
    <t xml:space="preserve">28061020.</t>
  </si>
  <si>
    <t xml:space="preserve">CLORETO DE HIDROGENIO (AC.CLORIDRICO),EM SOLUCAO AQUOSA</t>
  </si>
  <si>
    <t xml:space="preserve">1173</t>
  </si>
  <si>
    <t xml:space="preserve">PILHA PALITO</t>
  </si>
  <si>
    <t xml:space="preserve">85061020.</t>
  </si>
  <si>
    <t xml:space="preserve">OUTRAS PILHAS</t>
  </si>
  <si>
    <t xml:space="preserve">1174</t>
  </si>
  <si>
    <t xml:space="preserve">SACO LIXO 40L C/100 NOVA RAVA</t>
  </si>
  <si>
    <t xml:space="preserve">39232190.</t>
  </si>
  <si>
    <t xml:space="preserve">1175</t>
  </si>
  <si>
    <t xml:space="preserve">PAPEL HIG NEUTRO 30M C/4</t>
  </si>
  <si>
    <t xml:space="preserve">1176</t>
  </si>
  <si>
    <t xml:space="preserve">AROMAT LAVANDA 360ML</t>
  </si>
  <si>
    <t xml:space="preserve">38089999.</t>
  </si>
  <si>
    <t xml:space="preserve">1177</t>
  </si>
  <si>
    <t xml:space="preserve">PANO MULTIUSO 60 PANO 29X30</t>
  </si>
  <si>
    <t xml:space="preserve">56031290.</t>
  </si>
  <si>
    <t xml:space="preserve">1178</t>
  </si>
  <si>
    <t xml:space="preserve">REJUNTE EXTRAPORCELANATO CREMA MARFIL</t>
  </si>
  <si>
    <t xml:space="preserve">1179</t>
  </si>
  <si>
    <t xml:space="preserve">SSD 480GB HIKVISION C100</t>
  </si>
  <si>
    <t xml:space="preserve">1180</t>
  </si>
  <si>
    <t xml:space="preserve">KRONA TUBO</t>
  </si>
  <si>
    <t xml:space="preserve">1181</t>
  </si>
  <si>
    <t xml:space="preserve">KRONA TEE</t>
  </si>
  <si>
    <t xml:space="preserve">1182</t>
  </si>
  <si>
    <t xml:space="preserve">KRONA JOELHO</t>
  </si>
  <si>
    <t xml:space="preserve">AMANCO JOELHO</t>
  </si>
  <si>
    <t xml:space="preserve">1184</t>
  </si>
  <si>
    <t xml:space="preserve">KRONA CAP</t>
  </si>
  <si>
    <t xml:space="preserve">1185</t>
  </si>
  <si>
    <t xml:space="preserve">KRONA BUCHA DE RED</t>
  </si>
  <si>
    <t xml:space="preserve">1186</t>
  </si>
  <si>
    <t xml:space="preserve">ADESIVO 75G POLYTUBES</t>
  </si>
  <si>
    <t xml:space="preserve">04/04/2020</t>
  </si>
  <si>
    <t xml:space="preserve">1187</t>
  </si>
  <si>
    <t xml:space="preserve">LAMINA DE SERRA FLEXIVEL</t>
  </si>
  <si>
    <t xml:space="preserve">82029100.</t>
  </si>
  <si>
    <t xml:space="preserve">FOLHAS DE SERRAS RETILINEAS, PARA TRABALHAR METAIS</t>
  </si>
  <si>
    <t xml:space="preserve">1188</t>
  </si>
  <si>
    <t xml:space="preserve">REGISTRO GAVETA BASE</t>
  </si>
  <si>
    <t xml:space="preserve">84818093.</t>
  </si>
  <si>
    <t xml:space="preserve">VALVULAS TIPO GAVETA</t>
  </si>
  <si>
    <t xml:space="preserve">1189</t>
  </si>
  <si>
    <t xml:space="preserve">KRONA ADAPT</t>
  </si>
  <si>
    <t xml:space="preserve">1190</t>
  </si>
  <si>
    <t xml:space="preserve">KRONA CX SIF</t>
  </si>
  <si>
    <t xml:space="preserve">1191</t>
  </si>
  <si>
    <t xml:space="preserve">JUNCAO</t>
  </si>
  <si>
    <t xml:space="preserve">1192</t>
  </si>
  <si>
    <t xml:space="preserve">TP 02 ALUM CEGA</t>
  </si>
  <si>
    <t xml:space="preserve">76090000.</t>
  </si>
  <si>
    <t xml:space="preserve">ACESSORIOS PARA TUBOS (POR EXEMPLO, UNIOES, COTOVELOS, LUVAS</t>
  </si>
  <si>
    <t xml:space="preserve">1193</t>
  </si>
  <si>
    <t xml:space="preserve">COND ALUM 02 S/R</t>
  </si>
  <si>
    <t xml:space="preserve">1194</t>
  </si>
  <si>
    <t xml:space="preserve">CB PP 500V</t>
  </si>
  <si>
    <t xml:space="preserve">06/04/2020</t>
  </si>
  <si>
    <t xml:space="preserve">1195</t>
  </si>
  <si>
    <t xml:space="preserve">TP 02 ALUM IP RED</t>
  </si>
  <si>
    <t xml:space="preserve">1196</t>
  </si>
  <si>
    <t xml:space="preserve">TOM 2P+T PB</t>
  </si>
  <si>
    <t xml:space="preserve">1197</t>
  </si>
  <si>
    <t xml:space="preserve">BUCHA 05 ALUM</t>
  </si>
  <si>
    <t xml:space="preserve">1198</t>
  </si>
  <si>
    <t xml:space="preserve">CX PASS EMB</t>
  </si>
  <si>
    <t xml:space="preserve">1199</t>
  </si>
  <si>
    <t xml:space="preserve">TARRACHA</t>
  </si>
  <si>
    <t xml:space="preserve">82074020.</t>
  </si>
  <si>
    <t xml:space="preserve">DE ROSCAR EXTERIORMENTE</t>
  </si>
  <si>
    <t xml:space="preserve">1200</t>
  </si>
  <si>
    <t xml:space="preserve">CURVA PVC LONGA</t>
  </si>
  <si>
    <t xml:space="preserve">1201</t>
  </si>
  <si>
    <t xml:space="preserve">CT DIST EMB PVC</t>
  </si>
  <si>
    <t xml:space="preserve">85381000.</t>
  </si>
  <si>
    <t xml:space="preserve">QUADROS, PAINEIS, CONSOLES, CABINAS, ARMARIOS E OUTROS SUPOR</t>
  </si>
  <si>
    <t xml:space="preserve">1202</t>
  </si>
  <si>
    <t xml:space="preserve">BARRA TENSORA DIANT HR BONGO</t>
  </si>
  <si>
    <t xml:space="preserve">1203</t>
  </si>
  <si>
    <t xml:space="preserve">BLOCO DE GESSO STAND</t>
  </si>
  <si>
    <t xml:space="preserve">EVAISON PEREIRA ROCHA GESSO</t>
  </si>
  <si>
    <t xml:space="preserve">68091900.</t>
  </si>
  <si>
    <t xml:space="preserve">1204</t>
  </si>
  <si>
    <t xml:space="preserve">GESSO COLA</t>
  </si>
  <si>
    <t xml:space="preserve">1205</t>
  </si>
  <si>
    <t xml:space="preserve">GESSO P/ REVESTIMENTO/ GESSO LENTO</t>
  </si>
  <si>
    <t xml:space="preserve">TON</t>
  </si>
  <si>
    <t xml:space="preserve">1206</t>
  </si>
  <si>
    <t xml:space="preserve">QUADRO DE DISTRIBUICAO C/ DISJUNTORES</t>
  </si>
  <si>
    <t xml:space="preserve">MARIA DE LOURDES DA SILVA DUTRA</t>
  </si>
  <si>
    <t xml:space="preserve">08/04/2020</t>
  </si>
  <si>
    <t xml:space="preserve">1207</t>
  </si>
  <si>
    <t xml:space="preserve">DISJUNTOR 3P</t>
  </si>
  <si>
    <t xml:space="preserve">1208</t>
  </si>
  <si>
    <t xml:space="preserve">PAINEL LED 18W QUAD</t>
  </si>
  <si>
    <t xml:space="preserve">ELEKTRA DISTRIBUIDORA DE MATERIAL ELETRICO EIRELI</t>
  </si>
  <si>
    <t xml:space="preserve">94051093.</t>
  </si>
  <si>
    <t xml:space="preserve">LUSTRES E APARS.ILUMIN.ELETR.DE MET.COMUM,P/TETO/PAREDE</t>
  </si>
  <si>
    <t xml:space="preserve">09/04/2020</t>
  </si>
  <si>
    <t xml:space="preserve">1209</t>
  </si>
  <si>
    <t xml:space="preserve">PAINEL LED 24W QUAD LUZ</t>
  </si>
  <si>
    <t xml:space="preserve">1210</t>
  </si>
  <si>
    <t xml:space="preserve">ABRACADEIRA C/ CUNHA</t>
  </si>
  <si>
    <t xml:space="preserve">14/04/2020</t>
  </si>
  <si>
    <t xml:space="preserve">1211</t>
  </si>
  <si>
    <t xml:space="preserve">CHOCOARTE CACAU MAGIA PASCOA</t>
  </si>
  <si>
    <t xml:space="preserve">GR COMERCIO DE CHOCOLATES LTDA - ME</t>
  </si>
  <si>
    <t xml:space="preserve">18063210.</t>
  </si>
  <si>
    <t xml:space="preserve">CHOCOLATE NAO RECHEADO,EM TABLETES,BARRAS E PAUS</t>
  </si>
  <si>
    <t xml:space="preserve">16/04/2020</t>
  </si>
  <si>
    <t xml:space="preserve">1212</t>
  </si>
  <si>
    <t xml:space="preserve">LANTERNA BAU COMPLETA</t>
  </si>
  <si>
    <t xml:space="preserve">18/04/2020</t>
  </si>
  <si>
    <t xml:space="preserve">1213</t>
  </si>
  <si>
    <t xml:space="preserve">LAMPADA 1 POLO</t>
  </si>
  <si>
    <t xml:space="preserve">1214</t>
  </si>
  <si>
    <t xml:space="preserve">KIT LAMPADAS</t>
  </si>
  <si>
    <t xml:space="preserve">1215</t>
  </si>
  <si>
    <t xml:space="preserve">EPOXI COLOR</t>
  </si>
  <si>
    <t xml:space="preserve">85479000.</t>
  </si>
  <si>
    <t xml:space="preserve">OUTS.PECAS/TUBOS ISOLANTES P/MAQS.APARS.E INSTAL.ELETR.</t>
  </si>
  <si>
    <t xml:space="preserve">20/04/2020</t>
  </si>
  <si>
    <t xml:space="preserve">1216</t>
  </si>
  <si>
    <t xml:space="preserve">PARAF MAD CAB</t>
  </si>
  <si>
    <t xml:space="preserve">1217</t>
  </si>
  <si>
    <t xml:space="preserve">SOQ PRONTO</t>
  </si>
  <si>
    <t xml:space="preserve">85366100.</t>
  </si>
  <si>
    <t xml:space="preserve">SUPORTES PARA LAMPADAS</t>
  </si>
  <si>
    <t xml:space="preserve">1218</t>
  </si>
  <si>
    <t xml:space="preserve">FILTRO COMBUSTIVEL</t>
  </si>
  <si>
    <t xml:space="preserve">1219</t>
  </si>
  <si>
    <t xml:space="preserve">FILTRO DE OLEO DO MOTOR</t>
  </si>
  <si>
    <t xml:space="preserve">1220</t>
  </si>
  <si>
    <t xml:space="preserve">OLEO MOTOR HR</t>
  </si>
  <si>
    <t xml:space="preserve">1221</t>
  </si>
  <si>
    <t xml:space="preserve">MOLA MESTRE PARABOLICA</t>
  </si>
  <si>
    <t xml:space="preserve">23/04/2020</t>
  </si>
  <si>
    <t xml:space="preserve">1222</t>
  </si>
  <si>
    <t xml:space="preserve">JUNTA TAMPA VALVULAS</t>
  </si>
  <si>
    <t xml:space="preserve">84841000.</t>
  </si>
  <si>
    <t xml:space="preserve">JUNTAS METALOPLASTICAS</t>
  </si>
  <si>
    <t xml:space="preserve">1223</t>
  </si>
  <si>
    <t xml:space="preserve">KIT LIKE BC+CX+ASS+ COMP BRANCO</t>
  </si>
  <si>
    <t xml:space="preserve">69109000.</t>
  </si>
  <si>
    <t xml:space="preserve">24/04/2020</t>
  </si>
  <si>
    <t xml:space="preserve">1224</t>
  </si>
  <si>
    <t xml:space="preserve">DUCHA HIG C/REG GAT BR ASPEN CROM</t>
  </si>
  <si>
    <t xml:space="preserve">84818019.</t>
  </si>
  <si>
    <t xml:space="preserve">1225</t>
  </si>
  <si>
    <t xml:space="preserve">PAPELEIRA FLEX CROMADA DECA</t>
  </si>
  <si>
    <t xml:space="preserve">74182000.</t>
  </si>
  <si>
    <t xml:space="preserve">ARTEFATOS DE HIGIENE OU DE TOUCADOR, E SUAS PARTES</t>
  </si>
  <si>
    <t xml:space="preserve">1226</t>
  </si>
  <si>
    <t xml:space="preserve">VENTOKIT C 150 AQUARELLA VENTOKIT</t>
  </si>
  <si>
    <t xml:space="preserve">1227</t>
  </si>
  <si>
    <t xml:space="preserve">PARAF P/ ELETROC CAB</t>
  </si>
  <si>
    <t xml:space="preserve">27/04/2020</t>
  </si>
  <si>
    <t xml:space="preserve">1228</t>
  </si>
  <si>
    <t xml:space="preserve">ARRUELA LISA</t>
  </si>
  <si>
    <t xml:space="preserve">1229</t>
  </si>
  <si>
    <t xml:space="preserve">LUVA PVC</t>
  </si>
  <si>
    <t xml:space="preserve">1230</t>
  </si>
  <si>
    <t xml:space="preserve">UNISTEIN H8 35 MPA</t>
  </si>
  <si>
    <t xml:space="preserve">M3 PREMOLDADOS INDUSTRIAL EIRELI</t>
  </si>
  <si>
    <t xml:space="preserve">M2</t>
  </si>
  <si>
    <t xml:space="preserve">68101900.</t>
  </si>
  <si>
    <t xml:space="preserve">1231</t>
  </si>
  <si>
    <t xml:space="preserve">CALHA EST FAM 39</t>
  </si>
  <si>
    <t xml:space="preserve">1232</t>
  </si>
  <si>
    <t xml:space="preserve">SERRA STARRET</t>
  </si>
  <si>
    <t xml:space="preserve">82021000.</t>
  </si>
  <si>
    <t xml:space="preserve">SERRAS MANUAIS</t>
  </si>
  <si>
    <t xml:space="preserve">1233</t>
  </si>
  <si>
    <t xml:space="preserve">ARCO DE SERRA</t>
  </si>
  <si>
    <t xml:space="preserve">1234</t>
  </si>
  <si>
    <t xml:space="preserve">FAROL VW DELIVERY</t>
  </si>
  <si>
    <t xml:space="preserve">85122011.</t>
  </si>
  <si>
    <t xml:space="preserve">FAROIS</t>
  </si>
  <si>
    <t xml:space="preserve">29/04/2020</t>
  </si>
  <si>
    <t xml:space="preserve">1235</t>
  </si>
  <si>
    <t xml:space="preserve">FAROL DELIVERY L/D VW</t>
  </si>
  <si>
    <t xml:space="preserve">1236</t>
  </si>
  <si>
    <t xml:space="preserve">SOQUETE FAROL VW</t>
  </si>
  <si>
    <t xml:space="preserve">1237</t>
  </si>
  <si>
    <t xml:space="preserve">LAMPADA H4 FAROL</t>
  </si>
  <si>
    <t xml:space="preserve">1238</t>
  </si>
  <si>
    <t xml:space="preserve">CUBA 40X34 ACO RETANGULAR</t>
  </si>
  <si>
    <t xml:space="preserve">73241000.</t>
  </si>
  <si>
    <t xml:space="preserve">PIAS E LAVATORIOS, DE ACOS INOXIDAVEIS</t>
  </si>
  <si>
    <t xml:space="preserve">1239</t>
  </si>
  <si>
    <t xml:space="preserve">REFIL PA 200 FIT ESPECIAL</t>
  </si>
  <si>
    <t xml:space="preserve">J.K APARELHOS PARA TRAT. DE AGUA</t>
  </si>
  <si>
    <t xml:space="preserve">30/04/2020</t>
  </si>
  <si>
    <t xml:space="preserve">1240</t>
  </si>
  <si>
    <t xml:space="preserve">CAD BROCH UNIV STIFF</t>
  </si>
  <si>
    <t xml:space="preserve">1242</t>
  </si>
  <si>
    <t xml:space="preserve">PLACA S1150 H81M</t>
  </si>
  <si>
    <t xml:space="preserve">84733041.</t>
  </si>
  <si>
    <t xml:space="preserve">PLACASMAE ("MOTHER BOARDS")</t>
  </si>
  <si>
    <t xml:space="preserve">05/05/2020</t>
  </si>
  <si>
    <t xml:space="preserve">1243</t>
  </si>
  <si>
    <t xml:space="preserve">BUCHA 02 ALUM</t>
  </si>
  <si>
    <t xml:space="preserve">1244</t>
  </si>
  <si>
    <t xml:space="preserve">PARAF MAQ FEN SIM</t>
  </si>
  <si>
    <t xml:space="preserve">1245</t>
  </si>
  <si>
    <t xml:space="preserve">CONEC SINDAL</t>
  </si>
  <si>
    <t xml:space="preserve">85369010.</t>
  </si>
  <si>
    <t xml:space="preserve">CONECTORES PARA CABOS PLANOS CONSTITUIDOS POR CONDUTORES PAR</t>
  </si>
  <si>
    <t xml:space="preserve">1246</t>
  </si>
  <si>
    <t xml:space="preserve">LUVA DE PROCEDIMENTO C/100</t>
  </si>
  <si>
    <t xml:space="preserve">MED DONTO COMERCIO DE PRODUTOS HOSPITALARES LTDA</t>
  </si>
  <si>
    <t xml:space="preserve">40151900.</t>
  </si>
  <si>
    <t xml:space="preserve">14/05/2020</t>
  </si>
  <si>
    <t xml:space="preserve">1247</t>
  </si>
  <si>
    <t xml:space="preserve">KIT CORR ENG DISTR</t>
  </si>
  <si>
    <t xml:space="preserve">PEÇ</t>
  </si>
  <si>
    <t xml:space="preserve">73158100.</t>
  </si>
  <si>
    <t xml:space="preserve">CORRENTES DE ELOS COM SUPORTE</t>
  </si>
  <si>
    <t xml:space="preserve">1249</t>
  </si>
  <si>
    <t xml:space="preserve">JOGO DE ALIZAR MUIR</t>
  </si>
  <si>
    <t xml:space="preserve">DISTRIBUIDORA PARAENSE DE MADEIRAS LTDA</t>
  </si>
  <si>
    <t xml:space="preserve">44079990.</t>
  </si>
  <si>
    <t xml:space="preserve">1250</t>
  </si>
  <si>
    <t xml:space="preserve">MAC SERRADA TIPO SARRAFOS</t>
  </si>
  <si>
    <t xml:space="preserve">M3</t>
  </si>
  <si>
    <t xml:space="preserve">44072990.</t>
  </si>
  <si>
    <t xml:space="preserve">1251</t>
  </si>
  <si>
    <t xml:space="preserve">DOB ISERO FERRO GALV</t>
  </si>
  <si>
    <t xml:space="preserve">83021000.</t>
  </si>
  <si>
    <t xml:space="preserve">DOBRADICAS DE QUALQUER TIPO (INCLUIDOS OS GONZOS E AS CHARNE</t>
  </si>
  <si>
    <t xml:space="preserve">1252</t>
  </si>
  <si>
    <t xml:space="preserve">PORTA SEMI-OCA BANDARRA</t>
  </si>
  <si>
    <t xml:space="preserve">44182000.</t>
  </si>
  <si>
    <t xml:space="preserve">PORTAS E RESPECTIVOS CAIXILHOS, ALIZARES E SOLEIRAS</t>
  </si>
  <si>
    <t xml:space="preserve">1253</t>
  </si>
  <si>
    <t xml:space="preserve">PORTA TAMPA</t>
  </si>
  <si>
    <t xml:space="preserve">1254</t>
  </si>
  <si>
    <t xml:space="preserve">FECH ZM CONCEPT</t>
  </si>
  <si>
    <t xml:space="preserve">1255</t>
  </si>
  <si>
    <t xml:space="preserve">CAIXA QUADRADA 4X4</t>
  </si>
  <si>
    <t xml:space="preserve">15/05/2020</t>
  </si>
  <si>
    <t xml:space="preserve">1256</t>
  </si>
  <si>
    <t xml:space="preserve">PASSA FIO 20 METROS</t>
  </si>
  <si>
    <t xml:space="preserve">39172900.</t>
  </si>
  <si>
    <t xml:space="preserve">DE OUTROS PLASTICOS</t>
  </si>
  <si>
    <t xml:space="preserve">1257</t>
  </si>
  <si>
    <t xml:space="preserve">AMANCO TUBO</t>
  </si>
  <si>
    <t xml:space="preserve">VR</t>
  </si>
  <si>
    <t xml:space="preserve">1259</t>
  </si>
  <si>
    <t xml:space="preserve">CORREIA INDUSTRIAL</t>
  </si>
  <si>
    <t xml:space="preserve">18/05/2020</t>
  </si>
  <si>
    <t xml:space="preserve">1260</t>
  </si>
  <si>
    <t xml:space="preserve">LAMP 1141 1 POLO 24V PP</t>
  </si>
  <si>
    <t xml:space="preserve">UND</t>
  </si>
  <si>
    <t xml:space="preserve">19/05/2020</t>
  </si>
  <si>
    <t xml:space="preserve">1261</t>
  </si>
  <si>
    <t xml:space="preserve">ALCOOL GEL P/MAOS</t>
  </si>
  <si>
    <t xml:space="preserve">1262</t>
  </si>
  <si>
    <t xml:space="preserve">TERMOCONTRATIL</t>
  </si>
  <si>
    <t xml:space="preserve">39173100.</t>
  </si>
  <si>
    <t xml:space="preserve">TUBOS FLEXIVEIS PODENDO SUPORTAR UMA PRESSAO MINIMA DE 27,6M</t>
  </si>
  <si>
    <t xml:space="preserve">1263</t>
  </si>
  <si>
    <t xml:space="preserve">ACEM BOV CONG QUALITYBEEF</t>
  </si>
  <si>
    <t xml:space="preserve">1265</t>
  </si>
  <si>
    <t xml:space="preserve">TIJOLO FURADO</t>
  </si>
  <si>
    <t xml:space="preserve">25/05/2020</t>
  </si>
  <si>
    <t xml:space="preserve">1266</t>
  </si>
  <si>
    <t xml:space="preserve">MTS DE TUBO 100MM</t>
  </si>
  <si>
    <t xml:space="preserve">1267</t>
  </si>
  <si>
    <t xml:space="preserve">REFLETOR LED 100W</t>
  </si>
  <si>
    <t xml:space="preserve">1268</t>
  </si>
  <si>
    <t xml:space="preserve">MASCARA FACIAL BRANCA</t>
  </si>
  <si>
    <t xml:space="preserve">ALUPLAC INDUSTRIA E COMERCIO DE PLACAS LTDA</t>
  </si>
  <si>
    <t xml:space="preserve">1269</t>
  </si>
  <si>
    <t xml:space="preserve">BUCHA MOLA</t>
  </si>
  <si>
    <t xml:space="preserve">26/05/2020</t>
  </si>
  <si>
    <t xml:space="preserve">1270</t>
  </si>
  <si>
    <t xml:space="preserve">BUCHA OLHAL MOLA</t>
  </si>
  <si>
    <t xml:space="preserve">1271</t>
  </si>
  <si>
    <t xml:space="preserve">BUCHA ESTABILIZADOR</t>
  </si>
  <si>
    <t xml:space="preserve">1272</t>
  </si>
  <si>
    <t xml:space="preserve">LANTERNA PISCA</t>
  </si>
  <si>
    <t xml:space="preserve">85122022.</t>
  </si>
  <si>
    <t xml:space="preserve">LUZES INDICADORAS DE MANOBRAS</t>
  </si>
  <si>
    <t xml:space="preserve">1273</t>
  </si>
  <si>
    <t xml:space="preserve">SUP DO BALANCIM</t>
  </si>
  <si>
    <t xml:space="preserve">173</t>
  </si>
  <si>
    <t xml:space="preserve">MOTO PEÇAS SAO FRANCISCO COMERCIO E SERV</t>
  </si>
  <si>
    <t xml:space="preserve">29/05/2020</t>
  </si>
  <si>
    <t xml:space="preserve">1274</t>
  </si>
  <si>
    <t xml:space="preserve">TAMPA DO ESTATOR</t>
  </si>
  <si>
    <t xml:space="preserve">1275</t>
  </si>
  <si>
    <t xml:space="preserve">RETENTOR DE VALVULA</t>
  </si>
  <si>
    <t xml:space="preserve">1276</t>
  </si>
  <si>
    <t xml:space="preserve">KIT A DE JUNTA</t>
  </si>
  <si>
    <t xml:space="preserve">1277</t>
  </si>
  <si>
    <t xml:space="preserve">KIT PISTAO</t>
  </si>
  <si>
    <t xml:space="preserve">1278</t>
  </si>
  <si>
    <t xml:space="preserve">COXIM TAMPA VALVULA</t>
  </si>
  <si>
    <t xml:space="preserve">1279</t>
  </si>
  <si>
    <t xml:space="preserve">VELA DE IGNICAO</t>
  </si>
  <si>
    <t xml:space="preserve">1280</t>
  </si>
  <si>
    <t xml:space="preserve">CA 80</t>
  </si>
  <si>
    <t xml:space="preserve">1281</t>
  </si>
  <si>
    <t xml:space="preserve">JG RAIO TRAS CROMADO</t>
  </si>
  <si>
    <t xml:space="preserve">1282</t>
  </si>
  <si>
    <t xml:space="preserve">OLEO BENGALA</t>
  </si>
  <si>
    <t xml:space="preserve">1283</t>
  </si>
  <si>
    <t xml:space="preserve">PNEU MAGGION</t>
  </si>
  <si>
    <t xml:space="preserve">1284</t>
  </si>
  <si>
    <t xml:space="preserve">LONA DE FREIO TRAS DIA-FRAG</t>
  </si>
  <si>
    <t xml:space="preserve">1285</t>
  </si>
  <si>
    <t xml:space="preserve">OLEO DO MOTOR</t>
  </si>
  <si>
    <t xml:space="preserve">1286</t>
  </si>
  <si>
    <t xml:space="preserve">KIT TRACAO MAX</t>
  </si>
  <si>
    <t xml:space="preserve">1287</t>
  </si>
  <si>
    <t xml:space="preserve">ARO TRAS</t>
  </si>
  <si>
    <t xml:space="preserve">1288</t>
  </si>
  <si>
    <t xml:space="preserve">CAVALETE LATERAL</t>
  </si>
  <si>
    <t xml:space="preserve">1289</t>
  </si>
  <si>
    <t xml:space="preserve">REJUNTE EXTRA FLEX</t>
  </si>
  <si>
    <t xml:space="preserve">01/06/2020</t>
  </si>
  <si>
    <t xml:space="preserve">1290</t>
  </si>
  <si>
    <t xml:space="preserve">SIFAO EXTENSIVO UNIV DUPLO</t>
  </si>
  <si>
    <t xml:space="preserve">1291</t>
  </si>
  <si>
    <t xml:space="preserve">SIFAO MULTIUSO</t>
  </si>
  <si>
    <t xml:space="preserve">1292</t>
  </si>
  <si>
    <t xml:space="preserve">TORN MAIS CROMADA PERFLEX</t>
  </si>
  <si>
    <t xml:space="preserve">1293</t>
  </si>
  <si>
    <t xml:space="preserve">ENGATE FLEXIVEL</t>
  </si>
  <si>
    <t xml:space="preserve">73262000.</t>
  </si>
  <si>
    <t xml:space="preserve">OBRAS DE FIOS DE FERRO OU ACO</t>
  </si>
  <si>
    <t xml:space="preserve">1294</t>
  </si>
  <si>
    <t xml:space="preserve">VALV ESC DECA</t>
  </si>
  <si>
    <t xml:space="preserve">84818011.</t>
  </si>
  <si>
    <t xml:space="preserve">VALVULAS PARA ESCOAMENTO</t>
  </si>
  <si>
    <t xml:space="preserve">1295</t>
  </si>
  <si>
    <t xml:space="preserve">FITA VEDA ROSCA</t>
  </si>
  <si>
    <t xml:space="preserve">1296</t>
  </si>
  <si>
    <t xml:space="preserve">METALATEX ACR SELADOR LATA</t>
  </si>
  <si>
    <t xml:space="preserve">SHERWIN WILLIAMS DO BRASIL IND. E COMERCIO LTDA</t>
  </si>
  <si>
    <t xml:space="preserve">1297</t>
  </si>
  <si>
    <t xml:space="preserve">COLOR TOTALCARE</t>
  </si>
  <si>
    <t xml:space="preserve">1298</t>
  </si>
  <si>
    <t xml:space="preserve">CLASSIC FS BRANCO LATA</t>
  </si>
  <si>
    <t xml:space="preserve">1299</t>
  </si>
  <si>
    <t xml:space="preserve">PROCRAFT MASSA CORRIDA</t>
  </si>
  <si>
    <t xml:space="preserve">32141020.</t>
  </si>
  <si>
    <t xml:space="preserve">INDUTOS UTILIZADOS EM PINTURA</t>
  </si>
  <si>
    <t xml:space="preserve">1300</t>
  </si>
  <si>
    <t xml:space="preserve">METALATEX FUNDO OXIDO</t>
  </si>
  <si>
    <t xml:space="preserve">1301</t>
  </si>
  <si>
    <t xml:space="preserve">MET ECO ESM AC BRANCO</t>
  </si>
  <si>
    <t xml:space="preserve">1302</t>
  </si>
  <si>
    <t xml:space="preserve">ATLAS LIXA</t>
  </si>
  <si>
    <t xml:space="preserve">1303</t>
  </si>
  <si>
    <t xml:space="preserve">ATLAS ROLO</t>
  </si>
  <si>
    <t xml:space="preserve">96034010.</t>
  </si>
  <si>
    <t xml:space="preserve">ROLOS P/PINTURA</t>
  </si>
  <si>
    <t xml:space="preserve">1304</t>
  </si>
  <si>
    <t xml:space="preserve">ATLAS GARFO GAIOLA</t>
  </si>
  <si>
    <t xml:space="preserve">1305</t>
  </si>
  <si>
    <t xml:space="preserve">TRINCHA ATLAS</t>
  </si>
  <si>
    <t xml:space="preserve">1306</t>
  </si>
  <si>
    <t xml:space="preserve">ATLAS FITA CREPE</t>
  </si>
  <si>
    <t xml:space="preserve">48114110.</t>
  </si>
  <si>
    <t xml:space="preserve">EM TIRAS OU ROLOS DE LARGURA NAO SUPERIOR A 15CM OU EM FOLHA</t>
  </si>
  <si>
    <t xml:space="preserve">1307</t>
  </si>
  <si>
    <t xml:space="preserve">FECH STAM 1005 PIV</t>
  </si>
  <si>
    <t xml:space="preserve">PAC</t>
  </si>
  <si>
    <t xml:space="preserve">02/06/2020</t>
  </si>
  <si>
    <t xml:space="preserve">1308</t>
  </si>
  <si>
    <t xml:space="preserve">CONCHA ISERO EMB. CLASSIC</t>
  </si>
  <si>
    <t xml:space="preserve">83024100.</t>
  </si>
  <si>
    <t xml:space="preserve">PARA CONSTRUCOES</t>
  </si>
  <si>
    <t xml:space="preserve">1309</t>
  </si>
  <si>
    <t xml:space="preserve">TRINCO ISERO AVIAO</t>
  </si>
  <si>
    <t xml:space="preserve">1310</t>
  </si>
  <si>
    <t xml:space="preserve">PUX ECO PLANUS</t>
  </si>
  <si>
    <t xml:space="preserve">PAR</t>
  </si>
  <si>
    <t xml:space="preserve">1311</t>
  </si>
  <si>
    <t xml:space="preserve">EUC ESPUMA DE POLIURETANO</t>
  </si>
  <si>
    <t xml:space="preserve">1312</t>
  </si>
  <si>
    <t xml:space="preserve">TELHA TRAPEZIO</t>
  </si>
  <si>
    <t xml:space="preserve">03/06/2020</t>
  </si>
  <si>
    <t xml:space="preserve">1313</t>
  </si>
  <si>
    <t xml:space="preserve">PERFIL U</t>
  </si>
  <si>
    <t xml:space="preserve">1314</t>
  </si>
  <si>
    <t xml:space="preserve">TUBO INDUSTRIAL</t>
  </si>
  <si>
    <t xml:space="preserve">73063000.</t>
  </si>
  <si>
    <t xml:space="preserve">OUTROS, SOLDADOS, DE SECAO CIRCULAR, DE FERRO OU ACO NAO LIG</t>
  </si>
  <si>
    <t xml:space="preserve">1315</t>
  </si>
  <si>
    <t xml:space="preserve">JG BORRACHA OLHAL BARRA</t>
  </si>
  <si>
    <t xml:space="preserve">1316</t>
  </si>
  <si>
    <t xml:space="preserve">KIT MONTAGEM</t>
  </si>
  <si>
    <t xml:space="preserve">09/06/2020</t>
  </si>
  <si>
    <t xml:space="preserve">1317</t>
  </si>
  <si>
    <t xml:space="preserve">KIT COMPRESSOR</t>
  </si>
  <si>
    <t xml:space="preserve">84143019.</t>
  </si>
  <si>
    <t xml:space="preserve">1318</t>
  </si>
  <si>
    <t xml:space="preserve">ZARCAO STARLUX</t>
  </si>
  <si>
    <t xml:space="preserve">32081010.</t>
  </si>
  <si>
    <t xml:space="preserve">10/06/2020</t>
  </si>
  <si>
    <t xml:space="preserve">1319</t>
  </si>
  <si>
    <t xml:space="preserve">CORAÇAO BOV CONG MARFRIG</t>
  </si>
  <si>
    <t xml:space="preserve">59</t>
  </si>
  <si>
    <t xml:space="preserve">CORACAO</t>
  </si>
  <si>
    <t xml:space="preserve">11/06/2020</t>
  </si>
  <si>
    <t xml:space="preserve">1321</t>
  </si>
  <si>
    <t xml:space="preserve">COXAO MOLE SUINO CONG SADIA</t>
  </si>
  <si>
    <t xml:space="preserve">COXAO MOLE SUINO CONGELADO</t>
  </si>
  <si>
    <t xml:space="preserve">12/06/2020</t>
  </si>
  <si>
    <t xml:space="preserve">1322</t>
  </si>
  <si>
    <t xml:space="preserve">ALCATRA SUINA CONG SADIA</t>
  </si>
  <si>
    <t xml:space="preserve">ALCATRA</t>
  </si>
  <si>
    <t xml:space="preserve">1323</t>
  </si>
  <si>
    <t xml:space="preserve">RODIZIO</t>
  </si>
  <si>
    <t xml:space="preserve">87169090.</t>
  </si>
  <si>
    <t xml:space="preserve">OUTS.PARTES DE REBOQUES/SEMI-REBOQUES/VEIC.N/AUTOPROPUL</t>
  </si>
  <si>
    <t xml:space="preserve">1324</t>
  </si>
  <si>
    <t xml:space="preserve">RODO 80 CM</t>
  </si>
  <si>
    <t xml:space="preserve">96031000.</t>
  </si>
  <si>
    <t xml:space="preserve">VASSOURAS E ESCOVAS,DE MATERIAS VEGETAIS EM FEIXES</t>
  </si>
  <si>
    <t xml:space="preserve">1325</t>
  </si>
  <si>
    <t xml:space="preserve">CABO LAN</t>
  </si>
  <si>
    <t xml:space="preserve">CARMEHIL COMERCIAL ELETRICA LTDA</t>
  </si>
  <si>
    <t xml:space="preserve">15/06/2020</t>
  </si>
  <si>
    <t xml:space="preserve">1326</t>
  </si>
  <si>
    <t xml:space="preserve">LAMINA DE LIMPEZA</t>
  </si>
  <si>
    <t xml:space="preserve">84399910.</t>
  </si>
  <si>
    <t xml:space="preserve">ROLOS, CORRUGADORES OU DE PRESSAO, DE MAQUINAS PARA ONDULAR,</t>
  </si>
  <si>
    <t xml:space="preserve">1327</t>
  </si>
  <si>
    <t xml:space="preserve">BELGO SERRALHEIRO</t>
  </si>
  <si>
    <t xml:space="preserve">M J DINIZ &amp; CIA LTDA EPP</t>
  </si>
  <si>
    <t xml:space="preserve">73143100.</t>
  </si>
  <si>
    <t xml:space="preserve">GALVANIZADAS</t>
  </si>
  <si>
    <t xml:space="preserve">1328</t>
  </si>
  <si>
    <t xml:space="preserve">ELETR W PLUS</t>
  </si>
  <si>
    <t xml:space="preserve">193</t>
  </si>
  <si>
    <t xml:space="preserve">ACO SHOPPING COMERCIO LTDA</t>
  </si>
  <si>
    <t xml:space="preserve">1329</t>
  </si>
  <si>
    <t xml:space="preserve">DISCO WAVES</t>
  </si>
  <si>
    <t xml:space="preserve">1330</t>
  </si>
  <si>
    <t xml:space="preserve">OCULOS EPI</t>
  </si>
  <si>
    <t xml:space="preserve">90049020.</t>
  </si>
  <si>
    <t xml:space="preserve">OCULOS DE SEGURANCA</t>
  </si>
  <si>
    <t xml:space="preserve">1331</t>
  </si>
  <si>
    <t xml:space="preserve">LENTE PRETA P/ MASCARA</t>
  </si>
  <si>
    <t xml:space="preserve">1332</t>
  </si>
  <si>
    <t xml:space="preserve">BARRA QUADRADA</t>
  </si>
  <si>
    <t xml:space="preserve">PETRAL COMERCIO DE FERRO E ACO LTDA</t>
  </si>
  <si>
    <t xml:space="preserve">16/06/2020</t>
  </si>
  <si>
    <t xml:space="preserve">1333</t>
  </si>
  <si>
    <t xml:space="preserve">DISCO DE CORTE</t>
  </si>
  <si>
    <t xml:space="preserve">1334</t>
  </si>
  <si>
    <t xml:space="preserve">TELEFONE PLENO PT</t>
  </si>
  <si>
    <t xml:space="preserve">85171891.</t>
  </si>
  <si>
    <t xml:space="preserve">NAO COMBINADOS COM OUTROS APARELHOS</t>
  </si>
  <si>
    <t xml:space="preserve">1335</t>
  </si>
  <si>
    <t xml:space="preserve">FLUIDO TETRAFLUOR</t>
  </si>
  <si>
    <t xml:space="preserve">29033911.</t>
  </si>
  <si>
    <t xml:space="preserve">1,1,1,2TETRAFLUORETANO</t>
  </si>
  <si>
    <t xml:space="preserve">17/06/2020</t>
  </si>
  <si>
    <t xml:space="preserve">1336</t>
  </si>
  <si>
    <t xml:space="preserve">UNIAO R SAE</t>
  </si>
  <si>
    <t xml:space="preserve">74122000.</t>
  </si>
  <si>
    <t xml:space="preserve">DE LIGAS DE COBRE</t>
  </si>
  <si>
    <t xml:space="preserve">1337</t>
  </si>
  <si>
    <t xml:space="preserve">CORPO P/ VALV</t>
  </si>
  <si>
    <t xml:space="preserve">84818021.</t>
  </si>
  <si>
    <t xml:space="preserve">VALVULAS DE EXPANSAO TERMOSTATICAS OU PRESSOSTATICAS</t>
  </si>
  <si>
    <t xml:space="preserve">1338</t>
  </si>
  <si>
    <t xml:space="preserve">ORIF T2/TE2</t>
  </si>
  <si>
    <t xml:space="preserve">1339</t>
  </si>
  <si>
    <t xml:space="preserve">CORTINA P/ PORTA</t>
  </si>
  <si>
    <t xml:space="preserve">RL</t>
  </si>
  <si>
    <t xml:space="preserve">39204900.</t>
  </si>
  <si>
    <t xml:space="preserve">18/06/2020</t>
  </si>
  <si>
    <t xml:space="preserve">1340</t>
  </si>
  <si>
    <t xml:space="preserve">LUM HERMET SOB</t>
  </si>
  <si>
    <t xml:space="preserve">94054090.</t>
  </si>
  <si>
    <t xml:space="preserve">OUTS.APARELHOS ELETRICOS DE ILUMINACAO,DE OUTS.MATERIAS</t>
  </si>
  <si>
    <t xml:space="preserve">1341</t>
  </si>
  <si>
    <t xml:space="preserve">LAMP LED TUB 09W 6500K</t>
  </si>
  <si>
    <t xml:space="preserve">1342</t>
  </si>
  <si>
    <t xml:space="preserve">BASE MOUSE PAD PT MAXPRINT</t>
  </si>
  <si>
    <t xml:space="preserve">23/06/2020</t>
  </si>
  <si>
    <t xml:space="preserve">1343</t>
  </si>
  <si>
    <t xml:space="preserve">LAPIS EVOL RED HB</t>
  </si>
  <si>
    <t xml:space="preserve">96091000.</t>
  </si>
  <si>
    <t xml:space="preserve">LAPIS</t>
  </si>
  <si>
    <t xml:space="preserve">1344</t>
  </si>
  <si>
    <t xml:space="preserve">GEL HIGIENE MAOS</t>
  </si>
  <si>
    <t xml:space="preserve">38089429.</t>
  </si>
  <si>
    <t xml:space="preserve">1345</t>
  </si>
  <si>
    <t xml:space="preserve">PAPEL MULT PREMIUM A4</t>
  </si>
  <si>
    <t xml:space="preserve">RS</t>
  </si>
  <si>
    <t xml:space="preserve">1346</t>
  </si>
  <si>
    <t xml:space="preserve">CAD COST UNIV VM PANAMERICANA</t>
  </si>
  <si>
    <t xml:space="preserve">1347</t>
  </si>
  <si>
    <t xml:space="preserve">CAPA DE FILE CONG FRIBOI</t>
  </si>
  <si>
    <t xml:space="preserve">24/06/2020</t>
  </si>
  <si>
    <t xml:space="preserve">1348</t>
  </si>
  <si>
    <t xml:space="preserve">CX INSPECAO DE TERRA CILINDRICA</t>
  </si>
  <si>
    <t xml:space="preserve">85354090.</t>
  </si>
  <si>
    <t xml:space="preserve">26/06/2020</t>
  </si>
  <si>
    <t xml:space="preserve">1349</t>
  </si>
  <si>
    <t xml:space="preserve">TAMPA P/CX INSPECAO</t>
  </si>
  <si>
    <t xml:space="preserve">1350</t>
  </si>
  <si>
    <t xml:space="preserve">MOLDE P/ SOLDA CCH 35-2</t>
  </si>
  <si>
    <t xml:space="preserve">69031019.</t>
  </si>
  <si>
    <t xml:space="preserve">1351</t>
  </si>
  <si>
    <t xml:space="preserve">GRAMPO TER DUP</t>
  </si>
  <si>
    <t xml:space="preserve">1352</t>
  </si>
  <si>
    <t xml:space="preserve">CB COBRE NU 035,00MM NBR</t>
  </si>
  <si>
    <t xml:space="preserve">74130000.</t>
  </si>
  <si>
    <t xml:space="preserve">CABOS, TRANCAS E SEMELHANTES, DE COBRE, NAO ISOLADOS PARA US</t>
  </si>
  <si>
    <t xml:space="preserve">1353</t>
  </si>
  <si>
    <t xml:space="preserve">HASTE ATERR BX CAM</t>
  </si>
  <si>
    <t xml:space="preserve">72149990.</t>
  </si>
  <si>
    <t xml:space="preserve">1354</t>
  </si>
  <si>
    <t xml:space="preserve">CARTUCHO P/ SOLDA</t>
  </si>
  <si>
    <t xml:space="preserve">74031900.</t>
  </si>
  <si>
    <t xml:space="preserve">1357</t>
  </si>
  <si>
    <t xml:space="preserve">ACEM BOV CONG FRIBOI</t>
  </si>
  <si>
    <t xml:space="preserve">29/06/2020</t>
  </si>
  <si>
    <t xml:space="preserve">1358</t>
  </si>
  <si>
    <t xml:space="preserve">PUX ALUMINIO FOS</t>
  </si>
  <si>
    <t xml:space="preserve">418</t>
  </si>
  <si>
    <t xml:space="preserve">COMERCIAL ALUMINENSE DE FERRAGENS LTDA EPP</t>
  </si>
  <si>
    <t xml:space="preserve">1359</t>
  </si>
  <si>
    <t xml:space="preserve">BROCA AR</t>
  </si>
  <si>
    <t xml:space="preserve">82075090.</t>
  </si>
  <si>
    <t xml:space="preserve">1360</t>
  </si>
  <si>
    <t xml:space="preserve">DOBRADICA 40X40 P/ BOX</t>
  </si>
  <si>
    <t xml:space="preserve">76109000.</t>
  </si>
  <si>
    <t xml:space="preserve">1361</t>
  </si>
  <si>
    <t xml:space="preserve">TRANQUETA NYLON</t>
  </si>
  <si>
    <t xml:space="preserve">1362</t>
  </si>
  <si>
    <t xml:space="preserve">FEC 2022/04 PORTA AB PALI</t>
  </si>
  <si>
    <t xml:space="preserve">1363</t>
  </si>
  <si>
    <t xml:space="preserve">ROL 239/774 PORTA L25</t>
  </si>
  <si>
    <t xml:space="preserve">1364</t>
  </si>
  <si>
    <t xml:space="preserve">SPRAY COLOR PTO</t>
  </si>
  <si>
    <t xml:space="preserve">32082019.</t>
  </si>
  <si>
    <t xml:space="preserve">1365</t>
  </si>
  <si>
    <t xml:space="preserve">SILICONE INC TEEFAX</t>
  </si>
  <si>
    <t xml:space="preserve">1366</t>
  </si>
  <si>
    <t xml:space="preserve">REBITE DE ALUM</t>
  </si>
  <si>
    <t xml:space="preserve">1367</t>
  </si>
  <si>
    <t xml:space="preserve">DIAMANTE A GAS PROFISSIONAL</t>
  </si>
  <si>
    <t xml:space="preserve">82055900.</t>
  </si>
  <si>
    <t xml:space="preserve">1368</t>
  </si>
  <si>
    <t xml:space="preserve">CHAVE P/ MANDRIL</t>
  </si>
  <si>
    <t xml:space="preserve">84669340.</t>
  </si>
  <si>
    <t xml:space="preserve">PARA MAQUINAS DA POSICAO 84.59</t>
  </si>
  <si>
    <t xml:space="preserve">1369</t>
  </si>
  <si>
    <t xml:space="preserve">BORRA GUA</t>
  </si>
  <si>
    <t xml:space="preserve">40070019.</t>
  </si>
  <si>
    <t xml:space="preserve">1370</t>
  </si>
  <si>
    <t xml:space="preserve">BRACO MAX-AR</t>
  </si>
  <si>
    <t xml:space="preserve">DELL COMPUTADORES DO BRASIL LTDA</t>
  </si>
  <si>
    <t xml:space="preserve">1371</t>
  </si>
  <si>
    <t xml:space="preserve">PERFIL ALUMINIO</t>
  </si>
  <si>
    <t xml:space="preserve">76042920.</t>
  </si>
  <si>
    <t xml:space="preserve">PERFIS</t>
  </si>
  <si>
    <t xml:space="preserve">1372</t>
  </si>
  <si>
    <t xml:space="preserve">PALHETA LIMP PB 24POL</t>
  </si>
  <si>
    <t xml:space="preserve">85129000.</t>
  </si>
  <si>
    <t xml:space="preserve">1373</t>
  </si>
  <si>
    <t xml:space="preserve">CANTONEIRA 2 X 3/16</t>
  </si>
  <si>
    <t xml:space="preserve">1374</t>
  </si>
  <si>
    <t xml:space="preserve">PNEU SUMITOMO 175/65R14</t>
  </si>
  <si>
    <t xml:space="preserve">30/06/2020</t>
  </si>
  <si>
    <t xml:space="preserve">1375</t>
  </si>
  <si>
    <t xml:space="preserve">ILUS PLACA 4X2</t>
  </si>
  <si>
    <t xml:space="preserve">1376</t>
  </si>
  <si>
    <t xml:space="preserve">PIALPLUS</t>
  </si>
  <si>
    <t xml:space="preserve">1377</t>
  </si>
  <si>
    <t xml:space="preserve">MOD TOMADA PAD BRAS 10A BR LUNARE</t>
  </si>
  <si>
    <t xml:space="preserve">1378</t>
  </si>
  <si>
    <t xml:space="preserve">ILUS CJ INT PARAL</t>
  </si>
  <si>
    <t xml:space="preserve">1380</t>
  </si>
  <si>
    <t xml:space="preserve">GRELHA PARA PISO</t>
  </si>
  <si>
    <t xml:space="preserve">420</t>
  </si>
  <si>
    <t xml:space="preserve">FAST STEEL IND E COM DE EQUI PARA COZINHA LTDA</t>
  </si>
  <si>
    <t xml:space="preserve">73042400.</t>
  </si>
  <si>
    <t xml:space="preserve">OUTROS, DE ACOS INOXIDAVEIS</t>
  </si>
  <si>
    <t xml:space="preserve">06/07/2020</t>
  </si>
  <si>
    <t xml:space="preserve">1384</t>
  </si>
  <si>
    <t xml:space="preserve">FILTRO DE AR CABINE</t>
  </si>
  <si>
    <t xml:space="preserve">08/07/2020</t>
  </si>
  <si>
    <t xml:space="preserve">1385</t>
  </si>
  <si>
    <t xml:space="preserve">FILTRO DE COMBUSTIVEL</t>
  </si>
  <si>
    <t xml:space="preserve">1386</t>
  </si>
  <si>
    <t xml:space="preserve">OLEO SEMISINTETICO</t>
  </si>
  <si>
    <t xml:space="preserve">1387</t>
  </si>
  <si>
    <t xml:space="preserve">FILTRO DE CAB WEGA</t>
  </si>
  <si>
    <t xml:space="preserve">1388</t>
  </si>
  <si>
    <t xml:space="preserve">ARISCO</t>
  </si>
  <si>
    <t xml:space="preserve">25051000.</t>
  </si>
  <si>
    <t xml:space="preserve">AREIAS SILICIOSAS E AREIAS QUARTZOSAS</t>
  </si>
  <si>
    <t xml:space="preserve">09/07/2020</t>
  </si>
  <si>
    <t xml:space="preserve">1389</t>
  </si>
  <si>
    <t xml:space="preserve">PECA ELETRODUTO</t>
  </si>
  <si>
    <t xml:space="preserve">1390</t>
  </si>
  <si>
    <t xml:space="preserve">MDF BP BRANCO PLACAS DO BRASIL</t>
  </si>
  <si>
    <t xml:space="preserve">GMAD FORTALEZA SUPRIMENTOS PARA MOVEIS LTDA</t>
  </si>
  <si>
    <t xml:space="preserve">CH</t>
  </si>
  <si>
    <t xml:space="preserve">44111490.</t>
  </si>
  <si>
    <t xml:space="preserve">1391</t>
  </si>
  <si>
    <t xml:space="preserve">DOBRADICA GMAD</t>
  </si>
  <si>
    <t xml:space="preserve">1392</t>
  </si>
  <si>
    <t xml:space="preserve">CORREDICA TELESCOPICA</t>
  </si>
  <si>
    <t xml:space="preserve">PR</t>
  </si>
  <si>
    <t xml:space="preserve">83024200.</t>
  </si>
  <si>
    <t xml:space="preserve">OUTROS, PARA MOVEIS</t>
  </si>
  <si>
    <t xml:space="preserve">1393</t>
  </si>
  <si>
    <t xml:space="preserve">PISTAO A GAS</t>
  </si>
  <si>
    <t xml:space="preserve">1394</t>
  </si>
  <si>
    <t xml:space="preserve">MDF BP LOTUS CHESS</t>
  </si>
  <si>
    <t xml:space="preserve">10/07/2020</t>
  </si>
  <si>
    <t xml:space="preserve">1395</t>
  </si>
  <si>
    <t xml:space="preserve">COLA ADESIVA</t>
  </si>
  <si>
    <t xml:space="preserve">35061010.</t>
  </si>
  <si>
    <t xml:space="preserve">A BASE DE CIANOACRILATOS</t>
  </si>
  <si>
    <t xml:space="preserve">1396</t>
  </si>
  <si>
    <t xml:space="preserve">DILUENTE</t>
  </si>
  <si>
    <t xml:space="preserve">1397</t>
  </si>
  <si>
    <t xml:space="preserve">ESTOPA GMAD</t>
  </si>
  <si>
    <t xml:space="preserve">63109000.</t>
  </si>
  <si>
    <t xml:space="preserve">1398</t>
  </si>
  <si>
    <t xml:space="preserve">MINI SUPORTE CANTONEIRA</t>
  </si>
  <si>
    <t xml:space="preserve">1399</t>
  </si>
  <si>
    <t xml:space="preserve">TRASEIRO SERROTE RESF JBS</t>
  </si>
  <si>
    <t xml:space="preserve">13/07/2020</t>
  </si>
  <si>
    <t xml:space="preserve">1400</t>
  </si>
  <si>
    <t xml:space="preserve">GARRA P/ BATERIA VM/PT FLACH</t>
  </si>
  <si>
    <t xml:space="preserve">1401</t>
  </si>
  <si>
    <t xml:space="preserve">BORDA PVC</t>
  </si>
  <si>
    <t xml:space="preserve">1402</t>
  </si>
  <si>
    <t xml:space="preserve">MDF BP GMAD</t>
  </si>
  <si>
    <t xml:space="preserve">1403</t>
  </si>
  <si>
    <t xml:space="preserve">MDF BP COURO LINHO</t>
  </si>
  <si>
    <t xml:space="preserve">14/07/2020</t>
  </si>
  <si>
    <t xml:space="preserve">1404</t>
  </si>
  <si>
    <t xml:space="preserve">MINI PISTAO FIT</t>
  </si>
  <si>
    <t xml:space="preserve">1405</t>
  </si>
  <si>
    <t xml:space="preserve">MDF BP NOGAL</t>
  </si>
  <si>
    <t xml:space="preserve">1408</t>
  </si>
  <si>
    <t xml:space="preserve">TRASEIRO TOCO RESFRIADO JBS</t>
  </si>
  <si>
    <t xml:space="preserve">17/07/2020</t>
  </si>
  <si>
    <t xml:space="preserve">1409</t>
  </si>
  <si>
    <t xml:space="preserve">BISTECA RESFRIADA JBS</t>
  </si>
  <si>
    <t xml:space="preserve">1410</t>
  </si>
  <si>
    <t xml:space="preserve">MDF BP BRANCO</t>
  </si>
  <si>
    <t xml:space="preserve">44111399.</t>
  </si>
  <si>
    <t xml:space="preserve">1411</t>
  </si>
  <si>
    <t xml:space="preserve">TAPA FURO</t>
  </si>
  <si>
    <t xml:space="preserve">1412</t>
  </si>
  <si>
    <t xml:space="preserve">MDF BP HUNTER</t>
  </si>
  <si>
    <t xml:space="preserve">1413</t>
  </si>
  <si>
    <t xml:space="preserve">AMANCO TEE</t>
  </si>
  <si>
    <t xml:space="preserve">1414</t>
  </si>
  <si>
    <t xml:space="preserve">THINNER LIMPEZA</t>
  </si>
  <si>
    <t xml:space="preserve">OTICREL OTILIO COMERCIO LTDA ME</t>
  </si>
  <si>
    <t xml:space="preserve">29153929.</t>
  </si>
  <si>
    <t xml:space="preserve">OUTROS ACETATOS DE GLICERILA</t>
  </si>
  <si>
    <t xml:space="preserve">1415</t>
  </si>
  <si>
    <t xml:space="preserve">CATALIZADOR AMBEROX</t>
  </si>
  <si>
    <t xml:space="preserve">29096020.</t>
  </si>
  <si>
    <t xml:space="preserve">PEROXIDOS DE ALCOOIS,ETERES,CETONAS,DERIVS.HALOGEN.ETC.</t>
  </si>
  <si>
    <t xml:space="preserve">1416</t>
  </si>
  <si>
    <t xml:space="preserve">RESINA POLIESTER</t>
  </si>
  <si>
    <t xml:space="preserve">39079100.</t>
  </si>
  <si>
    <t xml:space="preserve">NAO SATURADOS</t>
  </si>
  <si>
    <t xml:space="preserve">1417</t>
  </si>
  <si>
    <t xml:space="preserve">TRINCHA 4 ATLAS</t>
  </si>
  <si>
    <t xml:space="preserve">1418</t>
  </si>
  <si>
    <t xml:space="preserve">MANTA FIO PICADO</t>
  </si>
  <si>
    <t xml:space="preserve">70193100.</t>
  </si>
  <si>
    <t xml:space="preserve">ESTEIRAS (ôMATSö)</t>
  </si>
  <si>
    <t xml:space="preserve">1419</t>
  </si>
  <si>
    <t xml:space="preserve">FAIXA ADESIVA SINALIZ REFLETIVA</t>
  </si>
  <si>
    <t xml:space="preserve">73151290.</t>
  </si>
  <si>
    <t xml:space="preserve">20/07/2020</t>
  </si>
  <si>
    <t xml:space="preserve">1420</t>
  </si>
  <si>
    <t xml:space="preserve">LAMPADA P/ PLACA UNIVERSAL</t>
  </si>
  <si>
    <t xml:space="preserve">1421</t>
  </si>
  <si>
    <t xml:space="preserve">LANTERNA RETANGULAR</t>
  </si>
  <si>
    <t xml:space="preserve">1422</t>
  </si>
  <si>
    <t xml:space="preserve">MONITOR DELL</t>
  </si>
  <si>
    <t xml:space="preserve">22/07/2020</t>
  </si>
  <si>
    <t xml:space="preserve">1423</t>
  </si>
  <si>
    <t xml:space="preserve">PICANHA ARGENTINA PLATE 1,5 KG ABAIXO</t>
  </si>
  <si>
    <t xml:space="preserve">FREEZER CARNES E LATICINIOS LTDA</t>
  </si>
  <si>
    <t xml:space="preserve">23/07/2020</t>
  </si>
  <si>
    <t xml:space="preserve">1424</t>
  </si>
  <si>
    <t xml:space="preserve">FRENTE FALSA</t>
  </si>
  <si>
    <t xml:space="preserve">TREE MATERIAIS ELETRICOS E CONECTIVIDADE LTDA</t>
  </si>
  <si>
    <t xml:space="preserve">94032000.</t>
  </si>
  <si>
    <t xml:space="preserve">OUTROS MOVEIS DE METAL</t>
  </si>
  <si>
    <t xml:space="preserve">24/07/2020</t>
  </si>
  <si>
    <t xml:space="preserve">1425</t>
  </si>
  <si>
    <t xml:space="preserve">GUIA DE CABO HORIZONTAL</t>
  </si>
  <si>
    <t xml:space="preserve">1426</t>
  </si>
  <si>
    <t xml:space="preserve">BANDEJA FIXA</t>
  </si>
  <si>
    <t xml:space="preserve">1427</t>
  </si>
  <si>
    <t xml:space="preserve">RACK PISO</t>
  </si>
  <si>
    <t xml:space="preserve">1428</t>
  </si>
  <si>
    <t xml:space="preserve">REGUA TOMADA</t>
  </si>
  <si>
    <t xml:space="preserve">1429</t>
  </si>
  <si>
    <t xml:space="preserve">KIT RO-8102U FIXACAO</t>
  </si>
  <si>
    <t xml:space="preserve">KIT</t>
  </si>
  <si>
    <t xml:space="preserve">1430</t>
  </si>
  <si>
    <t xml:space="preserve">FORMICA BRANCO</t>
  </si>
  <si>
    <t xml:space="preserve">39219011.</t>
  </si>
  <si>
    <t xml:space="preserve">DE RESINA MELAMINAFORMALDEIDO</t>
  </si>
  <si>
    <t xml:space="preserve">27/07/2020</t>
  </si>
  <si>
    <t xml:space="preserve">1431</t>
  </si>
  <si>
    <t xml:space="preserve">PUXADOR</t>
  </si>
  <si>
    <t xml:space="preserve">1432</t>
  </si>
  <si>
    <t xml:space="preserve">COLOR DESIGN PISO</t>
  </si>
  <si>
    <t xml:space="preserve">1433</t>
  </si>
  <si>
    <t xml:space="preserve">DESIGN PISO</t>
  </si>
  <si>
    <t xml:space="preserve">1434</t>
  </si>
  <si>
    <t xml:space="preserve">COLOR PROCRAFT TEXTURA</t>
  </si>
  <si>
    <t xml:space="preserve">32091010</t>
  </si>
  <si>
    <t xml:space="preserve">1435</t>
  </si>
  <si>
    <t xml:space="preserve">73269090</t>
  </si>
  <si>
    <t xml:space="preserve">1436</t>
  </si>
  <si>
    <t xml:space="preserve">MICROCOMPUTADOR DELL</t>
  </si>
  <si>
    <t xml:space="preserve">84715010</t>
  </si>
  <si>
    <t xml:space="preserve">1437</t>
  </si>
  <si>
    <t xml:space="preserve">TECLADO ALFANUMERICO</t>
  </si>
  <si>
    <t xml:space="preserve">84716052</t>
  </si>
  <si>
    <t xml:space="preserve">1438</t>
  </si>
  <si>
    <t xml:space="preserve">KIT COMPOSTO TECLADO E MOUSE</t>
  </si>
  <si>
    <t xml:space="preserve">1439</t>
  </si>
  <si>
    <t xml:space="preserve">CAPA LOMBADOR POLIESTER</t>
  </si>
  <si>
    <t xml:space="preserve">LINABRA COMERCIAL LTDA</t>
  </si>
  <si>
    <t xml:space="preserve">55121900.</t>
  </si>
  <si>
    <t xml:space="preserve">55121900</t>
  </si>
  <si>
    <t xml:space="preserve">28/07/2020</t>
  </si>
  <si>
    <t xml:space="preserve">1440</t>
  </si>
  <si>
    <t xml:space="preserve">83024200</t>
  </si>
  <si>
    <t xml:space="preserve">29/07/2020</t>
  </si>
  <si>
    <t xml:space="preserve">1441</t>
  </si>
  <si>
    <t xml:space="preserve">COLA GRANULADA</t>
  </si>
  <si>
    <t xml:space="preserve">35069900</t>
  </si>
  <si>
    <t xml:space="preserve">1442</t>
  </si>
  <si>
    <t xml:space="preserve">MDF BP CRISTALLO</t>
  </si>
  <si>
    <t xml:space="preserve">44111490</t>
  </si>
  <si>
    <t xml:space="preserve">1443</t>
  </si>
  <si>
    <t xml:space="preserve">MDF BP PEROLA</t>
  </si>
  <si>
    <t xml:space="preserve">1444</t>
  </si>
  <si>
    <t xml:space="preserve">FILE MIGNON SUINO CONG SADIA</t>
  </si>
  <si>
    <t xml:space="preserve">FILE MIGNON SUINO CONGELADO</t>
  </si>
  <si>
    <t xml:space="preserve">2032900</t>
  </si>
  <si>
    <t xml:space="preserve">30/07/2020</t>
  </si>
  <si>
    <t xml:space="preserve">1445</t>
  </si>
  <si>
    <t xml:space="preserve">PATCH PAINEL CAT.6 - 24 PORTAS</t>
  </si>
  <si>
    <t xml:space="preserve">85177099</t>
  </si>
  <si>
    <t xml:space="preserve">1446</t>
  </si>
  <si>
    <t xml:space="preserve">MASSA COLA</t>
  </si>
  <si>
    <t xml:space="preserve">38245000</t>
  </si>
  <si>
    <t xml:space="preserve">1447</t>
  </si>
  <si>
    <t xml:space="preserve">EVAP HW FR - MAXIFLEX</t>
  </si>
  <si>
    <t xml:space="preserve">434</t>
  </si>
  <si>
    <t xml:space="preserve">REFRIGELO CLIMATIZACAO DE AMBIENTES S.A.</t>
  </si>
  <si>
    <t xml:space="preserve">84151011</t>
  </si>
  <si>
    <t xml:space="preserve">31/07/2020</t>
  </si>
  <si>
    <t xml:space="preserve">1448</t>
  </si>
  <si>
    <t xml:space="preserve">COND HR FR - MAXIFLEX</t>
  </si>
  <si>
    <t xml:space="preserve">1449</t>
  </si>
  <si>
    <t xml:space="preserve">COMP PARICA NAVAL</t>
  </si>
  <si>
    <t xml:space="preserve">437</t>
  </si>
  <si>
    <t xml:space="preserve">MADEIREIRA GEOVANE LTDA</t>
  </si>
  <si>
    <t xml:space="preserve">44129900.</t>
  </si>
  <si>
    <t xml:space="preserve">44129900</t>
  </si>
  <si>
    <t xml:space="preserve">03/08/2020</t>
  </si>
  <si>
    <t xml:space="preserve">1450</t>
  </si>
  <si>
    <t xml:space="preserve">39259090</t>
  </si>
  <si>
    <t xml:space="preserve">1451</t>
  </si>
  <si>
    <t xml:space="preserve">ALICATE UNIVERSAL</t>
  </si>
  <si>
    <t xml:space="preserve">82032010.</t>
  </si>
  <si>
    <t xml:space="preserve">ALICATES (MESMO CORTANTES)</t>
  </si>
  <si>
    <t xml:space="preserve">82032010</t>
  </si>
  <si>
    <t xml:space="preserve">1453</t>
  </si>
  <si>
    <t xml:space="preserve">CORAÇÃO BOV CONG FRIGORIFCO PATANAL</t>
  </si>
  <si>
    <t xml:space="preserve">FRIGORIFICO PANTANAL LTDA</t>
  </si>
  <si>
    <t xml:space="preserve">2062990</t>
  </si>
  <si>
    <t xml:space="preserve">1454</t>
  </si>
  <si>
    <t xml:space="preserve">CUPIM GRILL CONG FRIGORIFICO PANTANAL</t>
  </si>
  <si>
    <t xml:space="preserve">2023000</t>
  </si>
  <si>
    <t xml:space="preserve">1455</t>
  </si>
  <si>
    <t xml:space="preserve">CUPIM B CONG FRIGORIFICO PANTANAL</t>
  </si>
  <si>
    <t xml:space="preserve">FRIGOMARCA LTDA</t>
  </si>
  <si>
    <t xml:space="preserve">1457</t>
  </si>
  <si>
    <t xml:space="preserve">BIFE DO VAZIO CONG FRIGORIFICO PANTANAL</t>
  </si>
  <si>
    <t xml:space="preserve">1459</t>
  </si>
  <si>
    <t xml:space="preserve">COOLER AKASA BAIXO</t>
  </si>
  <si>
    <t xml:space="preserve">84145910.</t>
  </si>
  <si>
    <t xml:space="preserve">MICROVENTILADORES COM AREA DE CARCACA INFERIOR A 90CM?</t>
  </si>
  <si>
    <t xml:space="preserve">84145910</t>
  </si>
  <si>
    <t xml:space="preserve">04/08/2020</t>
  </si>
  <si>
    <t xml:space="preserve">1460</t>
  </si>
  <si>
    <t xml:space="preserve">PLACA MAE INTEL</t>
  </si>
  <si>
    <t xml:space="preserve">84733041</t>
  </si>
  <si>
    <t xml:space="preserve">1461</t>
  </si>
  <si>
    <t xml:space="preserve">PUXADOR COPACABANA</t>
  </si>
  <si>
    <t xml:space="preserve">1462</t>
  </si>
  <si>
    <t xml:space="preserve">OLEO DE SOJA SOYA</t>
  </si>
  <si>
    <t xml:space="preserve">F C HOLANDA REIS ALIMENTOS ME</t>
  </si>
  <si>
    <t xml:space="preserve">15079011.</t>
  </si>
  <si>
    <t xml:space="preserve">OLEO DE SOJA,REFINADO,EM RECIPIENTES COM CAPACIDADE&lt;=5L</t>
  </si>
  <si>
    <t xml:space="preserve">15079011</t>
  </si>
  <si>
    <t xml:space="preserve">1463</t>
  </si>
  <si>
    <t xml:space="preserve">SLITER INOX 304</t>
  </si>
  <si>
    <t xml:space="preserve">438</t>
  </si>
  <si>
    <t xml:space="preserve">ACOMETAL COMERCIO DE AÇOS LTDA</t>
  </si>
  <si>
    <t xml:space="preserve">72193400.</t>
  </si>
  <si>
    <t xml:space="preserve">DE ESPESSURA IGUAL OU SUPERIOR A 0,5MM MAS NAO SUPERIOR A 1M</t>
  </si>
  <si>
    <t xml:space="preserve">72193400</t>
  </si>
  <si>
    <t xml:space="preserve">1464</t>
  </si>
  <si>
    <t xml:space="preserve">MDF BP BRUMA</t>
  </si>
  <si>
    <t xml:space="preserve">1466</t>
  </si>
  <si>
    <t xml:space="preserve">CALCULADORA DE BOLSO</t>
  </si>
  <si>
    <t xml:space="preserve">84701000.</t>
  </si>
  <si>
    <t xml:space="preserve">CALCULADORAS ELETRONICAS CAPAZES DE FUNCIONAR SEM FONTE EXTE</t>
  </si>
  <si>
    <t xml:space="preserve">84701000</t>
  </si>
  <si>
    <t xml:space="preserve">07/08/2020</t>
  </si>
  <si>
    <t xml:space="preserve">1467</t>
  </si>
  <si>
    <t xml:space="preserve">SSD KINGSTON A400</t>
  </si>
  <si>
    <t xml:space="preserve">KABUM COMERCIO ELETRONICO S.A.</t>
  </si>
  <si>
    <t xml:space="preserve">PEÇAS EM GERAL</t>
  </si>
  <si>
    <t xml:space="preserve">85235190.</t>
  </si>
  <si>
    <t xml:space="preserve">85235190</t>
  </si>
  <si>
    <t xml:space="preserve">1468</t>
  </si>
  <si>
    <t xml:space="preserve">BRF S.A</t>
  </si>
  <si>
    <t xml:space="preserve">10/08/2020</t>
  </si>
  <si>
    <t xml:space="preserve">1469</t>
  </si>
  <si>
    <t xml:space="preserve">ELETROCALHA PERF</t>
  </si>
  <si>
    <t xml:space="preserve">73089090</t>
  </si>
  <si>
    <t xml:space="preserve">1470</t>
  </si>
  <si>
    <t xml:space="preserve">ELETRODO REVESTIDO</t>
  </si>
  <si>
    <t xml:space="preserve">83111000</t>
  </si>
  <si>
    <t xml:space="preserve">1471</t>
  </si>
  <si>
    <t xml:space="preserve">DISCO DE DESBASTE</t>
  </si>
  <si>
    <t xml:space="preserve">68042211</t>
  </si>
  <si>
    <t xml:space="preserve">1472</t>
  </si>
  <si>
    <t xml:space="preserve">FITA DUPLA FACE</t>
  </si>
  <si>
    <t xml:space="preserve">RECICABOS COMERCIAL LIMITADA</t>
  </si>
  <si>
    <t xml:space="preserve">39269090</t>
  </si>
  <si>
    <t xml:space="preserve">1473</t>
  </si>
  <si>
    <t xml:space="preserve">ARO DE CARRO DE MAO</t>
  </si>
  <si>
    <t xml:space="preserve">87168000</t>
  </si>
  <si>
    <t xml:space="preserve">1475</t>
  </si>
  <si>
    <t xml:space="preserve">PINO ADAP 2P</t>
  </si>
  <si>
    <t xml:space="preserve">451</t>
  </si>
  <si>
    <t xml:space="preserve">MATEHISA MATERIAL ELETRICO HIDRAULICO E SANITARIO LTDA ME</t>
  </si>
  <si>
    <t xml:space="preserve">85366990</t>
  </si>
  <si>
    <t xml:space="preserve">11/08/2020</t>
  </si>
  <si>
    <t xml:space="preserve">1476</t>
  </si>
  <si>
    <t xml:space="preserve">PINCEL ARTISTICO</t>
  </si>
  <si>
    <t xml:space="preserve">96033000.</t>
  </si>
  <si>
    <t xml:space="preserve">PINCEIS E ESCOVAS P/ARTISTAS,P/PRODS.COSMETICOS,ETC.</t>
  </si>
  <si>
    <t xml:space="preserve">96033000</t>
  </si>
  <si>
    <t xml:space="preserve">1477</t>
  </si>
  <si>
    <t xml:space="preserve">CAMISA GOLA</t>
  </si>
  <si>
    <t xml:space="preserve">62053000</t>
  </si>
  <si>
    <t xml:space="preserve">1478</t>
  </si>
  <si>
    <t xml:space="preserve">CALCA PIJAMA</t>
  </si>
  <si>
    <t xml:space="preserve">CALÇAS</t>
  </si>
  <si>
    <t xml:space="preserve">1479</t>
  </si>
  <si>
    <t xml:space="preserve">BATA LOMBADOR</t>
  </si>
  <si>
    <t xml:space="preserve">BATAS</t>
  </si>
  <si>
    <t xml:space="preserve">1480</t>
  </si>
  <si>
    <t xml:space="preserve">CAPA DO COXAO MOLE CONG FRIBOI</t>
  </si>
  <si>
    <t xml:space="preserve">12/08/2020</t>
  </si>
  <si>
    <t xml:space="preserve">1481</t>
  </si>
  <si>
    <t xml:space="preserve">FERRO QUADRADO</t>
  </si>
  <si>
    <t xml:space="preserve">72142000</t>
  </si>
  <si>
    <t xml:space="preserve">1482</t>
  </si>
  <si>
    <t xml:space="preserve">ALUMINIO COMPOSTO</t>
  </si>
  <si>
    <t xml:space="preserve">76061290.</t>
  </si>
  <si>
    <t xml:space="preserve">76061290</t>
  </si>
  <si>
    <t xml:space="preserve">1483</t>
  </si>
  <si>
    <t xml:space="preserve">SUPORTE 4 X 2 3 SECOES DECOR/LUNARE</t>
  </si>
  <si>
    <t xml:space="preserve">13/08/2020</t>
  </si>
  <si>
    <t xml:space="preserve">1484</t>
  </si>
  <si>
    <t xml:space="preserve">DIVISOR DE TALHERES</t>
  </si>
  <si>
    <t xml:space="preserve">39263000.</t>
  </si>
  <si>
    <t xml:space="preserve">GUARNICOES PARA MOVEIS, CARROCARIAS OU SEMELHANTES</t>
  </si>
  <si>
    <t xml:space="preserve">39263000</t>
  </si>
  <si>
    <t xml:space="preserve">14/08/2020</t>
  </si>
  <si>
    <t xml:space="preserve">1485</t>
  </si>
  <si>
    <t xml:space="preserve">PASSA FIO</t>
  </si>
  <si>
    <t xml:space="preserve">1486</t>
  </si>
  <si>
    <t xml:space="preserve">RO 65 PLUS KIT P/ PORTA</t>
  </si>
  <si>
    <t xml:space="preserve">83022000</t>
  </si>
  <si>
    <t xml:space="preserve">1487</t>
  </si>
  <si>
    <t xml:space="preserve">AMORTECEDOR P/ PORTAS</t>
  </si>
  <si>
    <t xml:space="preserve">1488</t>
  </si>
  <si>
    <t xml:space="preserve">PULSADOR MAGNETICO</t>
  </si>
  <si>
    <t xml:space="preserve">1489</t>
  </si>
  <si>
    <t xml:space="preserve">BLOCO ESPUMA POLIESTER</t>
  </si>
  <si>
    <t xml:space="preserve">39211390.</t>
  </si>
  <si>
    <t xml:space="preserve">39211390</t>
  </si>
  <si>
    <t xml:space="preserve">1490</t>
  </si>
  <si>
    <t xml:space="preserve">COLA PLASTICA</t>
  </si>
  <si>
    <t xml:space="preserve">35069190</t>
  </si>
  <si>
    <t xml:space="preserve">1491</t>
  </si>
  <si>
    <t xml:space="preserve">MDF BP CANOVAS</t>
  </si>
  <si>
    <t xml:space="preserve">17/08/2020</t>
  </si>
  <si>
    <t xml:space="preserve">1492</t>
  </si>
  <si>
    <t xml:space="preserve">FLAP DISC</t>
  </si>
  <si>
    <t xml:space="preserve">68053090</t>
  </si>
  <si>
    <t xml:space="preserve">1493</t>
  </si>
  <si>
    <t xml:space="preserve">KIT P/ PINTURA</t>
  </si>
  <si>
    <t xml:space="preserve">96034010</t>
  </si>
  <si>
    <t xml:space="preserve">1494</t>
  </si>
  <si>
    <t xml:space="preserve">LATEX FORTMAIS</t>
  </si>
  <si>
    <t xml:space="preserve">SIMPLIFIQUE COMERCIO DE MATERIAL DE CONSTRUCAO LTDA</t>
  </si>
  <si>
    <t xml:space="preserve">1495</t>
  </si>
  <si>
    <t xml:space="preserve">MANGUEIRA JARDIM FLEX</t>
  </si>
  <si>
    <t xml:space="preserve">39173900</t>
  </si>
  <si>
    <t xml:space="preserve">1496</t>
  </si>
  <si>
    <t xml:space="preserve">SPOT LED EMB QUAD</t>
  </si>
  <si>
    <t xml:space="preserve">94051099</t>
  </si>
  <si>
    <t xml:space="preserve">1497</t>
  </si>
  <si>
    <t xml:space="preserve">PRENSA CABO</t>
  </si>
  <si>
    <t xml:space="preserve">39174090</t>
  </si>
  <si>
    <t xml:space="preserve">18/08/2020</t>
  </si>
  <si>
    <t xml:space="preserve">1498</t>
  </si>
  <si>
    <t xml:space="preserve">CABO FLEXIVEL</t>
  </si>
  <si>
    <t xml:space="preserve">85444900</t>
  </si>
  <si>
    <t xml:space="preserve">1499</t>
  </si>
  <si>
    <t xml:space="preserve">KIT UNID COND</t>
  </si>
  <si>
    <t xml:space="preserve">73151290</t>
  </si>
  <si>
    <t xml:space="preserve">19/08/2020</t>
  </si>
  <si>
    <t xml:space="preserve">1500</t>
  </si>
  <si>
    <t xml:space="preserve">POWER CONV EST 16 CANAIS</t>
  </si>
  <si>
    <t xml:space="preserve">85044021.</t>
  </si>
  <si>
    <t xml:space="preserve">DE CRISTAL (SEMICONDUTORES)</t>
  </si>
  <si>
    <t xml:space="preserve">85044021</t>
  </si>
  <si>
    <t xml:space="preserve">20/08/2020</t>
  </si>
  <si>
    <t xml:space="preserve">1501</t>
  </si>
  <si>
    <t xml:space="preserve">PATCH CORD U/UTP</t>
  </si>
  <si>
    <t xml:space="preserve">85444200</t>
  </si>
  <si>
    <t xml:space="preserve">1502</t>
  </si>
  <si>
    <t xml:space="preserve">NBK XNB 1200/VA</t>
  </si>
  <si>
    <t xml:space="preserve">85044040.</t>
  </si>
  <si>
    <t xml:space="preserve">EQUIPAMENTO DE ALIMENTACAO ININTERRUPTA DE ENERGIA (UPS OU "</t>
  </si>
  <si>
    <t xml:space="preserve">85044040</t>
  </si>
  <si>
    <t xml:space="preserve">1503</t>
  </si>
  <si>
    <t xml:space="preserve">ROTEADOR/ ACCESS POINT</t>
  </si>
  <si>
    <t xml:space="preserve">85176241.</t>
  </si>
  <si>
    <t xml:space="preserve">COM CAPACIDADE DE CONEXAO SEM FIO</t>
  </si>
  <si>
    <t xml:space="preserve">85176241</t>
  </si>
  <si>
    <t xml:space="preserve">1504</t>
  </si>
  <si>
    <t xml:space="preserve">GRAV DIG DE IMAGEM</t>
  </si>
  <si>
    <t xml:space="preserve">85219010.</t>
  </si>
  <si>
    <t xml:space="preserve">GRAVADORREPRODUTOR E EDITOR DE IMAGEM E SOM, EM DISCOS, POR</t>
  </si>
  <si>
    <t xml:space="preserve">85219010</t>
  </si>
  <si>
    <t xml:space="preserve">1505</t>
  </si>
  <si>
    <t xml:space="preserve">CARCAÇA CONG SADIA 1.1 KG</t>
  </si>
  <si>
    <t xml:space="preserve">2071220</t>
  </si>
  <si>
    <t xml:space="preserve">21/08/2020</t>
  </si>
  <si>
    <t xml:space="preserve">1506</t>
  </si>
  <si>
    <t xml:space="preserve">FRALDINHA DIAFRAGMA CONG FRIG PANTANAL</t>
  </si>
  <si>
    <t xml:space="preserve">CX +/- 30 KG</t>
  </si>
  <si>
    <t xml:space="preserve">1507</t>
  </si>
  <si>
    <t xml:space="preserve">CHAPA COMP PLASTIF</t>
  </si>
  <si>
    <t xml:space="preserve">458</t>
  </si>
  <si>
    <t xml:space="preserve">MADEIREIRA REAL LTDA</t>
  </si>
  <si>
    <t xml:space="preserve">44123900.</t>
  </si>
  <si>
    <t xml:space="preserve">44123900</t>
  </si>
  <si>
    <t xml:space="preserve">22/08/2020</t>
  </si>
  <si>
    <t xml:space="preserve">1508</t>
  </si>
  <si>
    <t xml:space="preserve">MAD PINUS BRUTO</t>
  </si>
  <si>
    <t xml:space="preserve">1509</t>
  </si>
  <si>
    <t xml:space="preserve">ESPATULA</t>
  </si>
  <si>
    <t xml:space="preserve">RDS COMERCIO DE MATERIAL DE CONSTRUCAO LTDA ME</t>
  </si>
  <si>
    <t xml:space="preserve">82055900</t>
  </si>
  <si>
    <t xml:space="preserve">24/08/2020</t>
  </si>
  <si>
    <t xml:space="preserve">1510</t>
  </si>
  <si>
    <t xml:space="preserve">BROXA RETANGULAR</t>
  </si>
  <si>
    <t xml:space="preserve">96034090</t>
  </si>
  <si>
    <t xml:space="preserve">1511</t>
  </si>
  <si>
    <t xml:space="preserve">LINHA P/ PESCA</t>
  </si>
  <si>
    <t xml:space="preserve">54041990.</t>
  </si>
  <si>
    <t xml:space="preserve">54041990</t>
  </si>
  <si>
    <t xml:space="preserve">1512</t>
  </si>
  <si>
    <t xml:space="preserve">TECPLUS QUARTZOLIT</t>
  </si>
  <si>
    <t xml:space="preserve">1513</t>
  </si>
  <si>
    <t xml:space="preserve">SUPERGROUTE SACO</t>
  </si>
  <si>
    <t xml:space="preserve">32149000.</t>
  </si>
  <si>
    <t xml:space="preserve">32149000</t>
  </si>
  <si>
    <t xml:space="preserve">1514</t>
  </si>
  <si>
    <t xml:space="preserve">CEMIX BALDE</t>
  </si>
  <si>
    <t xml:space="preserve">38244000.</t>
  </si>
  <si>
    <t xml:space="preserve">ADITIVOS PREPARADOS PARA CIMENTOS, ARGAMASSAS OU CONCRETOS</t>
  </si>
  <si>
    <t xml:space="preserve">38244000</t>
  </si>
  <si>
    <t xml:space="preserve">1515</t>
  </si>
  <si>
    <t xml:space="preserve">REPARO ESTRUTURAL</t>
  </si>
  <si>
    <t xml:space="preserve">1516</t>
  </si>
  <si>
    <t xml:space="preserve">ALVENARIT BALDE</t>
  </si>
  <si>
    <t xml:space="preserve">1517</t>
  </si>
  <si>
    <t xml:space="preserve">REGUA PEDREIRO</t>
  </si>
  <si>
    <t xml:space="preserve">76042100.</t>
  </si>
  <si>
    <t xml:space="preserve">PERFIS OCOS</t>
  </si>
  <si>
    <t xml:space="preserve">76042100</t>
  </si>
  <si>
    <t xml:space="preserve">1518</t>
  </si>
  <si>
    <t xml:space="preserve">ESCOVA DE ACO</t>
  </si>
  <si>
    <t xml:space="preserve">1519</t>
  </si>
  <si>
    <t xml:space="preserve">TUBO CABIDEIRO</t>
  </si>
  <si>
    <t xml:space="preserve">76042920</t>
  </si>
  <si>
    <t xml:space="preserve">1520</t>
  </si>
  <si>
    <t xml:space="preserve">COSTELA SUINA INTEIRA CONG SAUDALI</t>
  </si>
  <si>
    <t xml:space="preserve">FRIGORIFICO INDL. VALE DO PIRANGA S/A</t>
  </si>
  <si>
    <t xml:space="preserve">1521</t>
  </si>
  <si>
    <t xml:space="preserve">LINGUICA CALABRESA SAUDALI</t>
  </si>
  <si>
    <t xml:space="preserve">16010000</t>
  </si>
  <si>
    <t xml:space="preserve">1522</t>
  </si>
  <si>
    <t xml:space="preserve">REPAR CX DIFER VOLARE</t>
  </si>
  <si>
    <t xml:space="preserve">87085099</t>
  </si>
  <si>
    <t xml:space="preserve">25/08/2020</t>
  </si>
  <si>
    <t xml:space="preserve">1523</t>
  </si>
  <si>
    <t xml:space="preserve">RET ROD DIANT FORD</t>
  </si>
  <si>
    <t xml:space="preserve">40169300</t>
  </si>
  <si>
    <t xml:space="preserve">1524</t>
  </si>
  <si>
    <t xml:space="preserve">BOMBA</t>
  </si>
  <si>
    <t xml:space="preserve">461</t>
  </si>
  <si>
    <t xml:space="preserve">AGRIMOTORES IRRIGACAO AQUICULTURA E SERVICOS LTDA ME</t>
  </si>
  <si>
    <t xml:space="preserve">84137080</t>
  </si>
  <si>
    <t xml:space="preserve">1525</t>
  </si>
  <si>
    <t xml:space="preserve">ALDRAVA INOX</t>
  </si>
  <si>
    <t xml:space="preserve">83024900.</t>
  </si>
  <si>
    <t xml:space="preserve">83024900</t>
  </si>
  <si>
    <t xml:space="preserve">26/08/2020</t>
  </si>
  <si>
    <t xml:space="preserve">1526</t>
  </si>
  <si>
    <t xml:space="preserve">FECHADURA P/ GAVETA</t>
  </si>
  <si>
    <t xml:space="preserve">83013000</t>
  </si>
  <si>
    <t xml:space="preserve">1527</t>
  </si>
  <si>
    <t xml:space="preserve">PUXADOR GOL</t>
  </si>
  <si>
    <t xml:space="preserve">1528</t>
  </si>
  <si>
    <t xml:space="preserve">BATENTE C/ LINER</t>
  </si>
  <si>
    <t xml:space="preserve">CTL</t>
  </si>
  <si>
    <t xml:space="preserve">48099000.</t>
  </si>
  <si>
    <t xml:space="preserve">48099000</t>
  </si>
  <si>
    <t xml:space="preserve">1529</t>
  </si>
  <si>
    <t xml:space="preserve">TAMPA CEGA P/ ESPELHO</t>
  </si>
  <si>
    <t xml:space="preserve">1530</t>
  </si>
  <si>
    <t xml:space="preserve">ESPELHO PLASTICO</t>
  </si>
  <si>
    <t xml:space="preserve">1531</t>
  </si>
  <si>
    <t xml:space="preserve">ESQUADRIA EM ALUMINIO</t>
  </si>
  <si>
    <t xml:space="preserve">D A DE LIMA INDUSTRIA E COMERCIO DE ESQUADRIAS ME</t>
  </si>
  <si>
    <t xml:space="preserve">76101000</t>
  </si>
  <si>
    <t xml:space="preserve">1532</t>
  </si>
  <si>
    <t xml:space="preserve">DISCO SERRA</t>
  </si>
  <si>
    <t xml:space="preserve">82023100.</t>
  </si>
  <si>
    <t xml:space="preserve">COM PARTE OPERANTE DE ACO</t>
  </si>
  <si>
    <t xml:space="preserve">82023100</t>
  </si>
  <si>
    <t xml:space="preserve">27/08/2020</t>
  </si>
  <si>
    <t xml:space="preserve">1533</t>
  </si>
  <si>
    <t xml:space="preserve">VIDRO 6MM INCOLOR COMUM</t>
  </si>
  <si>
    <t xml:space="preserve">70052900.</t>
  </si>
  <si>
    <t xml:space="preserve">OUTRO</t>
  </si>
  <si>
    <t xml:space="preserve">70052900</t>
  </si>
  <si>
    <t xml:space="preserve">1534</t>
  </si>
  <si>
    <t xml:space="preserve">BLOCO P/ ESTACIONAMENTO</t>
  </si>
  <si>
    <t xml:space="preserve">31/08/2020</t>
  </si>
  <si>
    <t xml:space="preserve">1535</t>
  </si>
  <si>
    <t xml:space="preserve">PONTEIRA DE BORRACHA</t>
  </si>
  <si>
    <t xml:space="preserve">01/09/2020</t>
  </si>
  <si>
    <t xml:space="preserve">1536</t>
  </si>
  <si>
    <t xml:space="preserve">BLOCO</t>
  </si>
  <si>
    <t xml:space="preserve">PREMOLAJE COMERCIO E INDUSTRIA DE PRE-MOLDADOS LTDA - ME</t>
  </si>
  <si>
    <t xml:space="preserve">68109100</t>
  </si>
  <si>
    <t xml:space="preserve">1537</t>
  </si>
  <si>
    <t xml:space="preserve">1538</t>
  </si>
  <si>
    <t xml:space="preserve">MEIO BLOCO MPA</t>
  </si>
  <si>
    <t xml:space="preserve">1539</t>
  </si>
  <si>
    <t xml:space="preserve">GRANITO VERDE</t>
  </si>
  <si>
    <t xml:space="preserve">PAULO MARTINS REBOUÇAS MARMORARIA</t>
  </si>
  <si>
    <t xml:space="preserve">68022300.</t>
  </si>
  <si>
    <t xml:space="preserve">GRANITO</t>
  </si>
  <si>
    <t xml:space="preserve">68022300</t>
  </si>
  <si>
    <t xml:space="preserve">1540</t>
  </si>
  <si>
    <t xml:space="preserve">CAM DE TV P/SIST</t>
  </si>
  <si>
    <t xml:space="preserve">85258019</t>
  </si>
  <si>
    <t xml:space="preserve">1541</t>
  </si>
  <si>
    <t xml:space="preserve">CAM SEG B - VHD</t>
  </si>
  <si>
    <t xml:space="preserve">1542</t>
  </si>
  <si>
    <t xml:space="preserve">EXTENSOR HDMI-USB TX E RX</t>
  </si>
  <si>
    <t xml:space="preserve">85176259</t>
  </si>
  <si>
    <t xml:space="preserve">1543</t>
  </si>
  <si>
    <t xml:space="preserve">CH ALAV BIP</t>
  </si>
  <si>
    <t xml:space="preserve">85365090</t>
  </si>
  <si>
    <t xml:space="preserve">03/09/2020</t>
  </si>
  <si>
    <t xml:space="preserve">1544</t>
  </si>
  <si>
    <t xml:space="preserve">CANAL HEL ABERTA</t>
  </si>
  <si>
    <t xml:space="preserve">39162000.</t>
  </si>
  <si>
    <t xml:space="preserve">39162000</t>
  </si>
  <si>
    <t xml:space="preserve">1545</t>
  </si>
  <si>
    <t xml:space="preserve">TRILHO P/ CONT PRE</t>
  </si>
  <si>
    <t xml:space="preserve">72166110.</t>
  </si>
  <si>
    <t xml:space="preserve">DE ALTURA INFERIOR A 80MM</t>
  </si>
  <si>
    <t xml:space="preserve">72166110</t>
  </si>
  <si>
    <t xml:space="preserve">1546</t>
  </si>
  <si>
    <t xml:space="preserve">SINAL CIGARRA</t>
  </si>
  <si>
    <t xml:space="preserve">85319000.</t>
  </si>
  <si>
    <t xml:space="preserve">85319000</t>
  </si>
  <si>
    <t xml:space="preserve">1547</t>
  </si>
  <si>
    <t xml:space="preserve">RELE SOBREC</t>
  </si>
  <si>
    <t xml:space="preserve">85364900.</t>
  </si>
  <si>
    <t xml:space="preserve">85364900</t>
  </si>
  <si>
    <t xml:space="preserve">1548</t>
  </si>
  <si>
    <t xml:space="preserve">SINAL MONOB C/LED</t>
  </si>
  <si>
    <t xml:space="preserve">85318000.</t>
  </si>
  <si>
    <t xml:space="preserve">OUTROS APARELHOS</t>
  </si>
  <si>
    <t xml:space="preserve">85318000</t>
  </si>
  <si>
    <t xml:space="preserve">1549</t>
  </si>
  <si>
    <t xml:space="preserve">CONT 006A 220V</t>
  </si>
  <si>
    <t xml:space="preserve">1550</t>
  </si>
  <si>
    <t xml:space="preserve">QD CMDO</t>
  </si>
  <si>
    <t xml:space="preserve">85371019.</t>
  </si>
  <si>
    <t xml:space="preserve">85371019</t>
  </si>
  <si>
    <t xml:space="preserve">1551</t>
  </si>
  <si>
    <t xml:space="preserve">CONEC SAK 02,500MM</t>
  </si>
  <si>
    <t xml:space="preserve">85369040.</t>
  </si>
  <si>
    <t xml:space="preserve">CONECTORES PARA CIRCUITO IMPRESSO</t>
  </si>
  <si>
    <t xml:space="preserve">85369040</t>
  </si>
  <si>
    <t xml:space="preserve">1552</t>
  </si>
  <si>
    <t xml:space="preserve">POSTE FINAL P/FIXACAO</t>
  </si>
  <si>
    <t xml:space="preserve">85369010</t>
  </si>
  <si>
    <t xml:space="preserve">1553</t>
  </si>
  <si>
    <t xml:space="preserve">KIT LUBRIFICANTE</t>
  </si>
  <si>
    <t xml:space="preserve">27101932</t>
  </si>
  <si>
    <t xml:space="preserve">04/09/2020</t>
  </si>
  <si>
    <t xml:space="preserve">1554</t>
  </si>
  <si>
    <t xml:space="preserve">KIT FILTRO DE COMBUSTIVEL</t>
  </si>
  <si>
    <t xml:space="preserve">84219999</t>
  </si>
  <si>
    <t xml:space="preserve">1555</t>
  </si>
  <si>
    <t xml:space="preserve">PERFIL ESTR. W 200</t>
  </si>
  <si>
    <t xml:space="preserve">HIPERFERRO COMERCIAL DE ACOS LTDA</t>
  </si>
  <si>
    <t xml:space="preserve">72163200</t>
  </si>
  <si>
    <t xml:space="preserve">1556</t>
  </si>
  <si>
    <t xml:space="preserve">MDF BP CACAO</t>
  </si>
  <si>
    <t xml:space="preserve">44111399</t>
  </si>
  <si>
    <t xml:space="preserve">08/09/2020</t>
  </si>
  <si>
    <t xml:space="preserve">1557</t>
  </si>
  <si>
    <t xml:space="preserve">MDF BP CANELA</t>
  </si>
  <si>
    <t xml:space="preserve">1558</t>
  </si>
  <si>
    <t xml:space="preserve">METRO BRANCO MAD</t>
  </si>
  <si>
    <t xml:space="preserve">90178010.</t>
  </si>
  <si>
    <t xml:space="preserve">METROS (INSTRUMENTOS DE MEDIDA MANUAL DE DISTANCIAS)</t>
  </si>
  <si>
    <t xml:space="preserve">90178010</t>
  </si>
  <si>
    <t xml:space="preserve">1559</t>
  </si>
  <si>
    <t xml:space="preserve">KIT CANTO ZINCADO</t>
  </si>
  <si>
    <t xml:space="preserve">73141900.</t>
  </si>
  <si>
    <t xml:space="preserve">73141900</t>
  </si>
  <si>
    <t xml:space="preserve">1560</t>
  </si>
  <si>
    <t xml:space="preserve">WHITEFORT CAL CH</t>
  </si>
  <si>
    <t xml:space="preserve">471</t>
  </si>
  <si>
    <t xml:space="preserve">MINERACAO MINERABEM LTDA ME</t>
  </si>
  <si>
    <t xml:space="preserve">25222000.</t>
  </si>
  <si>
    <t xml:space="preserve">CAL APAGADA</t>
  </si>
  <si>
    <t xml:space="preserve">25222000</t>
  </si>
  <si>
    <t xml:space="preserve">10/09/2020</t>
  </si>
  <si>
    <t xml:space="preserve">1561</t>
  </si>
  <si>
    <t xml:space="preserve">COMPENSADO PARICA</t>
  </si>
  <si>
    <t xml:space="preserve">44123100.</t>
  </si>
  <si>
    <t xml:space="preserve">COM PELO MENOS UMA FACE DE MADEIRAS TROPICAIS MENCIONADAS NA</t>
  </si>
  <si>
    <t xml:space="preserve">44123100</t>
  </si>
  <si>
    <t xml:space="preserve">11/09/2020</t>
  </si>
  <si>
    <t xml:space="preserve">1562</t>
  </si>
  <si>
    <t xml:space="preserve">ESPAÇADOR</t>
  </si>
  <si>
    <t xml:space="preserve">GENIAL LOCACAO DE VEICULOS E SERVICOS LTDA ME</t>
  </si>
  <si>
    <t xml:space="preserve">87149490.</t>
  </si>
  <si>
    <t xml:space="preserve">OUTROS FREIOS E SUAS PARTES P/BICICLETAS E OUTS.CICLOS</t>
  </si>
  <si>
    <t xml:space="preserve">87149490</t>
  </si>
  <si>
    <t xml:space="preserve">1563</t>
  </si>
  <si>
    <t xml:space="preserve">CJ 6213/1 E ESP CR</t>
  </si>
  <si>
    <t xml:space="preserve">DEFEL DEOLINDO FERRAGENS LTDA</t>
  </si>
  <si>
    <t xml:space="preserve">83014000</t>
  </si>
  <si>
    <t xml:space="preserve">12/09/2020</t>
  </si>
  <si>
    <t xml:space="preserve">1564</t>
  </si>
  <si>
    <t xml:space="preserve">FECHO REFORCADO</t>
  </si>
  <si>
    <t xml:space="preserve">1565</t>
  </si>
  <si>
    <t xml:space="preserve">ACIONADOR</t>
  </si>
  <si>
    <t xml:space="preserve">1566</t>
  </si>
  <si>
    <t xml:space="preserve">CADERNO 10M TILIBRA</t>
  </si>
  <si>
    <t xml:space="preserve">48202000</t>
  </si>
  <si>
    <t xml:space="preserve">15/09/2020</t>
  </si>
  <si>
    <t xml:space="preserve">1568</t>
  </si>
  <si>
    <t xml:space="preserve">SOBREPALETA CONG SAUDALI</t>
  </si>
  <si>
    <t xml:space="preserve">23/09/2020</t>
  </si>
  <si>
    <t xml:space="preserve">1569</t>
  </si>
  <si>
    <t xml:space="preserve">PORTAS EM CHAPAS 16 MM E METALON 30X30 M</t>
  </si>
  <si>
    <t xml:space="preserve">470</t>
  </si>
  <si>
    <t xml:space="preserve">METALNOX INDUSTRIA COMERCIO E SERVICOS LTDA ME</t>
  </si>
  <si>
    <t xml:space="preserve">73083000.</t>
  </si>
  <si>
    <t xml:space="preserve">73083000</t>
  </si>
  <si>
    <t xml:space="preserve">24/09/2020</t>
  </si>
  <si>
    <t xml:space="preserve">1572</t>
  </si>
  <si>
    <t xml:space="preserve">CADEADO</t>
  </si>
  <si>
    <t xml:space="preserve">83011000.</t>
  </si>
  <si>
    <t xml:space="preserve">CADEADOS</t>
  </si>
  <si>
    <t xml:space="preserve">83011000</t>
  </si>
  <si>
    <t xml:space="preserve">25/09/2020</t>
  </si>
  <si>
    <t xml:space="preserve">1573</t>
  </si>
  <si>
    <t xml:space="preserve">JOGOS PASTILHAS FREIO</t>
  </si>
  <si>
    <t xml:space="preserve">87083090</t>
  </si>
  <si>
    <t xml:space="preserve">1576</t>
  </si>
  <si>
    <t xml:space="preserve">ELEMENTO FILTRANTE D</t>
  </si>
  <si>
    <t xml:space="preserve">1577</t>
  </si>
  <si>
    <t xml:space="preserve">FILTRO A C HILUX SW4 COROLLA YARIS</t>
  </si>
  <si>
    <t xml:space="preserve">84219910.</t>
  </si>
  <si>
    <t xml:space="preserve">DE APARELHOS PARA FILTRAR OU DEPURAR GASES, DA SUBPOSICAO 84</t>
  </si>
  <si>
    <t xml:space="preserve">84219910</t>
  </si>
  <si>
    <t xml:space="preserve">1579</t>
  </si>
  <si>
    <t xml:space="preserve">BORRACHA LIMPADOR TRASEIRO</t>
  </si>
  <si>
    <t xml:space="preserve">40169990</t>
  </si>
  <si>
    <t xml:space="preserve">1580</t>
  </si>
  <si>
    <t xml:space="preserve">LIMP. HIGIENIZADOR A/C 994 TUNAP</t>
  </si>
  <si>
    <t xml:space="preserve">38119090</t>
  </si>
  <si>
    <t xml:space="preserve">1582</t>
  </si>
  <si>
    <t xml:space="preserve">HD SATA2 3.5 5400RPM</t>
  </si>
  <si>
    <t xml:space="preserve">84717012</t>
  </si>
  <si>
    <t xml:space="preserve">30/09/2020</t>
  </si>
  <si>
    <t xml:space="preserve">1583</t>
  </si>
  <si>
    <t xml:space="preserve">PNEU 215/75R17</t>
  </si>
  <si>
    <t xml:space="preserve">40111000</t>
  </si>
  <si>
    <t xml:space="preserve">1584</t>
  </si>
  <si>
    <t xml:space="preserve">VALV ESC CORTEN MATTE 1601 CT MT</t>
  </si>
  <si>
    <t xml:space="preserve">84099190.</t>
  </si>
  <si>
    <t xml:space="preserve">84099190</t>
  </si>
  <si>
    <t xml:space="preserve">1586</t>
  </si>
  <si>
    <t xml:space="preserve">TB.RED</t>
  </si>
  <si>
    <t xml:space="preserve">ACO BOM PRECO COMERCIAL LTDA</t>
  </si>
  <si>
    <t xml:space="preserve">73064000.</t>
  </si>
  <si>
    <t xml:space="preserve">OUTROS, SOLDADOS, DE SECAO CIRCULAR, DE ACOS INOXIDAVEIS</t>
  </si>
  <si>
    <t xml:space="preserve">73064000</t>
  </si>
  <si>
    <t xml:space="preserve">1587</t>
  </si>
  <si>
    <t xml:space="preserve">LINGUICA SUINA CONG SAUDALI</t>
  </si>
  <si>
    <t xml:space="preserve">1588</t>
  </si>
  <si>
    <t xml:space="preserve">LINGUICA PERNIL C/ QUEIJO CONG SUINCO</t>
  </si>
  <si>
    <t xml:space="preserve">1589</t>
  </si>
  <si>
    <t xml:space="preserve">LINGUICA DE PERNIL C/ PIMENTA CONG SUINC</t>
  </si>
  <si>
    <t xml:space="preserve">1590</t>
  </si>
  <si>
    <t xml:space="preserve">BUJAO CARTER</t>
  </si>
  <si>
    <t xml:space="preserve">73182100</t>
  </si>
  <si>
    <t xml:space="preserve">01/10/2020</t>
  </si>
  <si>
    <t xml:space="preserve">1591</t>
  </si>
  <si>
    <t xml:space="preserve">195369 OLEO QUARTZ INEO</t>
  </si>
  <si>
    <t xml:space="preserve">1592</t>
  </si>
  <si>
    <t xml:space="preserve">FLUSH MOTOR</t>
  </si>
  <si>
    <t xml:space="preserve">1593</t>
  </si>
  <si>
    <t xml:space="preserve">TAMPA FERRO</t>
  </si>
  <si>
    <t xml:space="preserve">02/10/2020</t>
  </si>
  <si>
    <t xml:space="preserve">1594</t>
  </si>
  <si>
    <t xml:space="preserve">ISOPAINEL MF 50MM</t>
  </si>
  <si>
    <t xml:space="preserve">ISOPLAST INDUSTRIA E COMERCIO DE PLASTICOS LTDA</t>
  </si>
  <si>
    <t xml:space="preserve">1596</t>
  </si>
  <si>
    <t xml:space="preserve">FLANGE</t>
  </si>
  <si>
    <t xml:space="preserve">1597</t>
  </si>
  <si>
    <t xml:space="preserve">REDUCAO LONGA</t>
  </si>
  <si>
    <t xml:space="preserve">1598</t>
  </si>
  <si>
    <t xml:space="preserve">REGISTRO ESFERA</t>
  </si>
  <si>
    <t xml:space="preserve">84818095.</t>
  </si>
  <si>
    <t xml:space="preserve">VALVULAS TIPO ESFERA</t>
  </si>
  <si>
    <t xml:space="preserve">84818095</t>
  </si>
  <si>
    <t xml:space="preserve">1599</t>
  </si>
  <si>
    <t xml:space="preserve">COMP 15 MM NAVAL</t>
  </si>
  <si>
    <t xml:space="preserve">05/10/2020</t>
  </si>
  <si>
    <t xml:space="preserve">1600</t>
  </si>
  <si>
    <t xml:space="preserve">ADESIVO DUN DUN LATAO 14KG</t>
  </si>
  <si>
    <t xml:space="preserve">35069110.</t>
  </si>
  <si>
    <t xml:space="preserve">A BASE DE BORRACHA</t>
  </si>
  <si>
    <t xml:space="preserve">35069110</t>
  </si>
  <si>
    <t xml:space="preserve">1601</t>
  </si>
  <si>
    <t xml:space="preserve">LUVA PIGMENTADA</t>
  </si>
  <si>
    <t xml:space="preserve">61169900.</t>
  </si>
  <si>
    <t xml:space="preserve">DE OUTRAS MATERIAS TEXTEIS</t>
  </si>
  <si>
    <t xml:space="preserve">61169900</t>
  </si>
  <si>
    <t xml:space="preserve">1602</t>
  </si>
  <si>
    <t xml:space="preserve">CAIXA DAGUA POLIETILENO</t>
  </si>
  <si>
    <t xml:space="preserve">M.A.FROTA &amp; CIA LTDA</t>
  </si>
  <si>
    <t xml:space="preserve">39251000.</t>
  </si>
  <si>
    <t xml:space="preserve">RESERVATORIOS, CISTERNAS, CUBAS E RECIPIENTES ANALOGOS, DE C</t>
  </si>
  <si>
    <t xml:space="preserve">39251000</t>
  </si>
  <si>
    <t xml:space="preserve">1603</t>
  </si>
  <si>
    <t xml:space="preserve">SOLEIRA EM GRANITO ESVERDEADO</t>
  </si>
  <si>
    <t xml:space="preserve">AG COMERCIO DE MATERIAL DE CONSTRUCAO LTDA</t>
  </si>
  <si>
    <t xml:space="preserve">68022100.</t>
  </si>
  <si>
    <t xml:space="preserve">MARMORE, TRAVERTINO E ALABASTRO</t>
  </si>
  <si>
    <t xml:space="preserve">68022100</t>
  </si>
  <si>
    <t xml:space="preserve">1604</t>
  </si>
  <si>
    <t xml:space="preserve">CUPIM B BOV CONG QUALITYBEEF</t>
  </si>
  <si>
    <t xml:space="preserve">06/10/2020</t>
  </si>
  <si>
    <t xml:space="preserve">1605</t>
  </si>
  <si>
    <t xml:space="preserve">KIT EMBREAGEM</t>
  </si>
  <si>
    <t xml:space="preserve">87089300</t>
  </si>
  <si>
    <t xml:space="preserve">07/10/2020</t>
  </si>
  <si>
    <t xml:space="preserve">1606</t>
  </si>
  <si>
    <t xml:space="preserve">LENTE RETANGULAR</t>
  </si>
  <si>
    <t xml:space="preserve">70042000.</t>
  </si>
  <si>
    <t xml:space="preserve">VIDRO CORADO NA MASSA, OPACIFICADO, FOLHEADO (CHAPEADO), OU</t>
  </si>
  <si>
    <t xml:space="preserve">70042000</t>
  </si>
  <si>
    <t xml:space="preserve">1607</t>
  </si>
  <si>
    <t xml:space="preserve">CARCAÇA CONG SADIA 1.3 KG</t>
  </si>
  <si>
    <t xml:space="preserve">08/10/2020</t>
  </si>
  <si>
    <t xml:space="preserve">1608</t>
  </si>
  <si>
    <t xml:space="preserve">EPS P/ LAJE 1000 X 400</t>
  </si>
  <si>
    <t xml:space="preserve">73158900.</t>
  </si>
  <si>
    <t xml:space="preserve">73158900</t>
  </si>
  <si>
    <t xml:space="preserve">09/10/2020</t>
  </si>
  <si>
    <t xml:space="preserve">1609</t>
  </si>
  <si>
    <t xml:space="preserve">ELETRODO SOLDA</t>
  </si>
  <si>
    <t xml:space="preserve">1610</t>
  </si>
  <si>
    <t xml:space="preserve">JOGO FORMAO</t>
  </si>
  <si>
    <t xml:space="preserve">82053000.</t>
  </si>
  <si>
    <t xml:space="preserve">PLAINAS, FORMOES, GOIVAS E FERRAMENTAS CORTANTES SEMELHANTES</t>
  </si>
  <si>
    <t xml:space="preserve">82053000</t>
  </si>
  <si>
    <t xml:space="preserve">1612</t>
  </si>
  <si>
    <t xml:space="preserve">KIT CORRENTE 2.5 16 VALVULA</t>
  </si>
  <si>
    <t xml:space="preserve">FRANDIESEL SERVICOS E PECAS DIESEL LTDA</t>
  </si>
  <si>
    <t xml:space="preserve">84834090.</t>
  </si>
  <si>
    <t xml:space="preserve">84834090</t>
  </si>
  <si>
    <t xml:space="preserve">14/10/2020</t>
  </si>
  <si>
    <t xml:space="preserve">1613</t>
  </si>
  <si>
    <t xml:space="preserve">JOGO REPARO BBA ALTA PRESSAO</t>
  </si>
  <si>
    <t xml:space="preserve">84139190.</t>
  </si>
  <si>
    <t xml:space="preserve">84139190</t>
  </si>
  <si>
    <t xml:space="preserve">1614</t>
  </si>
  <si>
    <t xml:space="preserve">KIT REPARO BICO VALVULA</t>
  </si>
  <si>
    <t xml:space="preserve">1615</t>
  </si>
  <si>
    <t xml:space="preserve">UNIDADE MEDIDORA BBA ALTA PRESSAO</t>
  </si>
  <si>
    <t xml:space="preserve">1616</t>
  </si>
  <si>
    <t xml:space="preserve">BOMBA DE TRANSFERENCIA</t>
  </si>
  <si>
    <t xml:space="preserve">84133090</t>
  </si>
  <si>
    <t xml:space="preserve">1617</t>
  </si>
  <si>
    <t xml:space="preserve">FILTRO DE AR</t>
  </si>
  <si>
    <t xml:space="preserve">84213100.</t>
  </si>
  <si>
    <t xml:space="preserve">FILTROS DE ENTRADA DE AR PARA MOTORES DE IGNICAO POR CENTELH</t>
  </si>
  <si>
    <t xml:space="preserve">84213100</t>
  </si>
  <si>
    <t xml:space="preserve">1618</t>
  </si>
  <si>
    <t xml:space="preserve">METALATEX MASSA CORRIDA</t>
  </si>
  <si>
    <t xml:space="preserve">32141020</t>
  </si>
  <si>
    <t xml:space="preserve">16/10/2020</t>
  </si>
  <si>
    <t xml:space="preserve">1619</t>
  </si>
  <si>
    <t xml:space="preserve">NORTONLIXA MADEIRA</t>
  </si>
  <si>
    <t xml:space="preserve">68052000</t>
  </si>
  <si>
    <t xml:space="preserve">1620</t>
  </si>
  <si>
    <t xml:space="preserve">ALCATRA C/ MAMINHA CONG FRIBOI</t>
  </si>
  <si>
    <t xml:space="preserve">ALCATRA C/ MAMINHA CONGELADA</t>
  </si>
  <si>
    <t xml:space="preserve">1621</t>
  </si>
  <si>
    <t xml:space="preserve">CONJUNTO ROTATIVO</t>
  </si>
  <si>
    <t xml:space="preserve">84149039</t>
  </si>
  <si>
    <t xml:space="preserve">19/10/2020</t>
  </si>
  <si>
    <t xml:space="preserve">1622</t>
  </si>
  <si>
    <t xml:space="preserve">PISO PASTILHADO</t>
  </si>
  <si>
    <t xml:space="preserve">DECORAFIO COMERCIO DE PISOS FORROS E DIVISORIAS LTDA</t>
  </si>
  <si>
    <t xml:space="preserve">22/10/2020</t>
  </si>
  <si>
    <t xml:space="preserve">1623</t>
  </si>
  <si>
    <t xml:space="preserve">ALFINETE MAPA BOLA</t>
  </si>
  <si>
    <t xml:space="preserve">83059000.</t>
  </si>
  <si>
    <t xml:space="preserve">OUTROS, INCLUIDAS AS PARTES</t>
  </si>
  <si>
    <t xml:space="preserve">83059000</t>
  </si>
  <si>
    <t xml:space="preserve">23/10/2020</t>
  </si>
  <si>
    <t xml:space="preserve">1624</t>
  </si>
  <si>
    <t xml:space="preserve">LIMPA PISOS</t>
  </si>
  <si>
    <t xml:space="preserve">34029039</t>
  </si>
  <si>
    <t xml:space="preserve">1625</t>
  </si>
  <si>
    <t xml:space="preserve">ESCOVA LONGO ALCANCE</t>
  </si>
  <si>
    <t xml:space="preserve">96039000</t>
  </si>
  <si>
    <t xml:space="preserve">1627</t>
  </si>
  <si>
    <t xml:space="preserve">ACUM ELET B90EP</t>
  </si>
  <si>
    <t xml:space="preserve">27/10/2020</t>
  </si>
  <si>
    <t xml:space="preserve">1628</t>
  </si>
  <si>
    <t xml:space="preserve">LIVRO PROTOCOLO</t>
  </si>
  <si>
    <t xml:space="preserve">48201000</t>
  </si>
  <si>
    <t xml:space="preserve">1630</t>
  </si>
  <si>
    <t xml:space="preserve">PLACA KYOCERA</t>
  </si>
  <si>
    <t xml:space="preserve">29/10/2020</t>
  </si>
  <si>
    <t xml:space="preserve">1631</t>
  </si>
  <si>
    <t xml:space="preserve">CAIXA D´AGUA</t>
  </si>
  <si>
    <t xml:space="preserve">30/10/2020</t>
  </si>
  <si>
    <t xml:space="preserve">1632</t>
  </si>
  <si>
    <t xml:space="preserve">CARRO DE MAO</t>
  </si>
  <si>
    <t xml:space="preserve">40139000</t>
  </si>
  <si>
    <t xml:space="preserve">1633</t>
  </si>
  <si>
    <t xml:space="preserve">EXTENSAO 3 METROS</t>
  </si>
  <si>
    <t xml:space="preserve">1635</t>
  </si>
  <si>
    <t xml:space="preserve">PISO BUS LAMINADO</t>
  </si>
  <si>
    <t xml:space="preserve">39189000.</t>
  </si>
  <si>
    <t xml:space="preserve">39189000</t>
  </si>
  <si>
    <t xml:space="preserve">04/11/2020</t>
  </si>
  <si>
    <t xml:space="preserve">1636</t>
  </si>
  <si>
    <t xml:space="preserve">EMB QD LED ULTRA</t>
  </si>
  <si>
    <t xml:space="preserve">05/11/2020</t>
  </si>
  <si>
    <t xml:space="preserve">1637</t>
  </si>
  <si>
    <t xml:space="preserve">SACO PLASTICO</t>
  </si>
  <si>
    <t xml:space="preserve">MIL COMERCIO DE EMBALAGENS LTDA</t>
  </si>
  <si>
    <t xml:space="preserve">39232190</t>
  </si>
  <si>
    <t xml:space="preserve">1638</t>
  </si>
  <si>
    <t xml:space="preserve">SANGRIA BOV CONG FRIBOI</t>
  </si>
  <si>
    <t xml:space="preserve">09/11/2020</t>
  </si>
  <si>
    <t xml:space="preserve">1640</t>
  </si>
  <si>
    <t xml:space="preserve">5W30 SELENIA PERFOR SINTETICO</t>
  </si>
  <si>
    <t xml:space="preserve">13/11/2020</t>
  </si>
  <si>
    <t xml:space="preserve">1641</t>
  </si>
  <si>
    <t xml:space="preserve">CAPA DE FILE CONG IGUATEMI</t>
  </si>
  <si>
    <t xml:space="preserve">AGROINDUSTRIA IGUATEMI EIRELI</t>
  </si>
  <si>
    <t xml:space="preserve">2013000</t>
  </si>
  <si>
    <t xml:space="preserve">17/11/2020</t>
  </si>
  <si>
    <t xml:space="preserve">1644</t>
  </si>
  <si>
    <t xml:space="preserve">BETUMANTA</t>
  </si>
  <si>
    <t xml:space="preserve">68071000.</t>
  </si>
  <si>
    <t xml:space="preserve">EM ROLOS</t>
  </si>
  <si>
    <t xml:space="preserve">68071000</t>
  </si>
  <si>
    <t xml:space="preserve">23/11/2020</t>
  </si>
  <si>
    <t xml:space="preserve">1645</t>
  </si>
  <si>
    <t xml:space="preserve">PRIMER ECO BALDE VEDACIT</t>
  </si>
  <si>
    <t xml:space="preserve">27150000.</t>
  </si>
  <si>
    <t xml:space="preserve">MISTURAS BETUMINOSAS A BASE DE ASFALTO,DE BETUMES,ETC.</t>
  </si>
  <si>
    <t xml:space="preserve">27150000</t>
  </si>
  <si>
    <t xml:space="preserve">1646</t>
  </si>
  <si>
    <t xml:space="preserve">IMPERMANTA LAJE</t>
  </si>
  <si>
    <t xml:space="preserve">1647</t>
  </si>
  <si>
    <t xml:space="preserve">PNEU 175/70</t>
  </si>
  <si>
    <t xml:space="preserve">25/11/2020</t>
  </si>
  <si>
    <t xml:space="preserve">1648</t>
  </si>
  <si>
    <t xml:space="preserve">TAMPA TANQUE PLASTICO</t>
  </si>
  <si>
    <t xml:space="preserve">87089990</t>
  </si>
  <si>
    <t xml:space="preserve">1649</t>
  </si>
  <si>
    <t xml:space="preserve">JOELHO ESGOTO</t>
  </si>
  <si>
    <t xml:space="preserve">26/11/2020</t>
  </si>
  <si>
    <t xml:space="preserve">1650</t>
  </si>
  <si>
    <t xml:space="preserve">TE ESGOTO</t>
  </si>
  <si>
    <t xml:space="preserve">1651</t>
  </si>
  <si>
    <t xml:space="preserve">CORACAO DA ALCATRA CONG FRIBOI</t>
  </si>
  <si>
    <t xml:space="preserve">CORACAO DA ALCATRA CONGELADO</t>
  </si>
  <si>
    <t xml:space="preserve">27/11/2020</t>
  </si>
  <si>
    <t xml:space="preserve">1653</t>
  </si>
  <si>
    <t xml:space="preserve">CADEIRA DE ESCRITORIO</t>
  </si>
  <si>
    <t xml:space="preserve">LBM PLANEJAR MOVEIS PARA ESCRITORIO-EIRELI</t>
  </si>
  <si>
    <t xml:space="preserve">EQUIPAMENTOS DE ESCRITÓRIO</t>
  </si>
  <si>
    <t xml:space="preserve">CADEIRAS DE ESCRITORIO</t>
  </si>
  <si>
    <t xml:space="preserve">94019090.</t>
  </si>
  <si>
    <t xml:space="preserve">PARTES P/ASSENTOS,DE OUTRAS MATERIAS</t>
  </si>
  <si>
    <t xml:space="preserve">94019090</t>
  </si>
  <si>
    <t xml:space="preserve">30/11/2020</t>
  </si>
  <si>
    <t xml:space="preserve">1654</t>
  </si>
  <si>
    <t xml:space="preserve">FONTE COMPUTADOR</t>
  </si>
  <si>
    <t xml:space="preserve">85043111.</t>
  </si>
  <si>
    <t xml:space="preserve">TRANSFORMADORES DE CORRENTE</t>
  </si>
  <si>
    <t xml:space="preserve">85043111</t>
  </si>
  <si>
    <t xml:space="preserve">1655</t>
  </si>
  <si>
    <t xml:space="preserve">LIXEIRA</t>
  </si>
  <si>
    <t xml:space="preserve">LEROY MERLIN COMPANHIA BRASILEIRA DE BRICOLAGEM</t>
  </si>
  <si>
    <t xml:space="preserve">73239300.</t>
  </si>
  <si>
    <t xml:space="preserve">DE ACOS INOXIDAVEIS</t>
  </si>
  <si>
    <t xml:space="preserve">73239300</t>
  </si>
  <si>
    <t xml:space="preserve">1656</t>
  </si>
  <si>
    <t xml:space="preserve">CAIXA PLASTICA</t>
  </si>
  <si>
    <t xml:space="preserve">39249000</t>
  </si>
  <si>
    <t xml:space="preserve">1657</t>
  </si>
  <si>
    <t xml:space="preserve">TAPETE WC</t>
  </si>
  <si>
    <t xml:space="preserve">57019000.</t>
  </si>
  <si>
    <t xml:space="preserve">57019000</t>
  </si>
  <si>
    <t xml:space="preserve">1658</t>
  </si>
  <si>
    <t xml:space="preserve">PORTA SABONETE</t>
  </si>
  <si>
    <t xml:space="preserve">84132000.</t>
  </si>
  <si>
    <t xml:space="preserve">BOMBAS MANUAIS, EXCETO DAS SUBPOSICOES 8413.11 OU 8413.19</t>
  </si>
  <si>
    <t xml:space="preserve">84132000</t>
  </si>
  <si>
    <t xml:space="preserve">1659</t>
  </si>
  <si>
    <t xml:space="preserve">AROMAT NESTYLIVING</t>
  </si>
  <si>
    <t xml:space="preserve">33074900.</t>
  </si>
  <si>
    <t xml:space="preserve">33074900</t>
  </si>
  <si>
    <t xml:space="preserve">1660</t>
  </si>
  <si>
    <t xml:space="preserve">PINHEIRO TUIA HOLANDESA</t>
  </si>
  <si>
    <t xml:space="preserve">06012000.</t>
  </si>
  <si>
    <t xml:space="preserve">BULBOS,TUBERCULOS,ETC.EM VEGET.EM FLOR,MUDA DE CHICORIA</t>
  </si>
  <si>
    <t xml:space="preserve">6012000</t>
  </si>
  <si>
    <t xml:space="preserve">1661</t>
  </si>
  <si>
    <t xml:space="preserve">VASO CERAMICA</t>
  </si>
  <si>
    <t xml:space="preserve">69139000.</t>
  </si>
  <si>
    <t xml:space="preserve">69139000</t>
  </si>
  <si>
    <t xml:space="preserve">1662</t>
  </si>
  <si>
    <t xml:space="preserve">LINGUIÇA CALABRESA RETA PERDIGÃO 7,5 KG</t>
  </si>
  <si>
    <t xml:space="preserve">CX 7,5 KG</t>
  </si>
  <si>
    <t xml:space="preserve">02/12/2020</t>
  </si>
  <si>
    <t xml:space="preserve">1663</t>
  </si>
  <si>
    <t xml:space="preserve">CESTA SONHOS PD C 2 KITS</t>
  </si>
  <si>
    <t xml:space="preserve">1664</t>
  </si>
  <si>
    <t xml:space="preserve">KIT ACESSORIOS BANHEIROS</t>
  </si>
  <si>
    <t xml:space="preserve">73249000.</t>
  </si>
  <si>
    <t xml:space="preserve">73249000</t>
  </si>
  <si>
    <t xml:space="preserve">1665</t>
  </si>
  <si>
    <t xml:space="preserve">INTERRUPTOR</t>
  </si>
  <si>
    <t xml:space="preserve">1666</t>
  </si>
  <si>
    <t xml:space="preserve">TOMADA 2P+T 10A AQUATIC</t>
  </si>
  <si>
    <t xml:space="preserve">1667</t>
  </si>
  <si>
    <t xml:space="preserve">DC  4.1/2 X 3/64 NORTON</t>
  </si>
  <si>
    <t xml:space="preserve">04/12/2020</t>
  </si>
  <si>
    <t xml:space="preserve">1668</t>
  </si>
  <si>
    <t xml:space="preserve">GEL DECAPANTE</t>
  </si>
  <si>
    <t xml:space="preserve">38101010.</t>
  </si>
  <si>
    <t xml:space="preserve">PREPARACOES PARA DECAPAGEM DE METAIS</t>
  </si>
  <si>
    <t xml:space="preserve">38101010</t>
  </si>
  <si>
    <t xml:space="preserve">1669</t>
  </si>
  <si>
    <t xml:space="preserve">OK 6130 2MMX300</t>
  </si>
  <si>
    <t xml:space="preserve">1670</t>
  </si>
  <si>
    <t xml:space="preserve">BEAR TEX FL 130X240</t>
  </si>
  <si>
    <t xml:space="preserve">1671</t>
  </si>
  <si>
    <t xml:space="preserve">BR.RT.1 304</t>
  </si>
  <si>
    <t xml:space="preserve">72221910.</t>
  </si>
  <si>
    <t xml:space="preserve">72221910</t>
  </si>
  <si>
    <t xml:space="preserve">1672</t>
  </si>
  <si>
    <t xml:space="preserve">VENTILADOR</t>
  </si>
  <si>
    <t xml:space="preserve">S P S ELETRICO COMERCIAL LTDA ME - EPP</t>
  </si>
  <si>
    <t xml:space="preserve">84145990</t>
  </si>
  <si>
    <t xml:space="preserve">1673</t>
  </si>
  <si>
    <t xml:space="preserve">PORCELANATO ESM RET</t>
  </si>
  <si>
    <t xml:space="preserve">73144900</t>
  </si>
  <si>
    <t xml:space="preserve">1674</t>
  </si>
  <si>
    <t xml:space="preserve">CADEIRA RESINA</t>
  </si>
  <si>
    <t xml:space="preserve">94018000.</t>
  </si>
  <si>
    <t xml:space="preserve">OUTROS ASSENTOS</t>
  </si>
  <si>
    <t xml:space="preserve">94018000</t>
  </si>
  <si>
    <t xml:space="preserve">1675</t>
  </si>
  <si>
    <t xml:space="preserve">ALMOFADA CARIMBO</t>
  </si>
  <si>
    <t xml:space="preserve">96122000</t>
  </si>
  <si>
    <t xml:space="preserve">08/12/2020</t>
  </si>
  <si>
    <t xml:space="preserve">1676</t>
  </si>
  <si>
    <t xml:space="preserve">PASTA CAT 50 SC</t>
  </si>
  <si>
    <t xml:space="preserve">42021210.</t>
  </si>
  <si>
    <t xml:space="preserve">DE PLASTICOS</t>
  </si>
  <si>
    <t xml:space="preserve">42021210</t>
  </si>
  <si>
    <t xml:space="preserve">1677</t>
  </si>
  <si>
    <t xml:space="preserve">CAPA P/ CONECTOR</t>
  </si>
  <si>
    <t xml:space="preserve">1678</t>
  </si>
  <si>
    <t xml:space="preserve">1679</t>
  </si>
  <si>
    <t xml:space="preserve">CUPIM DO CHEF CONG FRIBOI</t>
  </si>
  <si>
    <t xml:space="preserve">1680</t>
  </si>
  <si>
    <t xml:space="preserve">TAMPA COND ALUM</t>
  </si>
  <si>
    <t xml:space="preserve">76090000</t>
  </si>
  <si>
    <t xml:space="preserve">09/12/2020</t>
  </si>
  <si>
    <t xml:space="preserve">1682</t>
  </si>
  <si>
    <t xml:space="preserve">PEITO BOV CONG FRIBOI</t>
  </si>
  <si>
    <t xml:space="preserve">135</t>
  </si>
  <si>
    <t xml:space="preserve">PEITO BOV</t>
  </si>
  <si>
    <t xml:space="preserve">10/12/2020</t>
  </si>
  <si>
    <t xml:space="preserve">1683</t>
  </si>
  <si>
    <t xml:space="preserve">CHAVE FIXA</t>
  </si>
  <si>
    <t xml:space="preserve">PORTO DAS ROSAS CONSTRUCOES LTDA</t>
  </si>
  <si>
    <t xml:space="preserve">82041100.</t>
  </si>
  <si>
    <t xml:space="preserve">DE ABERTURA FIXA</t>
  </si>
  <si>
    <t xml:space="preserve">82041100</t>
  </si>
  <si>
    <t xml:space="preserve">11/12/2020</t>
  </si>
  <si>
    <t xml:space="preserve">1684</t>
  </si>
  <si>
    <t xml:space="preserve">NB APC BACK UPS</t>
  </si>
  <si>
    <t xml:space="preserve">1685</t>
  </si>
  <si>
    <t xml:space="preserve">BIFE DO VAZIO CONG IGUATEMI</t>
  </si>
  <si>
    <t xml:space="preserve">14/12/2020</t>
  </si>
  <si>
    <t xml:space="preserve">1688</t>
  </si>
  <si>
    <t xml:space="preserve">KIT PORCA GAIOLA</t>
  </si>
  <si>
    <t xml:space="preserve">73181500</t>
  </si>
  <si>
    <t xml:space="preserve">22/12/2020</t>
  </si>
  <si>
    <t xml:space="preserve">1689</t>
  </si>
  <si>
    <t xml:space="preserve">EMENDA CABO TEL</t>
  </si>
  <si>
    <t xml:space="preserve">85369090</t>
  </si>
  <si>
    <t xml:space="preserve">1690</t>
  </si>
  <si>
    <t xml:space="preserve">CILINDRO MESTRE</t>
  </si>
  <si>
    <t xml:space="preserve">23/12/2020</t>
  </si>
  <si>
    <t xml:space="preserve">1691</t>
  </si>
  <si>
    <t xml:space="preserve">SERVIDOR SSD ENTERPRISE</t>
  </si>
  <si>
    <t xml:space="preserve">1692</t>
  </si>
  <si>
    <t xml:space="preserve">BACIA SANITARIA</t>
  </si>
  <si>
    <t xml:space="preserve">69109000</t>
  </si>
  <si>
    <t xml:space="preserve">24/12/2020</t>
  </si>
  <si>
    <t xml:space="preserve">1693</t>
  </si>
  <si>
    <t xml:space="preserve">BASE P/ REGISTRO</t>
  </si>
  <si>
    <t xml:space="preserve">84818093</t>
  </si>
  <si>
    <t xml:space="preserve">1694</t>
  </si>
  <si>
    <t xml:space="preserve">ACABAMENTO</t>
  </si>
  <si>
    <t xml:space="preserve">84819010.</t>
  </si>
  <si>
    <t xml:space="preserve">DE VALVULAS TIPO AEROSSOL OU DOS DISPOSITIVOS DO ITEM 8481.8</t>
  </si>
  <si>
    <t xml:space="preserve">84819010</t>
  </si>
  <si>
    <t xml:space="preserve">1695</t>
  </si>
  <si>
    <t xml:space="preserve">ASSENTO SANITARIO</t>
  </si>
  <si>
    <t xml:space="preserve">39222000.</t>
  </si>
  <si>
    <t xml:space="preserve">ASSENTOS E TAMPAS, DE SANITARIOS</t>
  </si>
  <si>
    <t xml:space="preserve">39222000</t>
  </si>
  <si>
    <t xml:space="preserve">1696</t>
  </si>
  <si>
    <t xml:space="preserve">LAVATORIO BRANCO</t>
  </si>
  <si>
    <t xml:space="preserve">1697</t>
  </si>
  <si>
    <t xml:space="preserve">TE CURTO</t>
  </si>
  <si>
    <t xml:space="preserve">28/12/2020</t>
  </si>
  <si>
    <t xml:space="preserve">1698</t>
  </si>
  <si>
    <t xml:space="preserve">PASTA LUBRIFICANTE</t>
  </si>
  <si>
    <t xml:space="preserve">34012090</t>
  </si>
  <si>
    <t xml:space="preserve">1700</t>
  </si>
  <si>
    <t xml:space="preserve">MULTIFUNCIONAL KYOCERA</t>
  </si>
  <si>
    <t xml:space="preserve">84433291.</t>
  </si>
  <si>
    <t xml:space="preserve">IMPRESSORAS DE CODIGO DE BARRAS POSTAIS, TIPO 3 EM 5, A JATO</t>
  </si>
  <si>
    <t xml:space="preserve">84433291</t>
  </si>
  <si>
    <t xml:space="preserve">07/01/2021</t>
  </si>
  <si>
    <t xml:space="preserve">1701</t>
  </si>
  <si>
    <t xml:space="preserve">SOPRADOR TERMICO</t>
  </si>
  <si>
    <t xml:space="preserve">R CHAGAS &amp; CIA LTDA</t>
  </si>
  <si>
    <t xml:space="preserve">84672999.</t>
  </si>
  <si>
    <t xml:space="preserve">84672999</t>
  </si>
  <si>
    <t xml:space="preserve">1707</t>
  </si>
  <si>
    <t xml:space="preserve">SELADOR PIGMENTADO</t>
  </si>
  <si>
    <t xml:space="preserve">14/01/2021</t>
  </si>
  <si>
    <t xml:space="preserve">1708</t>
  </si>
  <si>
    <t xml:space="preserve">BOBINA P/ TACOGRAFO</t>
  </si>
  <si>
    <t xml:space="preserve">48234000</t>
  </si>
  <si>
    <t xml:space="preserve">1709</t>
  </si>
  <si>
    <t xml:space="preserve">COXAO MOLE RESF FRIG PANTANAL</t>
  </si>
  <si>
    <t xml:space="preserve">18/01/2021</t>
  </si>
  <si>
    <t xml:space="preserve">1711</t>
  </si>
  <si>
    <t xml:space="preserve">PATINHO BOV RESF FRIG PANTANAL</t>
  </si>
  <si>
    <t xml:space="preserve">1712</t>
  </si>
  <si>
    <t xml:space="preserve">CABO ALUM C/ROSCA</t>
  </si>
  <si>
    <t xml:space="preserve">76169900</t>
  </si>
  <si>
    <t xml:space="preserve">22/01/2021</t>
  </si>
  <si>
    <t xml:space="preserve">1713</t>
  </si>
  <si>
    <t xml:space="preserve">COLA BRANCA</t>
  </si>
  <si>
    <t xml:space="preserve">35061090</t>
  </si>
  <si>
    <t xml:space="preserve">1715</t>
  </si>
  <si>
    <t xml:space="preserve">PICANHA BOV AUSTRALIANA CONG TEYS</t>
  </si>
  <si>
    <t xml:space="preserve">28/01/2021</t>
  </si>
  <si>
    <t xml:space="preserve">1716</t>
  </si>
  <si>
    <t xml:space="preserve">CUPIM TIPO A BOV CONG FRIG PANTANAL</t>
  </si>
  <si>
    <t xml:space="preserve">1717</t>
  </si>
  <si>
    <t xml:space="preserve">LIMPADOR INTERNO</t>
  </si>
  <si>
    <t xml:space="preserve">04/02/2021</t>
  </si>
  <si>
    <t xml:space="preserve">1718</t>
  </si>
  <si>
    <t xml:space="preserve">FECHADURA CLASSIC</t>
  </si>
  <si>
    <t xml:space="preserve">05/02/2021</t>
  </si>
  <si>
    <t xml:space="preserve">1719</t>
  </si>
  <si>
    <t xml:space="preserve">PICANHA PUL SELECTION CONG</t>
  </si>
  <si>
    <t xml:space="preserve">10/02/2021</t>
  </si>
  <si>
    <t xml:space="preserve">1721</t>
  </si>
  <si>
    <t xml:space="preserve">FILE MIGNON BOV CONG 3/4 DO CHEF FRIBOI</t>
  </si>
  <si>
    <t xml:space="preserve">11/02/2021</t>
  </si>
  <si>
    <t xml:space="preserve">1724</t>
  </si>
  <si>
    <t xml:space="preserve">FILE MIGNON BOV RESF DO CHEF FRIBOI</t>
  </si>
  <si>
    <t xml:space="preserve">12/02/2021</t>
  </si>
  <si>
    <t xml:space="preserve">1725</t>
  </si>
  <si>
    <t xml:space="preserve">EVAPORADORA</t>
  </si>
  <si>
    <t xml:space="preserve">84189900</t>
  </si>
  <si>
    <t xml:space="preserve">16/02/2021</t>
  </si>
  <si>
    <t xml:space="preserve">1726</t>
  </si>
  <si>
    <t xml:space="preserve">LIQ HIG DOURADO</t>
  </si>
  <si>
    <t xml:space="preserve">J SLEIMAN S.A.COMERCIO DE PRODUTOS DE HIGIENE E ALIMENTOS</t>
  </si>
  <si>
    <t xml:space="preserve">1728</t>
  </si>
  <si>
    <t xml:space="preserve">BALAO CORMADO</t>
  </si>
  <si>
    <t xml:space="preserve">M &amp; M COMERCIO DE PLASTICOS E FESTAS LTDA</t>
  </si>
  <si>
    <t xml:space="preserve">95030099.</t>
  </si>
  <si>
    <t xml:space="preserve">95030099</t>
  </si>
  <si>
    <t xml:space="preserve">01/03/2021</t>
  </si>
  <si>
    <t xml:space="preserve">1729</t>
  </si>
  <si>
    <t xml:space="preserve">FAIXA DECORATIVA ROSE GOLD</t>
  </si>
  <si>
    <t xml:space="preserve">48239099</t>
  </si>
  <si>
    <t xml:space="preserve">1730</t>
  </si>
  <si>
    <t xml:space="preserve">SUPORTE P/ BALOES BASE</t>
  </si>
  <si>
    <t xml:space="preserve">95059000.</t>
  </si>
  <si>
    <t xml:space="preserve">ARTIGOS P/OUTRAS FESTAS,CARNAVAL OU OUTS.DIVERTIMENTOS</t>
  </si>
  <si>
    <t xml:space="preserve">95059000</t>
  </si>
  <si>
    <t xml:space="preserve">1731</t>
  </si>
  <si>
    <t xml:space="preserve">PRANCHETA OF PREND METAL</t>
  </si>
  <si>
    <t xml:space="preserve">1732</t>
  </si>
  <si>
    <t xml:space="preserve">CAIXA DIRECAO</t>
  </si>
  <si>
    <t xml:space="preserve">87089483.</t>
  </si>
  <si>
    <t xml:space="preserve">CAIXAS</t>
  </si>
  <si>
    <t xml:space="preserve">87089483</t>
  </si>
  <si>
    <t xml:space="preserve">1733</t>
  </si>
  <si>
    <t xml:space="preserve">TERMINAL DIRECAO</t>
  </si>
  <si>
    <t xml:space="preserve">87089490.</t>
  </si>
  <si>
    <t xml:space="preserve">87089490</t>
  </si>
  <si>
    <t xml:space="preserve">1735</t>
  </si>
  <si>
    <t xml:space="preserve">PICANHA SUINA TEMPERADA SAUDALI</t>
  </si>
  <si>
    <t xml:space="preserve">08/03/2021</t>
  </si>
  <si>
    <t xml:space="preserve">1736</t>
  </si>
  <si>
    <t xml:space="preserve">DESIGN FLEXIVEL</t>
  </si>
  <si>
    <t xml:space="preserve">528</t>
  </si>
  <si>
    <t xml:space="preserve">17/03/2021</t>
  </si>
  <si>
    <t xml:space="preserve">1737</t>
  </si>
  <si>
    <t xml:space="preserve">SW ESM SPROT BR</t>
  </si>
  <si>
    <t xml:space="preserve">32081010</t>
  </si>
  <si>
    <t xml:space="preserve">1738</t>
  </si>
  <si>
    <t xml:space="preserve">CHAPIM</t>
  </si>
  <si>
    <t xml:space="preserve">FRANCISCO IRANDIR TEIXEIRA DE ALMEIDA</t>
  </si>
  <si>
    <t xml:space="preserve">1739</t>
  </si>
  <si>
    <t xml:space="preserve">RETALHO COSTELA SUINA CONG SADIA</t>
  </si>
  <si>
    <t xml:space="preserve">31/03/2021</t>
  </si>
  <si>
    <t xml:space="preserve">1740</t>
  </si>
  <si>
    <t xml:space="preserve">CHAPA ROLO N 28</t>
  </si>
  <si>
    <t xml:space="preserve">72104910.</t>
  </si>
  <si>
    <t xml:space="preserve">DE ESPESSURA INFERIOR A 4,75MM</t>
  </si>
  <si>
    <t xml:space="preserve">72104910</t>
  </si>
  <si>
    <t xml:space="preserve">05/04/2021</t>
  </si>
  <si>
    <t xml:space="preserve">1741</t>
  </si>
  <si>
    <t xml:space="preserve">DESIGN FLEXIVEL AC BRANCO</t>
  </si>
  <si>
    <t xml:space="preserve">1742</t>
  </si>
  <si>
    <t xml:space="preserve">TRUCK CENTER SERVICOS MECANICOS EIRELI</t>
  </si>
  <si>
    <t xml:space="preserve">08/04/2021</t>
  </si>
  <si>
    <t xml:space="preserve">1743</t>
  </si>
  <si>
    <t xml:space="preserve">REPARO CENTRAL DO CILINDRO</t>
  </si>
  <si>
    <t xml:space="preserve">1744</t>
  </si>
  <si>
    <t xml:space="preserve">FIGADO BOV CONG FRIGORIFCO PATANAL</t>
  </si>
  <si>
    <t xml:space="preserve">2062200</t>
  </si>
  <si>
    <t xml:space="preserve">1745</t>
  </si>
  <si>
    <t xml:space="preserve">ARGAMASSA</t>
  </si>
  <si>
    <t xml:space="preserve">J &amp; C INDUSTRIA E COMERCIO DE PRODUTOS DE ARGAMASSA E REJUNT</t>
  </si>
  <si>
    <t xml:space="preserve">1746</t>
  </si>
  <si>
    <t xml:space="preserve">PAO DA CASA COCO</t>
  </si>
  <si>
    <t xml:space="preserve">SUPERMERCADO NIDOBOX LTDA</t>
  </si>
  <si>
    <t xml:space="preserve">19059090.</t>
  </si>
  <si>
    <t xml:space="preserve">19059090</t>
  </si>
  <si>
    <t xml:space="preserve">1747</t>
  </si>
  <si>
    <t xml:space="preserve">MICTORIO COM SIFAO</t>
  </si>
  <si>
    <t xml:space="preserve">09/04/2021</t>
  </si>
  <si>
    <t xml:space="preserve">1748</t>
  </si>
  <si>
    <t xml:space="preserve">BOLSA DE LIGACAO</t>
  </si>
  <si>
    <t xml:space="preserve">12/04/2021</t>
  </si>
  <si>
    <t xml:space="preserve">1749</t>
  </si>
  <si>
    <t xml:space="preserve">PROJ LED SLIM</t>
  </si>
  <si>
    <t xml:space="preserve">94054090</t>
  </si>
  <si>
    <t xml:space="preserve">1750</t>
  </si>
  <si>
    <t xml:space="preserve">MDF BP FRAPE</t>
  </si>
  <si>
    <t xml:space="preserve">1751</t>
  </si>
  <si>
    <t xml:space="preserve">PICANHA B BOV CONG BORDON FRIBOI</t>
  </si>
  <si>
    <t xml:space="preserve">1752</t>
  </si>
  <si>
    <t xml:space="preserve">BRASILUX REMOVEDOR</t>
  </si>
  <si>
    <t xml:space="preserve">MONTEIRO E COSTA COMERCIO DE MATERIAIS DE CONSTRUCAO S/A</t>
  </si>
  <si>
    <t xml:space="preserve">15/04/2021</t>
  </si>
  <si>
    <t xml:space="preserve">1753</t>
  </si>
  <si>
    <t xml:space="preserve">NOBREAK</t>
  </si>
  <si>
    <t xml:space="preserve">ERMILSON DO CARMO VICTOR</t>
  </si>
  <si>
    <t xml:space="preserve">90261029</t>
  </si>
  <si>
    <t xml:space="preserve">22/04/2021</t>
  </si>
  <si>
    <t xml:space="preserve">1754</t>
  </si>
  <si>
    <t xml:space="preserve">FILTRO DE LINHA</t>
  </si>
  <si>
    <t xml:space="preserve">1755</t>
  </si>
  <si>
    <t xml:space="preserve">FIO ELETRICO</t>
  </si>
  <si>
    <t xml:space="preserve">52121400.</t>
  </si>
  <si>
    <t xml:space="preserve">DE FIOS DE DIVERSAS CORES</t>
  </si>
  <si>
    <t xml:space="preserve">52121400</t>
  </si>
  <si>
    <t xml:space="preserve">1761</t>
  </si>
  <si>
    <t xml:space="preserve">EPS P/LAJES 1000</t>
  </si>
  <si>
    <t xml:space="preserve">26/04/2021</t>
  </si>
  <si>
    <t xml:space="preserve">1762</t>
  </si>
  <si>
    <t xml:space="preserve">VEDACIT</t>
  </si>
  <si>
    <t xml:space="preserve">1763</t>
  </si>
  <si>
    <t xml:space="preserve">REJUNTACRIL ADITIVO</t>
  </si>
  <si>
    <t xml:space="preserve">1765</t>
  </si>
  <si>
    <t xml:space="preserve">RELE NIVEL</t>
  </si>
  <si>
    <t xml:space="preserve">29/04/2021</t>
  </si>
  <si>
    <t xml:space="preserve">1766</t>
  </si>
  <si>
    <t xml:space="preserve">LUVA GALV</t>
  </si>
  <si>
    <t xml:space="preserve">40151100.</t>
  </si>
  <si>
    <t xml:space="preserve">PARA CIRURGIA</t>
  </si>
  <si>
    <t xml:space="preserve">40151100</t>
  </si>
  <si>
    <t xml:space="preserve">1767</t>
  </si>
  <si>
    <t xml:space="preserve">CHOCOLATE TALENTO</t>
  </si>
  <si>
    <t xml:space="preserve">CACAU COMERCIO DE DOCES LTDA</t>
  </si>
  <si>
    <t xml:space="preserve">18063210</t>
  </si>
  <si>
    <t xml:space="preserve">03/05/2021</t>
  </si>
  <si>
    <t xml:space="preserve">1768</t>
  </si>
  <si>
    <t xml:space="preserve">LIMPA MULTIUSO</t>
  </si>
  <si>
    <t xml:space="preserve">34059000.</t>
  </si>
  <si>
    <t xml:space="preserve">34059000</t>
  </si>
  <si>
    <t xml:space="preserve">04/05/2021</t>
  </si>
  <si>
    <t xml:space="preserve">1769</t>
  </si>
  <si>
    <t xml:space="preserve">LUSTRA MOVEIS</t>
  </si>
  <si>
    <t xml:space="preserve">34052000.</t>
  </si>
  <si>
    <t xml:space="preserve">ENCAUSTICAS E PREPARACOES SEMELHANTES, PARA CONSERVACAO E LI</t>
  </si>
  <si>
    <t xml:space="preserve">34052000</t>
  </si>
  <si>
    <t xml:space="preserve">1770</t>
  </si>
  <si>
    <t xml:space="preserve">ENVELOPES</t>
  </si>
  <si>
    <t xml:space="preserve">48171000.</t>
  </si>
  <si>
    <t xml:space="preserve">ENVELOPES DE PAPEL OU CARTAO</t>
  </si>
  <si>
    <t xml:space="preserve">48171000</t>
  </si>
  <si>
    <t xml:space="preserve">1771</t>
  </si>
  <si>
    <t xml:space="preserve">PAST SANIT LAVANDA</t>
  </si>
  <si>
    <t xml:space="preserve">1774</t>
  </si>
  <si>
    <t xml:space="preserve">PORTAO ALUMINIO</t>
  </si>
  <si>
    <t xml:space="preserve">NACLE INDUSTRIA E COMERCIO DE MADEIRAS, IMPORTACOES E EXPORT</t>
  </si>
  <si>
    <t xml:space="preserve">14/05/2021</t>
  </si>
  <si>
    <t xml:space="preserve">1775</t>
  </si>
  <si>
    <t xml:space="preserve">CANECA PORCELANA</t>
  </si>
  <si>
    <t xml:space="preserve">LUCAS REGIS FREIRE COSTA 05166719360</t>
  </si>
  <si>
    <t xml:space="preserve">69111090.</t>
  </si>
  <si>
    <t xml:space="preserve">69111090</t>
  </si>
  <si>
    <t xml:space="preserve">1776</t>
  </si>
  <si>
    <t xml:space="preserve">LOMBO SUINO METADE CONG SAUDALI</t>
  </si>
  <si>
    <t xml:space="preserve">21/05/2021</t>
  </si>
  <si>
    <t xml:space="preserve">1777</t>
  </si>
  <si>
    <t xml:space="preserve">TIGRE ESPA. ACO</t>
  </si>
  <si>
    <t xml:space="preserve">1779</t>
  </si>
  <si>
    <t xml:space="preserve">POLIURETANO AMINO</t>
  </si>
  <si>
    <t xml:space="preserve">24/05/2021</t>
  </si>
  <si>
    <t xml:space="preserve">1780</t>
  </si>
  <si>
    <t xml:space="preserve">ESM BR EUCATEX</t>
  </si>
  <si>
    <t xml:space="preserve">1781</t>
  </si>
  <si>
    <t xml:space="preserve">SERVICO DE CERTICACAO DIGITAL</t>
  </si>
  <si>
    <t xml:space="preserve">INSTITUTO FENACON</t>
  </si>
  <si>
    <t xml:space="preserve">1782</t>
  </si>
  <si>
    <t xml:space="preserve">NIPLE FG</t>
  </si>
  <si>
    <t xml:space="preserve">MARIA DE JESUS DA SILVA EQUIPAMENTOS MICROEMPRESA</t>
  </si>
  <si>
    <t xml:space="preserve">73071910.</t>
  </si>
  <si>
    <t xml:space="preserve">DE FERRO FUNDIDO MALEAVEL, DE DIAMETRO INTERIOR SUPERIOR A 5</t>
  </si>
  <si>
    <t xml:space="preserve">73071910</t>
  </si>
  <si>
    <t xml:space="preserve">26/05/2021</t>
  </si>
  <si>
    <t xml:space="preserve">1783</t>
  </si>
  <si>
    <t xml:space="preserve">TEE FG</t>
  </si>
  <si>
    <t xml:space="preserve">1784</t>
  </si>
  <si>
    <t xml:space="preserve">ESGUICHO AGULHETA</t>
  </si>
  <si>
    <t xml:space="preserve">84243090.</t>
  </si>
  <si>
    <t xml:space="preserve">84243090</t>
  </si>
  <si>
    <t xml:space="preserve">1785</t>
  </si>
  <si>
    <t xml:space="preserve">FIO TIPO BAHIA</t>
  </si>
  <si>
    <t xml:space="preserve">1786</t>
  </si>
  <si>
    <t xml:space="preserve">CENTRAL DE ALARME INCENDIO</t>
  </si>
  <si>
    <t xml:space="preserve">85311010.</t>
  </si>
  <si>
    <t xml:space="preserve">ALARMES CONTRA INCENDIO OU SOBREAQUECIMENTO</t>
  </si>
  <si>
    <t xml:space="preserve">85311010</t>
  </si>
  <si>
    <t xml:space="preserve">1787</t>
  </si>
  <si>
    <t xml:space="preserve">SINALIZADOR</t>
  </si>
  <si>
    <t xml:space="preserve">1788</t>
  </si>
  <si>
    <t xml:space="preserve">CONDULETE</t>
  </si>
  <si>
    <t xml:space="preserve">1789</t>
  </si>
  <si>
    <t xml:space="preserve">CJ MAC MAGNUM</t>
  </si>
  <si>
    <t xml:space="preserve">83016000.</t>
  </si>
  <si>
    <t xml:space="preserve">83016000</t>
  </si>
  <si>
    <t xml:space="preserve">27/05/2021</t>
  </si>
  <si>
    <t xml:space="preserve">1790</t>
  </si>
  <si>
    <t xml:space="preserve">FILME TECFILM</t>
  </si>
  <si>
    <t xml:space="preserve">39204390.</t>
  </si>
  <si>
    <t xml:space="preserve">39204390</t>
  </si>
  <si>
    <t xml:space="preserve">31/05/2021</t>
  </si>
  <si>
    <t xml:space="preserve">1791</t>
  </si>
  <si>
    <t xml:space="preserve">TUB RET NATURAL</t>
  </si>
  <si>
    <t xml:space="preserve">ALCONORT ALUMINIO LTDA</t>
  </si>
  <si>
    <t xml:space="preserve">1792</t>
  </si>
  <si>
    <t xml:space="preserve">TERMOMETRO DIGITAL</t>
  </si>
  <si>
    <t xml:space="preserve">FRIGELAR COMERCIO E INDUSTRIA LTDA</t>
  </si>
  <si>
    <t xml:space="preserve">90251990.</t>
  </si>
  <si>
    <t xml:space="preserve">OUTROS TERMOMETROS E PIROMETROS</t>
  </si>
  <si>
    <t xml:space="preserve">90251990</t>
  </si>
  <si>
    <t xml:space="preserve">02/06/2021</t>
  </si>
  <si>
    <t xml:space="preserve">1793</t>
  </si>
  <si>
    <t xml:space="preserve">BUCHO BOV CONG FRIGORIFCO PANTANAL</t>
  </si>
  <si>
    <t xml:space="preserve">05040011.</t>
  </si>
  <si>
    <t xml:space="preserve">TRIPAS DE BOVINOS,FRESCAS,REFRIG.CONGEL.SALG.DEFUMADAS</t>
  </si>
  <si>
    <t xml:space="preserve">5040011</t>
  </si>
  <si>
    <t xml:space="preserve">09/06/2021</t>
  </si>
  <si>
    <t xml:space="preserve">1794</t>
  </si>
  <si>
    <t xml:space="preserve">CATRACA DE FREIO AUT</t>
  </si>
  <si>
    <t xml:space="preserve">10/06/2021</t>
  </si>
  <si>
    <t xml:space="preserve">1795</t>
  </si>
  <si>
    <t xml:space="preserve">MDF BP LACCA</t>
  </si>
  <si>
    <t xml:space="preserve">1796</t>
  </si>
  <si>
    <t xml:space="preserve">MDF BP MOCCA</t>
  </si>
  <si>
    <t xml:space="preserve">1797</t>
  </si>
  <si>
    <t xml:space="preserve">KIT SISTEMAS DE CORRER</t>
  </si>
  <si>
    <t xml:space="preserve">1798</t>
  </si>
  <si>
    <t xml:space="preserve">LOMBO SUINO CONG AURORA</t>
  </si>
  <si>
    <t xml:space="preserve">11/06/2021</t>
  </si>
  <si>
    <t xml:space="preserve">1800</t>
  </si>
  <si>
    <t xml:space="preserve">IMAGEM</t>
  </si>
  <si>
    <t xml:space="preserve">84439939</t>
  </si>
  <si>
    <t xml:space="preserve">12/06/2021</t>
  </si>
  <si>
    <t xml:space="preserve">1801</t>
  </si>
  <si>
    <t xml:space="preserve">COBERTURA FECHACURA VW</t>
  </si>
  <si>
    <t xml:space="preserve">15/06/2021</t>
  </si>
  <si>
    <t xml:space="preserve">1802</t>
  </si>
  <si>
    <t xml:space="preserve">MOCOTO BOV CONG FRIGORIFICO PANTANAL</t>
  </si>
  <si>
    <t xml:space="preserve">MOCOTO</t>
  </si>
  <si>
    <t xml:space="preserve">1803</t>
  </si>
  <si>
    <t xml:space="preserve">PO R 50X100,7 SP CHEVRON GRAFITI HD</t>
  </si>
  <si>
    <t xml:space="preserve">558</t>
  </si>
  <si>
    <t xml:space="preserve">METAL COMERCIO LTDA</t>
  </si>
  <si>
    <t xml:space="preserve">16/06/2021</t>
  </si>
  <si>
    <t xml:space="preserve">1804</t>
  </si>
  <si>
    <t xml:space="preserve">CEMENTO</t>
  </si>
  <si>
    <t xml:space="preserve">1805</t>
  </si>
  <si>
    <t xml:space="preserve">KIT ELITE BRANCO</t>
  </si>
  <si>
    <t xml:space="preserve">1806</t>
  </si>
  <si>
    <t xml:space="preserve">AZ 8X25 BELLA VITA</t>
  </si>
  <si>
    <t xml:space="preserve">1807</t>
  </si>
  <si>
    <t xml:space="preserve">LOMBO SUINO S/OSSO CONG SADIA</t>
  </si>
  <si>
    <t xml:space="preserve">17/06/2021</t>
  </si>
  <si>
    <t xml:space="preserve">1808</t>
  </si>
  <si>
    <t xml:space="preserve">WALLPAPER LAVICA</t>
  </si>
  <si>
    <t xml:space="preserve">73181900</t>
  </si>
  <si>
    <t xml:space="preserve">18/06/2021</t>
  </si>
  <si>
    <t xml:space="preserve">1809</t>
  </si>
  <si>
    <t xml:space="preserve">VARETA SOLDA</t>
  </si>
  <si>
    <t xml:space="preserve">C.A BATERIAS LTDA</t>
  </si>
  <si>
    <t xml:space="preserve">22/06/2021</t>
  </si>
  <si>
    <t xml:space="preserve">1810</t>
  </si>
  <si>
    <t xml:space="preserve">CAPA ESTABILIZADOR</t>
  </si>
  <si>
    <t xml:space="preserve">87088000</t>
  </si>
  <si>
    <t xml:space="preserve">24/06/2021</t>
  </si>
  <si>
    <t xml:space="preserve">1811</t>
  </si>
  <si>
    <t xml:space="preserve">CHAPA ESTABILIZADOR</t>
  </si>
  <si>
    <t xml:space="preserve">1812</t>
  </si>
  <si>
    <t xml:space="preserve">COLUNA ARMADA</t>
  </si>
  <si>
    <t xml:space="preserve">73142000.</t>
  </si>
  <si>
    <t xml:space="preserve">GRADES E REDES, SOLDADAS NOS PONTOS DE INTERSECAO, DE FIOS C</t>
  </si>
  <si>
    <t xml:space="preserve">73142000</t>
  </si>
  <si>
    <t xml:space="preserve">25/06/2021</t>
  </si>
  <si>
    <t xml:space="preserve">1813</t>
  </si>
  <si>
    <t xml:space="preserve">MALHA POP PESADA</t>
  </si>
  <si>
    <t xml:space="preserve">1814</t>
  </si>
  <si>
    <t xml:space="preserve">CORTADOR PROFISSIONAL</t>
  </si>
  <si>
    <t xml:space="preserve">563</t>
  </si>
  <si>
    <t xml:space="preserve">84649090.</t>
  </si>
  <si>
    <t xml:space="preserve">84649090</t>
  </si>
  <si>
    <t xml:space="preserve">28/06/2021</t>
  </si>
  <si>
    <t xml:space="preserve">1815</t>
  </si>
  <si>
    <t xml:space="preserve">ENXADA</t>
  </si>
  <si>
    <t xml:space="preserve">566</t>
  </si>
  <si>
    <t xml:space="preserve">82013000.</t>
  </si>
  <si>
    <t xml:space="preserve">ALVIOES, PICARETAS, ENXADAS, SACHOS, ANCINHOS E RASPADEIRAS</t>
  </si>
  <si>
    <t xml:space="preserve">82013000</t>
  </si>
  <si>
    <t xml:space="preserve">1816</t>
  </si>
  <si>
    <t xml:space="preserve">COLHER</t>
  </si>
  <si>
    <t xml:space="preserve">1817</t>
  </si>
  <si>
    <t xml:space="preserve">PA BICO TRAMONTINA</t>
  </si>
  <si>
    <t xml:space="preserve">82011000.</t>
  </si>
  <si>
    <t xml:space="preserve">PAS</t>
  </si>
  <si>
    <t xml:space="preserve">82011000</t>
  </si>
  <si>
    <t xml:space="preserve">1818</t>
  </si>
  <si>
    <t xml:space="preserve">PICARETA TRAMONTINA</t>
  </si>
  <si>
    <t xml:space="preserve">1819</t>
  </si>
  <si>
    <t xml:space="preserve">EXTINTOR</t>
  </si>
  <si>
    <t xml:space="preserve">84241000.</t>
  </si>
  <si>
    <t xml:space="preserve">EXTINTORES, MESMO CARREGADOS</t>
  </si>
  <si>
    <t xml:space="preserve">84241000</t>
  </si>
  <si>
    <t xml:space="preserve">1821</t>
  </si>
  <si>
    <t xml:space="preserve">DEMARCACAO ACRIL</t>
  </si>
  <si>
    <t xml:space="preserve">32089010</t>
  </si>
  <si>
    <t xml:space="preserve">02/07/2021</t>
  </si>
  <si>
    <t xml:space="preserve">1822</t>
  </si>
  <si>
    <t xml:space="preserve">PROLONGADOR</t>
  </si>
  <si>
    <t xml:space="preserve">1823</t>
  </si>
  <si>
    <t xml:space="preserve">CLIPES GALV</t>
  </si>
  <si>
    <t xml:space="preserve">1824</t>
  </si>
  <si>
    <t xml:space="preserve">QUADRO DE COMANDO P/INCENDIO</t>
  </si>
  <si>
    <t xml:space="preserve">570</t>
  </si>
  <si>
    <t xml:space="preserve">BARATAO DA IRRIGACAO COMERCIAL DE BOMBAS EIRELI</t>
  </si>
  <si>
    <t xml:space="preserve">85381000</t>
  </si>
  <si>
    <t xml:space="preserve">05/07/2021</t>
  </si>
  <si>
    <t xml:space="preserve">1825</t>
  </si>
  <si>
    <t xml:space="preserve">COXAO MOLE CONG IGUATEMI</t>
  </si>
  <si>
    <t xml:space="preserve">06/07/2021</t>
  </si>
  <si>
    <t xml:space="preserve">1827</t>
  </si>
  <si>
    <t xml:space="preserve">PATINHO BOV CONG IGUATEMI</t>
  </si>
  <si>
    <t xml:space="preserve">1829</t>
  </si>
  <si>
    <t xml:space="preserve">LAGARTO BOV RESF IGUATEMI</t>
  </si>
  <si>
    <t xml:space="preserve">1834</t>
  </si>
  <si>
    <t xml:space="preserve">GRADE RADIADOR</t>
  </si>
  <si>
    <t xml:space="preserve">87082992.</t>
  </si>
  <si>
    <t xml:space="preserve">GRADES DE RADIADORES P/VEICULOS AUTOMOVEIS</t>
  </si>
  <si>
    <t xml:space="preserve">87082992</t>
  </si>
  <si>
    <t xml:space="preserve">22/07/2021</t>
  </si>
  <si>
    <t xml:space="preserve">1835</t>
  </si>
  <si>
    <t xml:space="preserve">MOLDURA FAROL</t>
  </si>
  <si>
    <t xml:space="preserve">87082999.</t>
  </si>
  <si>
    <t xml:space="preserve">OUTRAS PARTES E ACESS.DE CARROCARIAS P/VEIC.AUTOMOVEIS</t>
  </si>
  <si>
    <t xml:space="preserve">87082999</t>
  </si>
  <si>
    <t xml:space="preserve">1836</t>
  </si>
  <si>
    <t xml:space="preserve">PICANHA ARGENTINA PLATE 1,1 KG ABAIXO</t>
  </si>
  <si>
    <t xml:space="preserve">1837</t>
  </si>
  <si>
    <t xml:space="preserve">PICANHA URUGUAIA PUL A 1,5 KG ABAIXO</t>
  </si>
  <si>
    <t xml:space="preserve">1838</t>
  </si>
  <si>
    <t xml:space="preserve">COSTELA JANELA CONG FRIBOI</t>
  </si>
  <si>
    <t xml:space="preserve">COSTELA</t>
  </si>
  <si>
    <t xml:space="preserve">2022090</t>
  </si>
  <si>
    <t xml:space="preserve">26/07/2021</t>
  </si>
  <si>
    <t xml:space="preserve">1839</t>
  </si>
  <si>
    <t xml:space="preserve">REV CERAMICA</t>
  </si>
  <si>
    <t xml:space="preserve">27/07/2021</t>
  </si>
  <si>
    <t xml:space="preserve">1840</t>
  </si>
  <si>
    <t xml:space="preserve">PORTA GRELHA</t>
  </si>
  <si>
    <t xml:space="preserve">84179000.</t>
  </si>
  <si>
    <t xml:space="preserve">84179000</t>
  </si>
  <si>
    <t xml:space="preserve">29/07/2021</t>
  </si>
  <si>
    <t xml:space="preserve">1841</t>
  </si>
  <si>
    <t xml:space="preserve">AP.121.17 ASSENTO C/FIX CR D.PLUS BR DEC</t>
  </si>
  <si>
    <t xml:space="preserve">1842</t>
  </si>
  <si>
    <t xml:space="preserve">CHUVEIRO PLASTICO</t>
  </si>
  <si>
    <t xml:space="preserve">39229000.</t>
  </si>
  <si>
    <t xml:space="preserve">39229000</t>
  </si>
  <si>
    <t xml:space="preserve">1843</t>
  </si>
  <si>
    <t xml:space="preserve">ESTILETE</t>
  </si>
  <si>
    <t xml:space="preserve">82119390.</t>
  </si>
  <si>
    <t xml:space="preserve">82119390</t>
  </si>
  <si>
    <t xml:space="preserve">30/07/2021</t>
  </si>
  <si>
    <t xml:space="preserve">1844</t>
  </si>
  <si>
    <t xml:space="preserve">PLASTICO CRISTAL</t>
  </si>
  <si>
    <t xml:space="preserve">1846</t>
  </si>
  <si>
    <t xml:space="preserve">CORDAO TORC</t>
  </si>
  <si>
    <t xml:space="preserve">03/08/2021</t>
  </si>
  <si>
    <t xml:space="preserve">1847</t>
  </si>
  <si>
    <t xml:space="preserve">PIA ACO</t>
  </si>
  <si>
    <t xml:space="preserve">73241000</t>
  </si>
  <si>
    <t xml:space="preserve">04/08/2021</t>
  </si>
  <si>
    <t xml:space="preserve">1848</t>
  </si>
  <si>
    <t xml:space="preserve">ESCORREDOR</t>
  </si>
  <si>
    <t xml:space="preserve">1849</t>
  </si>
  <si>
    <t xml:space="preserve">MONOCOMANDO</t>
  </si>
  <si>
    <t xml:space="preserve">84818019</t>
  </si>
  <si>
    <t xml:space="preserve">1850</t>
  </si>
  <si>
    <t xml:space="preserve">EFFETI PREDIAL</t>
  </si>
  <si>
    <t xml:space="preserve">1851</t>
  </si>
  <si>
    <t xml:space="preserve">BASE P/ SELOR</t>
  </si>
  <si>
    <t xml:space="preserve">1852</t>
  </si>
  <si>
    <t xml:space="preserve">PISO VINI</t>
  </si>
  <si>
    <t xml:space="preserve">39181000.</t>
  </si>
  <si>
    <t xml:space="preserve">39181000</t>
  </si>
  <si>
    <t xml:space="preserve">1853</t>
  </si>
  <si>
    <t xml:space="preserve">RALO</t>
  </si>
  <si>
    <t xml:space="preserve">1854</t>
  </si>
  <si>
    <t xml:space="preserve">CABIDE</t>
  </si>
  <si>
    <t xml:space="preserve">83025000.</t>
  </si>
  <si>
    <t xml:space="preserve">PATERAS, PORTACHAPEUS, CABIDES E ARTIGOS SEMELHANTES</t>
  </si>
  <si>
    <t xml:space="preserve">83025000</t>
  </si>
  <si>
    <t xml:space="preserve">1855</t>
  </si>
  <si>
    <t xml:space="preserve">KIT COV HYDRA MAX CORTEN 4916 CT SLM MT</t>
  </si>
  <si>
    <t xml:space="preserve">1856</t>
  </si>
  <si>
    <t xml:space="preserve">MUSCULO TRASEIRO BOV RESF LKJ</t>
  </si>
  <si>
    <t xml:space="preserve">05/08/2021</t>
  </si>
  <si>
    <t xml:space="preserve">1857</t>
  </si>
  <si>
    <t xml:space="preserve">AQUECEDOR</t>
  </si>
  <si>
    <t xml:space="preserve">CONFORTO TERMICO AQUECEDORES E CONDICIONADORES DE AR LTDA</t>
  </si>
  <si>
    <t xml:space="preserve">84191100.</t>
  </si>
  <si>
    <t xml:space="preserve">DE AQUECIMENTO INSTANTANEO, A GAS</t>
  </si>
  <si>
    <t xml:space="preserve">84191100</t>
  </si>
  <si>
    <t xml:space="preserve">06/08/2021</t>
  </si>
  <si>
    <t xml:space="preserve">1860</t>
  </si>
  <si>
    <t xml:space="preserve">SUP DE PISO</t>
  </si>
  <si>
    <t xml:space="preserve">585</t>
  </si>
  <si>
    <t xml:space="preserve">LM MEDEIROS COMERCIAL LTDA</t>
  </si>
  <si>
    <t xml:space="preserve">73262000</t>
  </si>
  <si>
    <t xml:space="preserve">10/08/2021</t>
  </si>
  <si>
    <t xml:space="preserve">1861</t>
  </si>
  <si>
    <t xml:space="preserve">SINAL PVC FOTO</t>
  </si>
  <si>
    <t xml:space="preserve">1862</t>
  </si>
  <si>
    <t xml:space="preserve">ROUPEIRO DE ACO</t>
  </si>
  <si>
    <t xml:space="preserve">586</t>
  </si>
  <si>
    <t xml:space="preserve">NOE DE BRITO FILHO COMERCIO VAREGISTA DE MOVEIS LTDA ME</t>
  </si>
  <si>
    <t xml:space="preserve">94031000.</t>
  </si>
  <si>
    <t xml:space="preserve">MOVEIS DE METAL P/ESCRITORIOS</t>
  </si>
  <si>
    <t xml:space="preserve">94031000</t>
  </si>
  <si>
    <t xml:space="preserve">1863</t>
  </si>
  <si>
    <t xml:space="preserve">LP TAPUME</t>
  </si>
  <si>
    <t xml:space="preserve">MIL MADEIRAS COMERCIAL DE MADEIRAS LTDA</t>
  </si>
  <si>
    <t xml:space="preserve">44101210.</t>
  </si>
  <si>
    <t xml:space="preserve">EM BRUTO OU SIMPLESMENTE POLIDOS</t>
  </si>
  <si>
    <t xml:space="preserve">44101210</t>
  </si>
  <si>
    <t xml:space="preserve">11/08/2021</t>
  </si>
  <si>
    <t xml:space="preserve">1865</t>
  </si>
  <si>
    <t xml:space="preserve">FILE DE PEITO INDIVIDUAL FRANGO RICO</t>
  </si>
  <si>
    <t xml:space="preserve">590</t>
  </si>
  <si>
    <t xml:space="preserve">FRIGORIFICO AVICOLA VOTUPORANGA LT</t>
  </si>
  <si>
    <t xml:space="preserve">2071422</t>
  </si>
  <si>
    <t xml:space="preserve">17/08/2021</t>
  </si>
  <si>
    <t xml:space="preserve">1866</t>
  </si>
  <si>
    <t xml:space="preserve">COXA/SOBRECOXA INDIVIDUAL FRANGO RICO</t>
  </si>
  <si>
    <t xml:space="preserve">2071412</t>
  </si>
  <si>
    <t xml:space="preserve">1867</t>
  </si>
  <si>
    <t xml:space="preserve">BISTECA SUINA FATIADA CONG SADIA</t>
  </si>
  <si>
    <t xml:space="preserve">18/08/2021</t>
  </si>
  <si>
    <t xml:space="preserve">1868</t>
  </si>
  <si>
    <t xml:space="preserve">FRESA P/ RANHURA</t>
  </si>
  <si>
    <t xml:space="preserve">82077010.</t>
  </si>
  <si>
    <t xml:space="preserve">DE TOPO</t>
  </si>
  <si>
    <t xml:space="preserve">82077010</t>
  </si>
  <si>
    <t xml:space="preserve">19/08/2021</t>
  </si>
  <si>
    <t xml:space="preserve">1869</t>
  </si>
  <si>
    <t xml:space="preserve">CERA DESMOLDANTE</t>
  </si>
  <si>
    <t xml:space="preserve">27129000.</t>
  </si>
  <si>
    <t xml:space="preserve">CERA DE PETROLEO MICROCRISTALINA,CERAS MINERAIS,ETC.</t>
  </si>
  <si>
    <t xml:space="preserve">27129000</t>
  </si>
  <si>
    <t xml:space="preserve">1870</t>
  </si>
  <si>
    <t xml:space="preserve">LUMINARIA</t>
  </si>
  <si>
    <t xml:space="preserve">1871</t>
  </si>
  <si>
    <t xml:space="preserve">PA PLASTICA C/CABO LONGO</t>
  </si>
  <si>
    <t xml:space="preserve">39241000</t>
  </si>
  <si>
    <t xml:space="preserve">23/08/2021</t>
  </si>
  <si>
    <t xml:space="preserve">1872</t>
  </si>
  <si>
    <t xml:space="preserve">MOP UMIDO</t>
  </si>
  <si>
    <t xml:space="preserve">TALIMPINHO COMERCIAL LTDA</t>
  </si>
  <si>
    <t xml:space="preserve">25/08/2021</t>
  </si>
  <si>
    <t xml:space="preserve">1874</t>
  </si>
  <si>
    <t xml:space="preserve">BATATA CONG PRIME FRIES 10MM</t>
  </si>
  <si>
    <t xml:space="preserve">600</t>
  </si>
  <si>
    <t xml:space="preserve">HAVITA IMPORTACAO E EXPORTACAO LTDA</t>
  </si>
  <si>
    <t xml:space="preserve">BATATAS</t>
  </si>
  <si>
    <t xml:space="preserve">20041000.</t>
  </si>
  <si>
    <t xml:space="preserve">BATATAS PREPARADAS OU CONSERVADAS,CONGELADAS</t>
  </si>
  <si>
    <t xml:space="preserve">20041000</t>
  </si>
  <si>
    <t xml:space="preserve">1875</t>
  </si>
  <si>
    <t xml:space="preserve">T HDF PRIME BIANCO</t>
  </si>
  <si>
    <t xml:space="preserve">44111290.</t>
  </si>
  <si>
    <t xml:space="preserve">44111290</t>
  </si>
  <si>
    <t xml:space="preserve">26/08/2021</t>
  </si>
  <si>
    <t xml:space="preserve">1877</t>
  </si>
  <si>
    <t xml:space="preserve">CAPA DO RETROVISOR</t>
  </si>
  <si>
    <t xml:space="preserve">604</t>
  </si>
  <si>
    <t xml:space="preserve">K R M AUTO PECAS DIESEL EIRELI</t>
  </si>
  <si>
    <t xml:space="preserve">31/08/2021</t>
  </si>
  <si>
    <t xml:space="preserve">1878</t>
  </si>
  <si>
    <t xml:space="preserve">BUCHO BOV CONG MARFRIG</t>
  </si>
  <si>
    <t xml:space="preserve">5040090</t>
  </si>
  <si>
    <t xml:space="preserve">02/09/2021</t>
  </si>
  <si>
    <t xml:space="preserve">1879</t>
  </si>
  <si>
    <t xml:space="preserve">ALCATRA C/ MAMINHA CONG MARFRIG</t>
  </si>
  <si>
    <t xml:space="preserve">1880</t>
  </si>
  <si>
    <t xml:space="preserve">MAMINHA BASSI CONG MARFRIG</t>
  </si>
  <si>
    <t xml:space="preserve">BOVINOS MARFRIG - MARCAS</t>
  </si>
  <si>
    <t xml:space="preserve">LINHA BASSI</t>
  </si>
  <si>
    <t xml:space="preserve">1883</t>
  </si>
  <si>
    <t xml:space="preserve">LIMA P/ ENXADA GMAD</t>
  </si>
  <si>
    <t xml:space="preserve">82031010.</t>
  </si>
  <si>
    <t xml:space="preserve">LIMAS E GROSAS</t>
  </si>
  <si>
    <t xml:space="preserve">82031010</t>
  </si>
  <si>
    <t xml:space="preserve">08/09/2021</t>
  </si>
  <si>
    <t xml:space="preserve">1884</t>
  </si>
  <si>
    <t xml:space="preserve">POP INT/EXT BRANCO</t>
  </si>
  <si>
    <t xml:space="preserve">BP</t>
  </si>
  <si>
    <t xml:space="preserve">32099019.</t>
  </si>
  <si>
    <t xml:space="preserve">32099019</t>
  </si>
  <si>
    <t xml:space="preserve">1885</t>
  </si>
  <si>
    <t xml:space="preserve">ESCAREADOR GMAD</t>
  </si>
  <si>
    <t xml:space="preserve">82075019.</t>
  </si>
  <si>
    <t xml:space="preserve">82075019</t>
  </si>
  <si>
    <t xml:space="preserve">1889</t>
  </si>
  <si>
    <t xml:space="preserve">FILE DE COXA SOBRECOXA IND FRANGO RICO</t>
  </si>
  <si>
    <t xml:space="preserve">FILE DE COXA S/COXA</t>
  </si>
  <si>
    <t xml:space="preserve">2071400</t>
  </si>
  <si>
    <t xml:space="preserve">09/09/2021</t>
  </si>
  <si>
    <t xml:space="preserve">1892</t>
  </si>
  <si>
    <t xml:space="preserve">INT DIFERENCIAL</t>
  </si>
  <si>
    <t xml:space="preserve">608</t>
  </si>
  <si>
    <t xml:space="preserve">K C LOIOLA ELETRICO - ME</t>
  </si>
  <si>
    <t xml:space="preserve">85362000</t>
  </si>
  <si>
    <t xml:space="preserve">1893</t>
  </si>
  <si>
    <t xml:space="preserve">DISPOSITIVO P/ SURTO</t>
  </si>
  <si>
    <t xml:space="preserve">1894</t>
  </si>
  <si>
    <t xml:space="preserve">FONTE CHAV</t>
  </si>
  <si>
    <t xml:space="preserve">ALEXANDRE CELIO M DO NASCIMENTO ME</t>
  </si>
  <si>
    <t xml:space="preserve">1895</t>
  </si>
  <si>
    <t xml:space="preserve">PLAFON EMBUTIR</t>
  </si>
  <si>
    <t xml:space="preserve">94054010.</t>
  </si>
  <si>
    <t xml:space="preserve">OUTS.APARELHOS ELETRICOS DE ILUMINACAO,DE METAIS COMUNS</t>
  </si>
  <si>
    <t xml:space="preserve">94054010</t>
  </si>
  <si>
    <t xml:space="preserve">1896</t>
  </si>
  <si>
    <t xml:space="preserve">FLEXIVEL FR AR DT</t>
  </si>
  <si>
    <t xml:space="preserve">10/09/2021</t>
  </si>
  <si>
    <t xml:space="preserve">1897</t>
  </si>
  <si>
    <t xml:space="preserve">PORTA MANTIMENTO</t>
  </si>
  <si>
    <t xml:space="preserve">COMERCIAL DE MIUDEZAS FREITAS LTDA</t>
  </si>
  <si>
    <t xml:space="preserve">70134900.</t>
  </si>
  <si>
    <t xml:space="preserve">70134900</t>
  </si>
  <si>
    <t xml:space="preserve">1898</t>
  </si>
  <si>
    <t xml:space="preserve">POTICHE CRISTAL</t>
  </si>
  <si>
    <t xml:space="preserve">70139110.</t>
  </si>
  <si>
    <t xml:space="preserve">PARA ORNAMENTACAO DE INTERIORES</t>
  </si>
  <si>
    <t xml:space="preserve">70139110</t>
  </si>
  <si>
    <t xml:space="preserve">1899</t>
  </si>
  <si>
    <t xml:space="preserve">GARRAFA TERMICA</t>
  </si>
  <si>
    <t xml:space="preserve">96170010.</t>
  </si>
  <si>
    <t xml:space="preserve">GARRAFA TERMICA/OUTS.RECIP.ISOTERM.MONTADOS,ISOL.VACUO</t>
  </si>
  <si>
    <t xml:space="preserve">96170010</t>
  </si>
  <si>
    <t xml:space="preserve">1900</t>
  </si>
  <si>
    <t xml:space="preserve">SAPATA TELA</t>
  </si>
  <si>
    <t xml:space="preserve">1901</t>
  </si>
  <si>
    <t xml:space="preserve">PORTA TOALHA</t>
  </si>
  <si>
    <t xml:space="preserve">1902</t>
  </si>
  <si>
    <t xml:space="preserve">ARREND 1/4 BR</t>
  </si>
  <si>
    <t xml:space="preserve">BR</t>
  </si>
  <si>
    <t xml:space="preserve">39252000.</t>
  </si>
  <si>
    <t xml:space="preserve">PORTAS, JANELAS, E SEUS CAIXILHOS, ALIZARES E SOLEIRAS</t>
  </si>
  <si>
    <t xml:space="preserve">39252000</t>
  </si>
  <si>
    <t xml:space="preserve">1903</t>
  </si>
  <si>
    <t xml:space="preserve">DIANTEIRO RESFRIADO FRIGOTIL</t>
  </si>
  <si>
    <t xml:space="preserve">2012010</t>
  </si>
  <si>
    <t xml:space="preserve">1904</t>
  </si>
  <si>
    <t xml:space="preserve">CILINDRO AUX EMBR</t>
  </si>
  <si>
    <t xml:space="preserve">1905</t>
  </si>
  <si>
    <t xml:space="preserve">BEBEDOURO</t>
  </si>
  <si>
    <t xml:space="preserve">MASTER ELETRONICA DE BRINQUEDOS LTDA</t>
  </si>
  <si>
    <t xml:space="preserve">84186931.</t>
  </si>
  <si>
    <t xml:space="preserve">DE AGUA OU SUCOS</t>
  </si>
  <si>
    <t xml:space="preserve">84186931</t>
  </si>
  <si>
    <t xml:space="preserve">1906</t>
  </si>
  <si>
    <t xml:space="preserve">PICANHA URU CONG TACUAREMBO 1,4 UP</t>
  </si>
  <si>
    <t xml:space="preserve">OPERGEL COMERCIAL E INDUSTRIAL DE PRODUTOS ALIMENTICIOS LTDA</t>
  </si>
  <si>
    <t xml:space="preserve">15/09/2021</t>
  </si>
  <si>
    <t xml:space="preserve">1907</t>
  </si>
  <si>
    <t xml:space="preserve">PICANHA TIPO B CONG QUICKFOOD MARFRIG</t>
  </si>
  <si>
    <t xml:space="preserve">1908</t>
  </si>
  <si>
    <t xml:space="preserve">PICANHA TIPO A CONG QUICKFOOD</t>
  </si>
  <si>
    <t xml:space="preserve">F C TRADING IMPORTADORA &amp; EXPORTADORA LTDA ME</t>
  </si>
  <si>
    <t xml:space="preserve">1910</t>
  </si>
  <si>
    <t xml:space="preserve">PERFIL EMB R3 3MT 25MM BRANCO</t>
  </si>
  <si>
    <t xml:space="preserve">611</t>
  </si>
  <si>
    <t xml:space="preserve">PAROMA LUSTRES LTDA</t>
  </si>
  <si>
    <t xml:space="preserve">94051093</t>
  </si>
  <si>
    <t xml:space="preserve">1911</t>
  </si>
  <si>
    <t xml:space="preserve">FONTE DRIVER LED</t>
  </si>
  <si>
    <t xml:space="preserve">85044029.</t>
  </si>
  <si>
    <t xml:space="preserve">85044029</t>
  </si>
  <si>
    <t xml:space="preserve">16/09/2021</t>
  </si>
  <si>
    <t xml:space="preserve">1912</t>
  </si>
  <si>
    <t xml:space="preserve">PLUG PARA FITA</t>
  </si>
  <si>
    <t xml:space="preserve">85419090.</t>
  </si>
  <si>
    <t xml:space="preserve">OUTRAS PARTES DE DIODOS,TRANSISTORES,ETC.SEMICONDUTORES</t>
  </si>
  <si>
    <t xml:space="preserve">85419090</t>
  </si>
  <si>
    <t xml:space="preserve">1913</t>
  </si>
  <si>
    <t xml:space="preserve">EMBUTIDO LISSE</t>
  </si>
  <si>
    <t xml:space="preserve">1914</t>
  </si>
  <si>
    <t xml:space="preserve">SOQUETE TOMADINHA</t>
  </si>
  <si>
    <t xml:space="preserve">85366100</t>
  </si>
  <si>
    <t xml:space="preserve">1915</t>
  </si>
  <si>
    <t xml:space="preserve">PLACA  4 X 4 6 SECOES</t>
  </si>
  <si>
    <t xml:space="preserve">602</t>
  </si>
  <si>
    <t xml:space="preserve">R M C COMERCIO E REPRESENTACOES LTDA</t>
  </si>
  <si>
    <t xml:space="preserve">17/09/2021</t>
  </si>
  <si>
    <t xml:space="preserve">1916</t>
  </si>
  <si>
    <t xml:space="preserve">SUPORTE  4 X 4 6 SECOES</t>
  </si>
  <si>
    <t xml:space="preserve">1917</t>
  </si>
  <si>
    <t xml:space="preserve">DIMER ROT 127/220</t>
  </si>
  <si>
    <t xml:space="preserve">1918</t>
  </si>
  <si>
    <t xml:space="preserve">MODULO FISCAL</t>
  </si>
  <si>
    <t xml:space="preserve">C &amp; M DISTRIBUIDORA DE CARNES LTDA ME</t>
  </si>
  <si>
    <t xml:space="preserve">85437099</t>
  </si>
  <si>
    <t xml:space="preserve">1920</t>
  </si>
  <si>
    <t xml:space="preserve">BATERIA UINIPOWER</t>
  </si>
  <si>
    <t xml:space="preserve">616</t>
  </si>
  <si>
    <t xml:space="preserve">ELETRICA E ELETRONICA CONFIANCA LTDA</t>
  </si>
  <si>
    <t xml:space="preserve">85073011</t>
  </si>
  <si>
    <t xml:space="preserve">22/09/2021</t>
  </si>
  <si>
    <t xml:space="preserve">1921</t>
  </si>
  <si>
    <t xml:space="preserve">RO 212210 KIT P/1 PORTA DE CORRER</t>
  </si>
  <si>
    <t xml:space="preserve">1922</t>
  </si>
  <si>
    <t xml:space="preserve">BUCHA FIX</t>
  </si>
  <si>
    <t xml:space="preserve">1923</t>
  </si>
  <si>
    <t xml:space="preserve">TP 03 ALUM CEGA</t>
  </si>
  <si>
    <t xml:space="preserve">1924</t>
  </si>
  <si>
    <t xml:space="preserve">COSTELA MINGA DO CHEF CONG FRIBOI</t>
  </si>
  <si>
    <t xml:space="preserve">1925</t>
  </si>
  <si>
    <t xml:space="preserve">ILUS MOD INT SIMPLES</t>
  </si>
  <si>
    <t xml:space="preserve">1926</t>
  </si>
  <si>
    <t xml:space="preserve">FILME PVC</t>
  </si>
  <si>
    <t xml:space="preserve">MARIA DE FATIMA PEREIRA SILVA PLASTICOS</t>
  </si>
  <si>
    <t xml:space="preserve">23/09/2021</t>
  </si>
  <si>
    <t xml:space="preserve">1927</t>
  </si>
  <si>
    <t xml:space="preserve">MASSA CORRIDA</t>
  </si>
  <si>
    <t xml:space="preserve">1928</t>
  </si>
  <si>
    <t xml:space="preserve">CORALATEXR MTO LOC</t>
  </si>
  <si>
    <t xml:space="preserve">1929</t>
  </si>
  <si>
    <t xml:space="preserve">C S LARANJA/AMARELO/ PRETO</t>
  </si>
  <si>
    <t xml:space="preserve">L</t>
  </si>
  <si>
    <t xml:space="preserve">32041700.</t>
  </si>
  <si>
    <t xml:space="preserve">PIGMENTOS E PREPARACOES A BASE DESSES PIGMENTOS</t>
  </si>
  <si>
    <t xml:space="preserve">32041700</t>
  </si>
  <si>
    <t xml:space="preserve">1930</t>
  </si>
  <si>
    <t xml:space="preserve">BATERIA 100AH F30AGE</t>
  </si>
  <si>
    <t xml:space="preserve">85119000</t>
  </si>
  <si>
    <t xml:space="preserve">28/09/2021</t>
  </si>
  <si>
    <t xml:space="preserve">1931</t>
  </si>
  <si>
    <t xml:space="preserve">MEM DDR 3 8GB</t>
  </si>
  <si>
    <t xml:space="preserve">84733042.</t>
  </si>
  <si>
    <t xml:space="preserve">PLACAS (MODULOS) DE MEMORIA COM UMA SUPERFICIE INFERIOR OU I</t>
  </si>
  <si>
    <t xml:space="preserve">84733042</t>
  </si>
  <si>
    <t xml:space="preserve">1932</t>
  </si>
  <si>
    <t xml:space="preserve">TRILHO ALUMINIO</t>
  </si>
  <si>
    <t xml:space="preserve">29/09/2021</t>
  </si>
  <si>
    <t xml:space="preserve">1933</t>
  </si>
  <si>
    <t xml:space="preserve">KIT ROLDANA</t>
  </si>
  <si>
    <t xml:space="preserve">1934</t>
  </si>
  <si>
    <t xml:space="preserve">PARAFUSO 4,0X16 CHATA</t>
  </si>
  <si>
    <t xml:space="preserve">1935</t>
  </si>
  <si>
    <t xml:space="preserve">FECHADURA STAM</t>
  </si>
  <si>
    <t xml:space="preserve">1936</t>
  </si>
  <si>
    <t xml:space="preserve">LAPIS PARA CARPINTEIRO</t>
  </si>
  <si>
    <t xml:space="preserve">96091000</t>
  </si>
  <si>
    <t xml:space="preserve">1937</t>
  </si>
  <si>
    <t xml:space="preserve">ESPUMA EXPANSIVA</t>
  </si>
  <si>
    <t xml:space="preserve">39095019.</t>
  </si>
  <si>
    <t xml:space="preserve">39095019</t>
  </si>
  <si>
    <t xml:space="preserve">1938</t>
  </si>
  <si>
    <t xml:space="preserve">MASSA SAYERMASSA</t>
  </si>
  <si>
    <t xml:space="preserve">1939</t>
  </si>
  <si>
    <t xml:space="preserve">BUCHA GESSO</t>
  </si>
  <si>
    <t xml:space="preserve">1941</t>
  </si>
  <si>
    <t xml:space="preserve">CHAPA DE PERLA</t>
  </si>
  <si>
    <t xml:space="preserve">JB INDUSTRIAL MARMORE E GRANITO LTDA</t>
  </si>
  <si>
    <t xml:space="preserve">68029990.</t>
  </si>
  <si>
    <t xml:space="preserve">68029990</t>
  </si>
  <si>
    <t xml:space="preserve">1942</t>
  </si>
  <si>
    <t xml:space="preserve">CHAPA DE GRANITO</t>
  </si>
  <si>
    <t xml:space="preserve">1944</t>
  </si>
  <si>
    <t xml:space="preserve">CHAPA DE MARMORE</t>
  </si>
  <si>
    <t xml:space="preserve">1945</t>
  </si>
  <si>
    <t xml:space="preserve">CORACAO FRANGO CONG PERDIGÃO PCT 1 KG</t>
  </si>
  <si>
    <t xml:space="preserve">CX 16 KG</t>
  </si>
  <si>
    <t xml:space="preserve">02071433.</t>
  </si>
  <si>
    <t xml:space="preserve">CORAÇÕES</t>
  </si>
  <si>
    <t xml:space="preserve">2071433</t>
  </si>
  <si>
    <t xml:space="preserve">1946</t>
  </si>
  <si>
    <t xml:space="preserve">CHAPA BRUTA MARMORE</t>
  </si>
  <si>
    <t xml:space="preserve">25151210.</t>
  </si>
  <si>
    <t xml:space="preserve">MARMORES CORTADOS EM BLOCOS OU PLACAS</t>
  </si>
  <si>
    <t xml:space="preserve">25151210</t>
  </si>
  <si>
    <t xml:space="preserve">1947</t>
  </si>
  <si>
    <t xml:space="preserve">BACIA P.23.22 CONVENC</t>
  </si>
  <si>
    <t xml:space="preserve">30/09/2021</t>
  </si>
  <si>
    <t xml:space="preserve">1948</t>
  </si>
  <si>
    <t xml:space="preserve">EMBUTIDO  RECUADO</t>
  </si>
  <si>
    <t xml:space="preserve">94059200.</t>
  </si>
  <si>
    <t xml:space="preserve">PARTES P/APARELHOS DE ILUMINACAO,DE PLASTICOS</t>
  </si>
  <si>
    <t xml:space="preserve">94059200</t>
  </si>
  <si>
    <t xml:space="preserve">1949</t>
  </si>
  <si>
    <t xml:space="preserve">CLIPE DE MOLA</t>
  </si>
  <si>
    <t xml:space="preserve">1950</t>
  </si>
  <si>
    <t xml:space="preserve">PERFIL EMB R2 2MT 25MM BRANCO</t>
  </si>
  <si>
    <t xml:space="preserve">1951</t>
  </si>
  <si>
    <t xml:space="preserve">MOLA PARA PERFIL</t>
  </si>
  <si>
    <t xml:space="preserve">1952</t>
  </si>
  <si>
    <t xml:space="preserve">LAMPADA LED TUBULAR</t>
  </si>
  <si>
    <t xml:space="preserve">1953</t>
  </si>
  <si>
    <t xml:space="preserve">FITA RIGIDA</t>
  </si>
  <si>
    <t xml:space="preserve">1955</t>
  </si>
  <si>
    <t xml:space="preserve">FRALDAO BOV CONG MARFRIG</t>
  </si>
  <si>
    <t xml:space="preserve">1958</t>
  </si>
  <si>
    <t xml:space="preserve">CORACAO DA ALCATRA CONG MARFRIG</t>
  </si>
  <si>
    <t xml:space="preserve">1959</t>
  </si>
  <si>
    <t xml:space="preserve">FRALDAO BOV CONG MARFRIG STEAKHOUSE</t>
  </si>
  <si>
    <t xml:space="preserve">152</t>
  </si>
  <si>
    <t xml:space="preserve">LINHA STEAKHOUSE</t>
  </si>
  <si>
    <t xml:space="preserve">CX  +/- 15KG</t>
  </si>
  <si>
    <t xml:space="preserve">1960</t>
  </si>
  <si>
    <t xml:space="preserve">LAGARTO BOV CONG MARFRIG</t>
  </si>
  <si>
    <t xml:space="preserve">1961</t>
  </si>
  <si>
    <t xml:space="preserve">MANGUEIRA RADIADOR ACCELO 815</t>
  </si>
  <si>
    <t xml:space="preserve">40091100.</t>
  </si>
  <si>
    <t xml:space="preserve">40091100</t>
  </si>
  <si>
    <t xml:space="preserve">01/10/2021</t>
  </si>
  <si>
    <t xml:space="preserve">1963</t>
  </si>
  <si>
    <t xml:space="preserve">COSTELA SUINA CONG COOPAVEL</t>
  </si>
  <si>
    <t xml:space="preserve">COOPAVEL COOPERATIVA AGROINDUSTRIAL</t>
  </si>
  <si>
    <t xml:space="preserve">06/10/2021</t>
  </si>
  <si>
    <t xml:space="preserve">1966</t>
  </si>
  <si>
    <t xml:space="preserve">PERNIL SUINO S/OSSO CONG COOPAVEL</t>
  </si>
  <si>
    <t xml:space="preserve">1971</t>
  </si>
  <si>
    <t xml:space="preserve">FECH EXT PORTA MBB 709/909</t>
  </si>
  <si>
    <t xml:space="preserve">ST</t>
  </si>
  <si>
    <t xml:space="preserve">83012000.</t>
  </si>
  <si>
    <t xml:space="preserve">FECHADURAS DOS TIPOS UTILIZADOS EM VEICULOS AUTOMOVEIS</t>
  </si>
  <si>
    <t xml:space="preserve">83012000</t>
  </si>
  <si>
    <t xml:space="preserve">19/10/2021</t>
  </si>
  <si>
    <t xml:space="preserve">1972</t>
  </si>
  <si>
    <t xml:space="preserve">LINGUIÇA CALABRESA RETA SADIA 2,5 KG</t>
  </si>
  <si>
    <t xml:space="preserve">1974</t>
  </si>
  <si>
    <t xml:space="preserve">LOMBINHO BOV CONG FRIGORIFICO PANTANAL</t>
  </si>
  <si>
    <t xml:space="preserve">22/10/2021</t>
  </si>
  <si>
    <t xml:space="preserve">1977</t>
  </si>
  <si>
    <t xml:space="preserve">MASSA ACRILICA</t>
  </si>
  <si>
    <t xml:space="preserve">25/10/2021</t>
  </si>
  <si>
    <t xml:space="preserve">1978</t>
  </si>
  <si>
    <t xml:space="preserve">LIXA MASSA</t>
  </si>
  <si>
    <t xml:space="preserve">1979</t>
  </si>
  <si>
    <t xml:space="preserve">CORALIT TOTAL</t>
  </si>
  <si>
    <t xml:space="preserve">1981</t>
  </si>
  <si>
    <t xml:space="preserve">CUPIM GRILL MONTANA CONG STEAKHOUSE</t>
  </si>
  <si>
    <t xml:space="preserve">28/10/2021</t>
  </si>
  <si>
    <t xml:space="preserve">1982</t>
  </si>
  <si>
    <t xml:space="preserve">FILE MIGNON MONTANA CONG STEAKHOUSE</t>
  </si>
  <si>
    <t xml:space="preserve">1983</t>
  </si>
  <si>
    <t xml:space="preserve">PALETA C/ MUSCULO CONG MARFRIG</t>
  </si>
  <si>
    <t xml:space="preserve">PALETA C/ MUSCULO</t>
  </si>
  <si>
    <t xml:space="preserve">1984</t>
  </si>
  <si>
    <t xml:space="preserve">ALCATRA C/ PICANHA MARFRIG STEAKHOUSE</t>
  </si>
  <si>
    <t xml:space="preserve">1985</t>
  </si>
  <si>
    <t xml:space="preserve">PEDRA SANITARIA</t>
  </si>
  <si>
    <t xml:space="preserve">UNIVERSAL DISTRIBUIDORA DE PRODUTOS DE HIGIENE E LIMPEZA LTD</t>
  </si>
  <si>
    <t xml:space="preserve">1986</t>
  </si>
  <si>
    <t xml:space="preserve">FIBRA BETACO</t>
  </si>
  <si>
    <t xml:space="preserve">1987</t>
  </si>
  <si>
    <t xml:space="preserve">VASELINA LIQUIDA</t>
  </si>
  <si>
    <t xml:space="preserve">33059000.</t>
  </si>
  <si>
    <t xml:space="preserve">33059000</t>
  </si>
  <si>
    <t xml:space="preserve">1988</t>
  </si>
  <si>
    <t xml:space="preserve">ODORORIZADOR ULTRA FRESH</t>
  </si>
  <si>
    <t xml:space="preserve">1989</t>
  </si>
  <si>
    <t xml:space="preserve">BOBINA CINCALUMI</t>
  </si>
  <si>
    <t xml:space="preserve">J3 METALURGICA E SERVICOS LTDA</t>
  </si>
  <si>
    <t xml:space="preserve">76061190</t>
  </si>
  <si>
    <t xml:space="preserve">29/10/2021</t>
  </si>
  <si>
    <t xml:space="preserve">1990</t>
  </si>
  <si>
    <t xml:space="preserve">DESCIDA DE ALUMINIO</t>
  </si>
  <si>
    <t xml:space="preserve">76129019.</t>
  </si>
  <si>
    <t xml:space="preserve">76129019</t>
  </si>
  <si>
    <t xml:space="preserve">1991</t>
  </si>
  <si>
    <t xml:space="preserve">QUARTZ SELANTE</t>
  </si>
  <si>
    <t xml:space="preserve">32141010</t>
  </si>
  <si>
    <t xml:space="preserve">1992</t>
  </si>
  <si>
    <t xml:space="preserve">FUNDO P/ GALVANIZADO</t>
  </si>
  <si>
    <t xml:space="preserve">1993</t>
  </si>
  <si>
    <t xml:space="preserve">APLICADOR TUBO</t>
  </si>
  <si>
    <t xml:space="preserve">01/11/2021</t>
  </si>
  <si>
    <t xml:space="preserve">1994</t>
  </si>
  <si>
    <t xml:space="preserve">SACHE PU PROF</t>
  </si>
  <si>
    <t xml:space="preserve">1995</t>
  </si>
  <si>
    <t xml:space="preserve">DECORA SEDA</t>
  </si>
  <si>
    <t xml:space="preserve">2002</t>
  </si>
  <si>
    <t xml:space="preserve">LINGUICA TOSCANA APIMENTADA 600G MIRANDA</t>
  </si>
  <si>
    <t xml:space="preserve">630</t>
  </si>
  <si>
    <t xml:space="preserve">V. C. DE MIRANDA - ALIMENTOS ESPECIAIS</t>
  </si>
  <si>
    <t xml:space="preserve">2007</t>
  </si>
  <si>
    <t xml:space="preserve">MAMINHA DA ALCATRA CONG FRIBOI 1953</t>
  </si>
  <si>
    <t xml:space="preserve">BOVINOS JBS - MARCAS</t>
  </si>
  <si>
    <t xml:space="preserve">150</t>
  </si>
  <si>
    <t xml:space="preserve">LINHA 1953</t>
  </si>
  <si>
    <t xml:space="preserve">26/11/2021</t>
  </si>
  <si>
    <t xml:space="preserve">2008</t>
  </si>
  <si>
    <t xml:space="preserve">DUREPOXI</t>
  </si>
  <si>
    <t xml:space="preserve">2009</t>
  </si>
  <si>
    <t xml:space="preserve">MOELA FRANGO CONG PERDIGAO</t>
  </si>
  <si>
    <t xml:space="preserve">66</t>
  </si>
  <si>
    <t xml:space="preserve">MOELA</t>
  </si>
  <si>
    <t xml:space="preserve">02071210.</t>
  </si>
  <si>
    <t xml:space="preserve">CARNES E MIUDEZAS, COMESTÍVEIS - CARNES E MIUDEZAS, COMESTÍVEIS, FRESCAS, REFRIGERADAS OU CONGELADAS, DAS AVES DA POSIÇÃO DE GALOS OU DE GALINHAS: - COM MIUDEZAS</t>
  </si>
  <si>
    <t xml:space="preserve">2071210</t>
  </si>
  <si>
    <t xml:space="preserve">30/11/2021</t>
  </si>
  <si>
    <t xml:space="preserve">2010</t>
  </si>
  <si>
    <t xml:space="preserve">CHIP PLANO</t>
  </si>
  <si>
    <t xml:space="preserve">TIM S/A</t>
  </si>
  <si>
    <t xml:space="preserve">2011</t>
  </si>
  <si>
    <t xml:space="preserve">CESTA SUCESSO AVE SUPREME C/ 2 KITS</t>
  </si>
  <si>
    <t xml:space="preserve">154479</t>
  </si>
  <si>
    <t xml:space="preserve">2012</t>
  </si>
  <si>
    <t xml:space="preserve">BOIA TANQUE</t>
  </si>
  <si>
    <t xml:space="preserve">2015</t>
  </si>
  <si>
    <t xml:space="preserve">BALDE SANFONA</t>
  </si>
  <si>
    <t xml:space="preserve">07/12/2021</t>
  </si>
  <si>
    <t xml:space="preserve">2016</t>
  </si>
  <si>
    <t xml:space="preserve">RESTAURADOR DE VIDROS</t>
  </si>
  <si>
    <t xml:space="preserve">34021140.</t>
  </si>
  <si>
    <t xml:space="preserve">MISTURAS DE ACIDOS ALQUILBENZENOSSULFONICOS</t>
  </si>
  <si>
    <t xml:space="preserve">34021140</t>
  </si>
  <si>
    <t xml:space="preserve">2017</t>
  </si>
  <si>
    <t xml:space="preserve">COXAO DURO RESF FRIG PANTANAL</t>
  </si>
  <si>
    <t xml:space="preserve">10/12/2021</t>
  </si>
  <si>
    <t xml:space="preserve">2018</t>
  </si>
  <si>
    <t xml:space="preserve">PRESUNTO SUINO S/GORD PEPERI</t>
  </si>
  <si>
    <t xml:space="preserve">CX 7 KG</t>
  </si>
  <si>
    <t xml:space="preserve">16024900</t>
  </si>
  <si>
    <t xml:space="preserve">17/12/2021</t>
  </si>
  <si>
    <t xml:space="preserve">2019</t>
  </si>
  <si>
    <t xml:space="preserve">APARELHO PRESSAO DIG</t>
  </si>
  <si>
    <t xml:space="preserve">SHOPPING PROHOSPITAL MATERIAL MEDICO E HOSPITALAR LTDA</t>
  </si>
  <si>
    <t xml:space="preserve">90189099.</t>
  </si>
  <si>
    <t xml:space="preserve">OUTROS INSTRUMENTOS E APARELHOS P/MEDICINA,CIRURGIA,ETC</t>
  </si>
  <si>
    <t xml:space="preserve">90189099</t>
  </si>
  <si>
    <t xml:space="preserve">30/12/2021</t>
  </si>
  <si>
    <t xml:space="preserve">2020</t>
  </si>
  <si>
    <t xml:space="preserve">CAMPAINHA</t>
  </si>
  <si>
    <t xml:space="preserve">85311090.</t>
  </si>
  <si>
    <t xml:space="preserve">85311090</t>
  </si>
  <si>
    <t xml:space="preserve">2021</t>
  </si>
  <si>
    <t xml:space="preserve">KIT CAR CONVENI</t>
  </si>
  <si>
    <t xml:space="preserve">39100090.</t>
  </si>
  <si>
    <t xml:space="preserve">39100090</t>
  </si>
  <si>
    <t xml:space="preserve">10/01/2022</t>
  </si>
  <si>
    <t xml:space="preserve">2022</t>
  </si>
  <si>
    <t xml:space="preserve">LIMPA BICO</t>
  </si>
  <si>
    <t xml:space="preserve">2023</t>
  </si>
  <si>
    <t xml:space="preserve">LIMPEZA INTERNA MOTOR</t>
  </si>
  <si>
    <t xml:space="preserve">2025</t>
  </si>
  <si>
    <t xml:space="preserve">QUEBRA SOL</t>
  </si>
  <si>
    <t xml:space="preserve">2026</t>
  </si>
  <si>
    <t xml:space="preserve">ARANDELA WALL</t>
  </si>
  <si>
    <t xml:space="preserve">11/01/2022</t>
  </si>
  <si>
    <t xml:space="preserve">2027</t>
  </si>
  <si>
    <t xml:space="preserve">MINI BALIZADOR</t>
  </si>
  <si>
    <t xml:space="preserve">2030</t>
  </si>
  <si>
    <t xml:space="preserve">FUSIVEL</t>
  </si>
  <si>
    <t xml:space="preserve">85351000.</t>
  </si>
  <si>
    <t xml:space="preserve">FUSIVEIS E CORTACIRCUITOS DE FUSIVEIS</t>
  </si>
  <si>
    <t xml:space="preserve">85351000</t>
  </si>
  <si>
    <t xml:space="preserve">13/01/2022</t>
  </si>
  <si>
    <t xml:space="preserve">2032</t>
  </si>
  <si>
    <t xml:space="preserve">EIXO TRANSPORTE</t>
  </si>
  <si>
    <t xml:space="preserve">84431310.</t>
  </si>
  <si>
    <t xml:space="preserve">PARA IMPRESSAO MULTICOLOR DE RECIPIENTES DE MATERIAS PLASTIC</t>
  </si>
  <si>
    <t xml:space="preserve">84431310</t>
  </si>
  <si>
    <t xml:space="preserve">19/01/2022</t>
  </si>
  <si>
    <t xml:space="preserve">2033</t>
  </si>
  <si>
    <t xml:space="preserve">MANOPLA</t>
  </si>
  <si>
    <t xml:space="preserve">2034</t>
  </si>
  <si>
    <t xml:space="preserve">MOLDURA TRASEIR</t>
  </si>
  <si>
    <t xml:space="preserve">2035</t>
  </si>
  <si>
    <t xml:space="preserve">PENDENTE FINY</t>
  </si>
  <si>
    <t xml:space="preserve">2039</t>
  </si>
  <si>
    <t xml:space="preserve">FILE DE PEITO FRANGO CONG INDV SADIA</t>
  </si>
  <si>
    <t xml:space="preserve">20/01/2022</t>
  </si>
  <si>
    <t xml:space="preserve">2040</t>
  </si>
  <si>
    <t xml:space="preserve">CERVEJA</t>
  </si>
  <si>
    <t xml:space="preserve">FELIPE DE CASTRO LIMA</t>
  </si>
  <si>
    <t xml:space="preserve">22030000.</t>
  </si>
  <si>
    <t xml:space="preserve">CERVEJAS DE MALTE</t>
  </si>
  <si>
    <t xml:space="preserve">22030000</t>
  </si>
  <si>
    <t xml:space="preserve">24/01/2022</t>
  </si>
  <si>
    <t xml:space="preserve">2041</t>
  </si>
  <si>
    <t xml:space="preserve">FILE DE PEITO INDIVIDUAL GUIBOM</t>
  </si>
  <si>
    <t xml:space="preserve">662</t>
  </si>
  <si>
    <t xml:space="preserve">AVENORTE AVICOLA CIANORTE LTDA</t>
  </si>
  <si>
    <t xml:space="preserve">25/01/2022</t>
  </si>
  <si>
    <t xml:space="preserve">2042</t>
  </si>
  <si>
    <t xml:space="preserve">COXINHA DA ASA INDIVIDU CONG GUIBOM</t>
  </si>
  <si>
    <t xml:space="preserve">COXINHA DA ASA</t>
  </si>
  <si>
    <t xml:space="preserve">2044</t>
  </si>
  <si>
    <t xml:space="preserve">CORACAO FRANGO CONG GUIBOM</t>
  </si>
  <si>
    <t xml:space="preserve">2045</t>
  </si>
  <si>
    <t xml:space="preserve">PERNIL SUINO C/OSSO CONG COOPAVEL</t>
  </si>
  <si>
    <t xml:space="preserve">2032200</t>
  </si>
  <si>
    <t xml:space="preserve">2047</t>
  </si>
  <si>
    <t xml:space="preserve">CONTRA FILE RESF LKJ</t>
  </si>
  <si>
    <t xml:space="preserve">26/01/2022</t>
  </si>
  <si>
    <t xml:space="preserve">2048</t>
  </si>
  <si>
    <t xml:space="preserve">PICANHA RESF LKJ</t>
  </si>
  <si>
    <t xml:space="preserve">77</t>
  </si>
  <si>
    <t xml:space="preserve">2050</t>
  </si>
  <si>
    <t xml:space="preserve">ESMERI IND GWS BOSCH</t>
  </si>
  <si>
    <t xml:space="preserve">28/01/2022</t>
  </si>
  <si>
    <t xml:space="preserve">2052</t>
  </si>
  <si>
    <t xml:space="preserve">LED PENDENTE HASTA RECTA</t>
  </si>
  <si>
    <t xml:space="preserve">02/02/2022</t>
  </si>
  <si>
    <t xml:space="preserve">2053</t>
  </si>
  <si>
    <t xml:space="preserve">SIRENE SONORA</t>
  </si>
  <si>
    <t xml:space="preserve">85123000.</t>
  </si>
  <si>
    <t xml:space="preserve">APARELHOS DE SINALIZACAO ACUSTICA</t>
  </si>
  <si>
    <t xml:space="preserve">85123000</t>
  </si>
  <si>
    <t xml:space="preserve">2054</t>
  </si>
  <si>
    <t xml:space="preserve">CAPA PLASTICA</t>
  </si>
  <si>
    <t xml:space="preserve">2057</t>
  </si>
  <si>
    <t xml:space="preserve">PASTA SUSPENSA</t>
  </si>
  <si>
    <t xml:space="preserve">48209000.</t>
  </si>
  <si>
    <t xml:space="preserve">48209000</t>
  </si>
  <si>
    <t xml:space="preserve">08/02/2022</t>
  </si>
  <si>
    <t xml:space="preserve">2058</t>
  </si>
  <si>
    <t xml:space="preserve">ESCOVA PLASTICA</t>
  </si>
  <si>
    <t xml:space="preserve">96031000</t>
  </si>
  <si>
    <t xml:space="preserve">2059</t>
  </si>
  <si>
    <t xml:space="preserve">PASTA SANITARIA</t>
  </si>
  <si>
    <t xml:space="preserve">39261000</t>
  </si>
  <si>
    <t xml:space="preserve">2061</t>
  </si>
  <si>
    <t xml:space="preserve">NV CARV HANOVE</t>
  </si>
  <si>
    <t xml:space="preserve">10/02/2022</t>
  </si>
  <si>
    <t xml:space="preserve">2062</t>
  </si>
  <si>
    <t xml:space="preserve">RODAPE FB11</t>
  </si>
  <si>
    <t xml:space="preserve">2064</t>
  </si>
  <si>
    <t xml:space="preserve">PICANHA ARGENTINA RAFAELA TIPO A P</t>
  </si>
  <si>
    <t xml:space="preserve">18/02/2022</t>
  </si>
  <si>
    <t xml:space="preserve">2066</t>
  </si>
  <si>
    <t xml:space="preserve">BORRACHA IMPRESSORA</t>
  </si>
  <si>
    <t xml:space="preserve">82122010.</t>
  </si>
  <si>
    <t xml:space="preserve">LAMINAS</t>
  </si>
  <si>
    <t xml:space="preserve">82122010</t>
  </si>
  <si>
    <t xml:space="preserve">21/02/2022</t>
  </si>
  <si>
    <t xml:space="preserve">2067</t>
  </si>
  <si>
    <t xml:space="preserve">PALETA SUINA C/OSSO C/PELE CONG COOPAVEL</t>
  </si>
  <si>
    <t xml:space="preserve">PALETA SUINA</t>
  </si>
  <si>
    <t xml:space="preserve">22/02/2022</t>
  </si>
  <si>
    <t xml:space="preserve">2071</t>
  </si>
  <si>
    <t xml:space="preserve">BIFE ANCHO CONG BASSI</t>
  </si>
  <si>
    <t xml:space="preserve">03/03/2022</t>
  </si>
  <si>
    <t xml:space="preserve">2072</t>
  </si>
  <si>
    <t xml:space="preserve">BIFE DE CHORIZO CONG BASSI</t>
  </si>
  <si>
    <t xml:space="preserve">2073</t>
  </si>
  <si>
    <t xml:space="preserve">PICANHA BASSI CONG MARFRIG</t>
  </si>
  <si>
    <t xml:space="preserve">2074</t>
  </si>
  <si>
    <t xml:space="preserve">MOELA DE FRANGO CONG GUIBOM</t>
  </si>
  <si>
    <t xml:space="preserve">09/03/2022</t>
  </si>
  <si>
    <t xml:space="preserve">2075</t>
  </si>
  <si>
    <t xml:space="preserve">FIXA TUDO</t>
  </si>
  <si>
    <t xml:space="preserve">10/03/2022</t>
  </si>
  <si>
    <t xml:space="preserve">2076</t>
  </si>
  <si>
    <t xml:space="preserve">CUPILHA</t>
  </si>
  <si>
    <t xml:space="preserve">11/03/2022</t>
  </si>
  <si>
    <t xml:space="preserve">2077</t>
  </si>
  <si>
    <t xml:space="preserve">FIGADO BOV CONG MASTERBOI</t>
  </si>
  <si>
    <t xml:space="preserve">14/03/2022</t>
  </si>
  <si>
    <t xml:space="preserve">2079</t>
  </si>
  <si>
    <t xml:space="preserve">ACEM BOV CONG MASTERBOI</t>
  </si>
  <si>
    <t xml:space="preserve">CX+/-20 KG</t>
  </si>
  <si>
    <t xml:space="preserve">2080</t>
  </si>
  <si>
    <t xml:space="preserve">SOBRECOXA DE FRANGO BDJ CONG SADIA</t>
  </si>
  <si>
    <t xml:space="preserve">37</t>
  </si>
  <si>
    <t xml:space="preserve">SOBRECOXA</t>
  </si>
  <si>
    <t xml:space="preserve">15/03/2022</t>
  </si>
  <si>
    <t xml:space="preserve">2082</t>
  </si>
  <si>
    <t xml:space="preserve">FRANGO CONG BONASA C/07 UND 20 KG</t>
  </si>
  <si>
    <t xml:space="preserve">FRANGO</t>
  </si>
  <si>
    <t xml:space="preserve">21/03/2022</t>
  </si>
  <si>
    <t xml:space="preserve">2083</t>
  </si>
  <si>
    <t xml:space="preserve">CABECOTE FILTRO COMBUSTIVEL</t>
  </si>
  <si>
    <t xml:space="preserve">GLOBAL DIESEL LTDA EPP</t>
  </si>
  <si>
    <t xml:space="preserve">84133010.</t>
  </si>
  <si>
    <t xml:space="preserve">PARA GASOLINA OU ALCOOL</t>
  </si>
  <si>
    <t xml:space="preserve">84133010</t>
  </si>
  <si>
    <t xml:space="preserve">22/03/2022</t>
  </si>
  <si>
    <t xml:space="preserve">2084</t>
  </si>
  <si>
    <t xml:space="preserve">SOLLAN PL</t>
  </si>
  <si>
    <t xml:space="preserve">30/03/2022</t>
  </si>
  <si>
    <t xml:space="preserve">2085</t>
  </si>
  <si>
    <t xml:space="preserve">ARMACAO MOP</t>
  </si>
  <si>
    <t xml:space="preserve">31/03/2022</t>
  </si>
  <si>
    <t xml:space="preserve">2086</t>
  </si>
  <si>
    <t xml:space="preserve">MOP PO PONTA</t>
  </si>
  <si>
    <t xml:space="preserve">2087</t>
  </si>
  <si>
    <t xml:space="preserve">AMACIANTE</t>
  </si>
  <si>
    <t xml:space="preserve">38099190.</t>
  </si>
  <si>
    <t xml:space="preserve">38099190</t>
  </si>
  <si>
    <t xml:space="preserve">2088</t>
  </si>
  <si>
    <t xml:space="preserve">DESENTUPIDOR P/VASO</t>
  </si>
  <si>
    <t xml:space="preserve">678</t>
  </si>
  <si>
    <t xml:space="preserve">P W COMERCIO DE MATERIAIS DE CONSTRUÇÕES LTDA ME</t>
  </si>
  <si>
    <t xml:space="preserve">2089</t>
  </si>
  <si>
    <t xml:space="preserve">VASS JD PRAT</t>
  </si>
  <si>
    <t xml:space="preserve">621</t>
  </si>
  <si>
    <t xml:space="preserve">J. E. DE ARAUJO FERRAGENS</t>
  </si>
  <si>
    <t xml:space="preserve">01/04/2022</t>
  </si>
  <si>
    <t xml:space="preserve">2091</t>
  </si>
  <si>
    <t xml:space="preserve">ORGANIZADOR</t>
  </si>
  <si>
    <t xml:space="preserve">06/04/2022</t>
  </si>
  <si>
    <t xml:space="preserve">2092</t>
  </si>
  <si>
    <t xml:space="preserve">CARNE INDUSTRIAL CONG FRIG PANTANAL</t>
  </si>
  <si>
    <t xml:space="preserve">07/04/2022</t>
  </si>
  <si>
    <t xml:space="preserve">2093</t>
  </si>
  <si>
    <t xml:space="preserve">RABO BOV CONG FRIGORIFICO PANTANAL</t>
  </si>
  <si>
    <t xml:space="preserve">02062910.</t>
  </si>
  <si>
    <t xml:space="preserve">RABOS DE BOVINO,CONGELADOS</t>
  </si>
  <si>
    <t xml:space="preserve">2062910</t>
  </si>
  <si>
    <t xml:space="preserve">2094</t>
  </si>
  <si>
    <t xml:space="preserve">CJ CONTATO VELOC</t>
  </si>
  <si>
    <t xml:space="preserve">90299010</t>
  </si>
  <si>
    <t xml:space="preserve">08/04/2022</t>
  </si>
  <si>
    <t xml:space="preserve">2095</t>
  </si>
  <si>
    <t xml:space="preserve">POLTRONA MARCELA</t>
  </si>
  <si>
    <t xml:space="preserve">DPC COMERCIO VAREJISTA LTDA</t>
  </si>
  <si>
    <t xml:space="preserve">94017900.</t>
  </si>
  <si>
    <t xml:space="preserve">OUTROS ASSENTOS C/ARMACAO DE METAL</t>
  </si>
  <si>
    <t xml:space="preserve">94017900</t>
  </si>
  <si>
    <t xml:space="preserve">2097</t>
  </si>
  <si>
    <t xml:space="preserve">ASA POLIET CONG BONASA 20KG</t>
  </si>
  <si>
    <t xml:space="preserve">ASA FRANGO</t>
  </si>
  <si>
    <t xml:space="preserve">2098</t>
  </si>
  <si>
    <t xml:space="preserve">FIGADO FRANGO CONG BONASA BDJ 12 KG</t>
  </si>
  <si>
    <t xml:space="preserve">FIGADO ( AVES )</t>
  </si>
  <si>
    <t xml:space="preserve">2099</t>
  </si>
  <si>
    <t xml:space="preserve">CORACAO FRANGO CONG BONASA BDJ 12 KG</t>
  </si>
  <si>
    <t xml:space="preserve">2100</t>
  </si>
  <si>
    <t xml:space="preserve">FRG IND EMPAN STEAK NOBRE</t>
  </si>
  <si>
    <t xml:space="preserve">16023230.</t>
  </si>
  <si>
    <t xml:space="preserve">OUTRAS PREP DE GALOS E GALINHAS COM CONTEÚDO DE CARNE OU DE MIUDEZAS</t>
  </si>
  <si>
    <t xml:space="preserve">16023230</t>
  </si>
  <si>
    <t xml:space="preserve">2102</t>
  </si>
  <si>
    <t xml:space="preserve">CAP SISAL LISO</t>
  </si>
  <si>
    <t xml:space="preserve">63080000.</t>
  </si>
  <si>
    <t xml:space="preserve">SORTIDOS CONSTITUIDOS DE CORTES DE TECIDO E FIOS, MESMO COM</t>
  </si>
  <si>
    <t xml:space="preserve">63080000</t>
  </si>
  <si>
    <t xml:space="preserve">20/04/2022</t>
  </si>
  <si>
    <t xml:space="preserve">2103</t>
  </si>
  <si>
    <t xml:space="preserve">CARR P/ CARGA PLAT</t>
  </si>
  <si>
    <t xml:space="preserve">2104</t>
  </si>
  <si>
    <t xml:space="preserve">PORTA OBJETO</t>
  </si>
  <si>
    <t xml:space="preserve">70139900.</t>
  </si>
  <si>
    <t xml:space="preserve">70139900</t>
  </si>
  <si>
    <t xml:space="preserve">2106</t>
  </si>
  <si>
    <t xml:space="preserve">LINGUICA CALABRESA RESF CARRER 15KG</t>
  </si>
  <si>
    <t xml:space="preserve">CARRER ALIMENTOS LTDA</t>
  </si>
  <si>
    <t xml:space="preserve">2107</t>
  </si>
  <si>
    <t xml:space="preserve">FILEZINHO FRANGO CONG AURORA</t>
  </si>
  <si>
    <t xml:space="preserve">FILEZINHO</t>
  </si>
  <si>
    <t xml:space="preserve">22/04/2022</t>
  </si>
  <si>
    <t xml:space="preserve">2108</t>
  </si>
  <si>
    <t xml:space="preserve">MICROSAVER 2.0 TRAVA COM CADEADO</t>
  </si>
  <si>
    <t xml:space="preserve">2110</t>
  </si>
  <si>
    <t xml:space="preserve">CAMINHAO ATEGO 1419 CABINE</t>
  </si>
  <si>
    <t xml:space="preserve">87042210</t>
  </si>
  <si>
    <t xml:space="preserve">28/04/2022</t>
  </si>
  <si>
    <t xml:space="preserve">2111</t>
  </si>
  <si>
    <t xml:space="preserve">COMPLEMENTO DA</t>
  </si>
  <si>
    <t xml:space="preserve">29/04/2022</t>
  </si>
  <si>
    <t xml:space="preserve">2112</t>
  </si>
  <si>
    <t xml:space="preserve">AP MARROM FOSCO</t>
  </si>
  <si>
    <t xml:space="preserve">03/05/2022</t>
  </si>
  <si>
    <t xml:space="preserve">2113</t>
  </si>
  <si>
    <t xml:space="preserve">MEDIDOR COMBUSTIVEL</t>
  </si>
  <si>
    <t xml:space="preserve">690</t>
  </si>
  <si>
    <t xml:space="preserve">NEWLAND VEICULOS LTDA</t>
  </si>
  <si>
    <t xml:space="preserve">04/05/2022</t>
  </si>
  <si>
    <t xml:space="preserve">2114</t>
  </si>
  <si>
    <t xml:space="preserve">PARALAMA DIANTEIRO</t>
  </si>
  <si>
    <t xml:space="preserve">84849000.</t>
  </si>
  <si>
    <t xml:space="preserve">84849000</t>
  </si>
  <si>
    <t xml:space="preserve">05/05/2022</t>
  </si>
  <si>
    <t xml:space="preserve">2115</t>
  </si>
  <si>
    <t xml:space="preserve">CHAVE DE LUZ</t>
  </si>
  <si>
    <t xml:space="preserve">40114000.</t>
  </si>
  <si>
    <t xml:space="preserve">DOS TIPOS UTILIZADOS EM MOTOCICLETAS</t>
  </si>
  <si>
    <t xml:space="preserve">40114000</t>
  </si>
  <si>
    <t xml:space="preserve">2116</t>
  </si>
  <si>
    <t xml:space="preserve">PAR DE BORRACHA ESTRIBO</t>
  </si>
  <si>
    <t xml:space="preserve">2117</t>
  </si>
  <si>
    <t xml:space="preserve">MAMINHA URUGUAYA ANA PAULA ANGUS CONG</t>
  </si>
  <si>
    <t xml:space="preserve">09/05/2022</t>
  </si>
  <si>
    <t xml:space="preserve">2118</t>
  </si>
  <si>
    <t xml:space="preserve">MAMINHA CONG ESTANCIA 92</t>
  </si>
  <si>
    <t xml:space="preserve">2119</t>
  </si>
  <si>
    <t xml:space="preserve">PICANHA ANA PAULA ANGUS 1,5 KG ACIMA</t>
  </si>
  <si>
    <t xml:space="preserve">2120</t>
  </si>
  <si>
    <t xml:space="preserve">COXA SOBRECOXA INDV CONG AURORA 17 KG</t>
  </si>
  <si>
    <t xml:space="preserve">CX 17 KG</t>
  </si>
  <si>
    <t xml:space="preserve">11/05/2022</t>
  </si>
  <si>
    <t xml:space="preserve">2122</t>
  </si>
  <si>
    <t xml:space="preserve">COSTELA SUINA C/OSSO CONG FRIGOESTRELA</t>
  </si>
  <si>
    <t xml:space="preserve">691</t>
  </si>
  <si>
    <t xml:space="preserve">FRIGOESTRELA S/A</t>
  </si>
  <si>
    <t xml:space="preserve">20/05/2022</t>
  </si>
  <si>
    <t xml:space="preserve">2123</t>
  </si>
  <si>
    <t xml:space="preserve">SALSICHA HOT DOG CONG FRIGOESTRELA 15KG</t>
  </si>
  <si>
    <t xml:space="preserve">2124</t>
  </si>
  <si>
    <t xml:space="preserve">2500 CX PN AF CX DSC</t>
  </si>
  <si>
    <t xml:space="preserve">24/05/2022</t>
  </si>
  <si>
    <t xml:space="preserve">2125</t>
  </si>
  <si>
    <t xml:space="preserve">4900 C HQD DUO ACB H QUADRA</t>
  </si>
  <si>
    <t xml:space="preserve">2126</t>
  </si>
  <si>
    <t xml:space="preserve">UNIDADE CAPACITOR</t>
  </si>
  <si>
    <t xml:space="preserve">85321000.</t>
  </si>
  <si>
    <t xml:space="preserve">CONDENSADORES FIXOS CONCEBIDOS PARA LINHAS ELETRICAS DE 50/6</t>
  </si>
  <si>
    <t xml:space="preserve">85321000</t>
  </si>
  <si>
    <t xml:space="preserve">2127</t>
  </si>
  <si>
    <t xml:space="preserve">COXA S/COXA IN NATURA CONG AVE NOVA 20KG</t>
  </si>
  <si>
    <t xml:space="preserve">693</t>
  </si>
  <si>
    <t xml:space="preserve">GRANJA BRASILIA AGROINDUSTRIAL AVICOLA LTDA</t>
  </si>
  <si>
    <t xml:space="preserve">7,89891E+12</t>
  </si>
  <si>
    <t xml:space="preserve">27/05/2022</t>
  </si>
  <si>
    <t xml:space="preserve">2128</t>
  </si>
  <si>
    <t xml:space="preserve">MADEIRITE PLASTIFICADO</t>
  </si>
  <si>
    <t xml:space="preserve">RONALD DAVID TAVEIRA DE LIMA</t>
  </si>
  <si>
    <t xml:space="preserve">2129</t>
  </si>
  <si>
    <t xml:space="preserve">FURGAO ISOT FRIG S/CHASSI MOD</t>
  </si>
  <si>
    <t xml:space="preserve">INDUSTRIA DE CARROCERIAS METALICAS IBIPORA LTDA</t>
  </si>
  <si>
    <t xml:space="preserve">87042230.</t>
  </si>
  <si>
    <t xml:space="preserve">VEIC.AUTOMOV.FRIGORIF.ETC.C/MOTOR DIESEL,5T&lt;CARGA&lt;=20T</t>
  </si>
  <si>
    <t xml:space="preserve">87042230</t>
  </si>
  <si>
    <t xml:space="preserve">2131</t>
  </si>
  <si>
    <t xml:space="preserve">BIFE CHORIZO ANA PAULA BLACK ANGUS CONG</t>
  </si>
  <si>
    <t xml:space="preserve">31/05/2022</t>
  </si>
  <si>
    <t xml:space="preserve">2133</t>
  </si>
  <si>
    <t xml:space="preserve">MUSCULO TRASEIRO CONG MASTERBOI</t>
  </si>
  <si>
    <t xml:space="preserve">02/06/2022</t>
  </si>
  <si>
    <t xml:space="preserve">2134</t>
  </si>
  <si>
    <t xml:space="preserve">COSTELA MINGA QUALITYBEEF CONG MAFRIPAR</t>
  </si>
  <si>
    <t xml:space="preserve">07/06/2022</t>
  </si>
  <si>
    <t xml:space="preserve">2135</t>
  </si>
  <si>
    <t xml:space="preserve">MUSCULO DIANTEIRO BOV CONG FRIBOI</t>
  </si>
  <si>
    <t xml:space="preserve">2136</t>
  </si>
  <si>
    <t xml:space="preserve">COSTELA SUINA C/OSSO CONG GRAN CAMPEIRO</t>
  </si>
  <si>
    <t xml:space="preserve">COOPERATIVA DOS GRANJEIROS DO OESTE DE MINAS LTDA</t>
  </si>
  <si>
    <t xml:space="preserve">15/06/2022</t>
  </si>
  <si>
    <t xml:space="preserve">2137</t>
  </si>
  <si>
    <t xml:space="preserve">COSTELA TIRAS C/OSSO CONG GRAN CAMPEIRO</t>
  </si>
  <si>
    <t xml:space="preserve">2139</t>
  </si>
  <si>
    <t xml:space="preserve">PICANHA SUINA TEMPERADA GRAN CAMPEIRO</t>
  </si>
  <si>
    <t xml:space="preserve">2101900</t>
  </si>
  <si>
    <t xml:space="preserve">2140</t>
  </si>
  <si>
    <t xml:space="preserve">BANANINHA BOV CONG FRIBOI</t>
  </si>
  <si>
    <t xml:space="preserve">BANANINHA</t>
  </si>
  <si>
    <t xml:space="preserve">17/06/2022</t>
  </si>
  <si>
    <t xml:space="preserve">2141</t>
  </si>
  <si>
    <t xml:space="preserve">CUPIM BOV CONG PLENA ALIMENTOS</t>
  </si>
  <si>
    <t xml:space="preserve">704</t>
  </si>
  <si>
    <t xml:space="preserve">PLENA ALIMENTOS S/A</t>
  </si>
  <si>
    <t xml:space="preserve">20/06/2022</t>
  </si>
  <si>
    <t xml:space="preserve">2142</t>
  </si>
  <si>
    <t xml:space="preserve">CARNE MOIDA CONG TUDBOM 1 KG</t>
  </si>
  <si>
    <t xml:space="preserve">57</t>
  </si>
  <si>
    <t xml:space="preserve">CARNE MOIDA</t>
  </si>
  <si>
    <t xml:space="preserve">2145</t>
  </si>
  <si>
    <t xml:space="preserve">CORACAO BOV CONG QUALITYBEEF MAFRIPAR</t>
  </si>
  <si>
    <t xml:space="preserve">24/06/2022</t>
  </si>
  <si>
    <t xml:space="preserve">2146</t>
  </si>
  <si>
    <t xml:space="preserve">ALCATRA C/ MAMINHA CONG PLENA ALIMENTOS</t>
  </si>
  <si>
    <t xml:space="preserve">28/06/2022</t>
  </si>
  <si>
    <t xml:space="preserve">2148</t>
  </si>
  <si>
    <t xml:space="preserve">CORACAO DA ALCATRA CONG PLENA ALIMENTOS</t>
  </si>
  <si>
    <t xml:space="preserve">MIOLO DA ALCATRA CONG</t>
  </si>
  <si>
    <t xml:space="preserve">2149</t>
  </si>
  <si>
    <t xml:space="preserve">COXAO DURO BOV CONG PLENA ALIMENTOS</t>
  </si>
  <si>
    <t xml:space="preserve">2150</t>
  </si>
  <si>
    <t xml:space="preserve">MACANETA</t>
  </si>
  <si>
    <t xml:space="preserve">2151</t>
  </si>
  <si>
    <t xml:space="preserve">LINGUICA CALABRESA MISTA DEFUMADA 20KG</t>
  </si>
  <si>
    <t xml:space="preserve">706</t>
  </si>
  <si>
    <t xml:space="preserve">ADEEL ALIMENTOS S.A.</t>
  </si>
  <si>
    <t xml:space="preserve">LINGUICAS</t>
  </si>
  <si>
    <t xml:space="preserve">30/06/2022</t>
  </si>
  <si>
    <t xml:space="preserve">2153</t>
  </si>
  <si>
    <t xml:space="preserve">FACA PEIXEIRA CARBONO</t>
  </si>
  <si>
    <t xml:space="preserve">82119210.</t>
  </si>
  <si>
    <t xml:space="preserve">PARA COZINHA E ACOUGUE</t>
  </si>
  <si>
    <t xml:space="preserve">82119210</t>
  </si>
  <si>
    <t xml:space="preserve">01/07/2022</t>
  </si>
  <si>
    <t xml:space="preserve">2154</t>
  </si>
  <si>
    <t xml:space="preserve">MUSCULO BOV RESF QUALITYBEEF MAFRIPAR</t>
  </si>
  <si>
    <t xml:space="preserve">11/07/2022</t>
  </si>
  <si>
    <t xml:space="preserve">2155</t>
  </si>
  <si>
    <t xml:space="preserve">PICANHA A IMP AUSTRALIA CONG KILCOY</t>
  </si>
  <si>
    <t xml:space="preserve">CX +/- 18 KG</t>
  </si>
  <si>
    <t xml:space="preserve">2156</t>
  </si>
  <si>
    <t xml:space="preserve">BATATA PAL CONG MASTERBOI 10 MM</t>
  </si>
  <si>
    <t xml:space="preserve">VEGETAIS</t>
  </si>
  <si>
    <t xml:space="preserve">BATATA PRE FRITA</t>
  </si>
  <si>
    <t xml:space="preserve">2157</t>
  </si>
  <si>
    <t xml:space="preserve">PICANHA RESF ESTANCIA 92</t>
  </si>
  <si>
    <t xml:space="preserve">12/07/2022</t>
  </si>
  <si>
    <t xml:space="preserve">2158</t>
  </si>
  <si>
    <t xml:space="preserve">CARNE DO SOL COXAO MOLE BOV CONG PLENA</t>
  </si>
  <si>
    <t xml:space="preserve">CARNE DO SOL</t>
  </si>
  <si>
    <t xml:space="preserve">CX +/-12 KG</t>
  </si>
  <si>
    <t xml:space="preserve">02102000.</t>
  </si>
  <si>
    <t xml:space="preserve">CARNES DE BOVINOS,SALGADAS/EM SALMOURA/SECAS/DEFUMADAS</t>
  </si>
  <si>
    <t xml:space="preserve">2102000</t>
  </si>
  <si>
    <t xml:space="preserve">2159</t>
  </si>
  <si>
    <t xml:space="preserve">CARNE DO SOL COXAO DURO BOV CONG PLENA</t>
  </si>
  <si>
    <t xml:space="preserve">2160</t>
  </si>
  <si>
    <t xml:space="preserve">ASA FRANGO INDIVIDUAL CONG GUIBON 18KG</t>
  </si>
  <si>
    <t xml:space="preserve">14/07/2022</t>
  </si>
  <si>
    <t xml:space="preserve">2161</t>
  </si>
  <si>
    <t xml:space="preserve">FILEZINHO SASSAMI PCT CONG RARA 20KG</t>
  </si>
  <si>
    <t xml:space="preserve">FILEZINHO SASSAMI</t>
  </si>
  <si>
    <t xml:space="preserve">15/07/2022</t>
  </si>
  <si>
    <t xml:space="preserve">2162</t>
  </si>
  <si>
    <t xml:space="preserve">GRADE PROTECAO</t>
  </si>
  <si>
    <t xml:space="preserve">94032000</t>
  </si>
  <si>
    <t xml:space="preserve">18/07/2022</t>
  </si>
  <si>
    <t xml:space="preserve">2163</t>
  </si>
  <si>
    <t xml:space="preserve">FORRO PVC</t>
  </si>
  <si>
    <t xml:space="preserve">712</t>
  </si>
  <si>
    <t xml:space="preserve">FRANCISCO KASSIOS DE SOUSA ARAUJO LTDA</t>
  </si>
  <si>
    <t xml:space="preserve">2164</t>
  </si>
  <si>
    <t xml:space="preserve">PA DRY WALL</t>
  </si>
  <si>
    <t xml:space="preserve">CTO</t>
  </si>
  <si>
    <t xml:space="preserve">73181400.</t>
  </si>
  <si>
    <t xml:space="preserve">PARAFUSOS PERFURANTES</t>
  </si>
  <si>
    <t xml:space="preserve">73181400</t>
  </si>
  <si>
    <t xml:space="preserve">2165</t>
  </si>
  <si>
    <t xml:space="preserve">LEDVANCE PENDULUM</t>
  </si>
  <si>
    <t xml:space="preserve">564</t>
  </si>
  <si>
    <t xml:space="preserve">MB COMERCIO DE MATERIAIS DE CONSTRUCAO LTDA</t>
  </si>
  <si>
    <t xml:space="preserve">2166</t>
  </si>
  <si>
    <t xml:space="preserve">DISPENSER PARA DETERGENTE</t>
  </si>
  <si>
    <t xml:space="preserve">2167</t>
  </si>
  <si>
    <t xml:space="preserve">TEL TC20 CINZA</t>
  </si>
  <si>
    <t xml:space="preserve">2168</t>
  </si>
  <si>
    <t xml:space="preserve">MOCOTO BOV CONG LKJ</t>
  </si>
  <si>
    <t xml:space="preserve">19/07/2022</t>
  </si>
  <si>
    <t xml:space="preserve">2169</t>
  </si>
  <si>
    <t xml:space="preserve">BANANINHA CONG LKJ</t>
  </si>
  <si>
    <t xml:space="preserve">20/07/2022</t>
  </si>
  <si>
    <t xml:space="preserve">2170</t>
  </si>
  <si>
    <t xml:space="preserve">COSTELA EM TIRAS SUINA CONG ADEEL</t>
  </si>
  <si>
    <t xml:space="preserve">2171</t>
  </si>
  <si>
    <t xml:space="preserve">PATINHO BOV RESF MASTERBOI</t>
  </si>
  <si>
    <t xml:space="preserve">22/07/2022</t>
  </si>
  <si>
    <t xml:space="preserve">2172</t>
  </si>
  <si>
    <t xml:space="preserve">BATATA IMPORT. MASTERBOI 10 MM</t>
  </si>
  <si>
    <t xml:space="preserve">25/07/2022</t>
  </si>
  <si>
    <t xml:space="preserve">2173</t>
  </si>
  <si>
    <t xml:space="preserve">BIFE DO VAZIO CONG MERCURIO</t>
  </si>
  <si>
    <t xml:space="preserve">27/07/2022</t>
  </si>
  <si>
    <t xml:space="preserve">2174</t>
  </si>
  <si>
    <t xml:space="preserve">CARCAÇA CONG SEARA 1.2 KG</t>
  </si>
  <si>
    <t xml:space="preserve">SENDAS DISTRIBUIDORA S/A</t>
  </si>
  <si>
    <t xml:space="preserve">02072700.</t>
  </si>
  <si>
    <t xml:space="preserve">CARNES DE PERUAS/PERUS,EM PEDACOS E MIUDEZAS,CONGELADAS</t>
  </si>
  <si>
    <t xml:space="preserve">2072700</t>
  </si>
  <si>
    <t xml:space="preserve">28/07/2022</t>
  </si>
  <si>
    <t xml:space="preserve">2175</t>
  </si>
  <si>
    <t xml:space="preserve">ESPANADOR</t>
  </si>
  <si>
    <t xml:space="preserve">2176</t>
  </si>
  <si>
    <t xml:space="preserve">LIMPADOR COM BRILHO</t>
  </si>
  <si>
    <t xml:space="preserve">GF</t>
  </si>
  <si>
    <t xml:space="preserve">38099390.</t>
  </si>
  <si>
    <t xml:space="preserve">38099390</t>
  </si>
  <si>
    <t xml:space="preserve">2177</t>
  </si>
  <si>
    <t xml:space="preserve">SEVEN POS OBRA PLUS TALIMPO</t>
  </si>
  <si>
    <t xml:space="preserve">73143900</t>
  </si>
  <si>
    <t xml:space="preserve">2178</t>
  </si>
  <si>
    <t xml:space="preserve">COLETOR SELETIVO</t>
  </si>
  <si>
    <t xml:space="preserve">2179</t>
  </si>
  <si>
    <t xml:space="preserve">LA DE ACO ASSOLAN</t>
  </si>
  <si>
    <t xml:space="preserve">73231000.</t>
  </si>
  <si>
    <t xml:space="preserve">PALHA DE FERRO OU ACO ESPONJAS ESFREGOES LUVAS E ARTEFATO</t>
  </si>
  <si>
    <t xml:space="preserve">73231000</t>
  </si>
  <si>
    <t xml:space="preserve">03/08/2022</t>
  </si>
  <si>
    <t xml:space="preserve">2180</t>
  </si>
  <si>
    <t xml:space="preserve">MAMINHA CHEF CONG PLENA ALIMENTOS</t>
  </si>
  <si>
    <t xml:space="preserve">08/08/2022</t>
  </si>
  <si>
    <t xml:space="preserve">2181</t>
  </si>
  <si>
    <t xml:space="preserve">LINGUIÇA CALABRESA DEFUMAD RETA PAMPLONA</t>
  </si>
  <si>
    <t xml:space="preserve">23/08/2022</t>
  </si>
  <si>
    <t xml:space="preserve">2182</t>
  </si>
  <si>
    <t xml:space="preserve">BACON EM CUBOS CONG PAMPLONA</t>
  </si>
  <si>
    <t xml:space="preserve">2101200</t>
  </si>
  <si>
    <t xml:space="preserve">26/08/2022</t>
  </si>
  <si>
    <t xml:space="preserve">2183</t>
  </si>
  <si>
    <t xml:space="preserve">COXA SOBRECOXA CONG RARA PCT 1 KG</t>
  </si>
  <si>
    <t xml:space="preserve">2184</t>
  </si>
  <si>
    <t xml:space="preserve">LINGUICA DE FRANGO CONG AVIVAR</t>
  </si>
  <si>
    <t xml:space="preserve">LINGUICA FRANGO</t>
  </si>
  <si>
    <t xml:space="preserve">2185</t>
  </si>
  <si>
    <t xml:space="preserve">MOELA CONG PCT AVIVAR 16KG</t>
  </si>
  <si>
    <t xml:space="preserve">2186</t>
  </si>
  <si>
    <t xml:space="preserve">SALSICHA HOT DOG CONG RARA 20KG</t>
  </si>
  <si>
    <t xml:space="preserve">2187</t>
  </si>
  <si>
    <t xml:space="preserve">PERNIL DE CORDEIRO ESTANCIA 92</t>
  </si>
  <si>
    <t xml:space="preserve">OVINOS</t>
  </si>
  <si>
    <t xml:space="preserve">PERNIL</t>
  </si>
  <si>
    <t xml:space="preserve">CX +/- 7 KG</t>
  </si>
  <si>
    <t xml:space="preserve">02044200.</t>
  </si>
  <si>
    <t xml:space="preserve">OUTRAS PECAS NAO DESOSSADAS DE OVINO,CONGELADAS</t>
  </si>
  <si>
    <t xml:space="preserve">2044200</t>
  </si>
  <si>
    <t xml:space="preserve">2188</t>
  </si>
  <si>
    <t xml:space="preserve">COXAO DURO CONG MASTER BOI</t>
  </si>
  <si>
    <t xml:space="preserve">29/08/2022</t>
  </si>
  <si>
    <t xml:space="preserve">2189</t>
  </si>
  <si>
    <t xml:space="preserve">PALETA S/ MUSCULO CONG MASTERBOI</t>
  </si>
  <si>
    <t xml:space="preserve">2190</t>
  </si>
  <si>
    <t xml:space="preserve">BARRIGA MANTA CONG SAUDALI</t>
  </si>
  <si>
    <t xml:space="preserve">BARRIGA</t>
  </si>
  <si>
    <t xml:space="preserve">2191</t>
  </si>
  <si>
    <t xml:space="preserve">PICANHA CONG ARG GORINA 1.3 A 1.6 KG</t>
  </si>
  <si>
    <t xml:space="preserve">2192</t>
  </si>
  <si>
    <t xml:space="preserve">ALMONDEGA CARNE BOV PLENA ALIMENTOS 2 KG</t>
  </si>
  <si>
    <t xml:space="preserve">ALMONDEGAS BOV</t>
  </si>
  <si>
    <t xml:space="preserve">CX 6 KG</t>
  </si>
  <si>
    <t xml:space="preserve">16025000.</t>
  </si>
  <si>
    <t xml:space="preserve">PREPARACOES ALIMENTICIAS E CONSERVAS,DE BOVINOS</t>
  </si>
  <si>
    <t xml:space="preserve">16025000</t>
  </si>
  <si>
    <t xml:space="preserve">30/08/2022</t>
  </si>
  <si>
    <t xml:space="preserve">2193</t>
  </si>
  <si>
    <t xml:space="preserve">COSTELA MINGA STEAKHOUSE CONG MARFRIG</t>
  </si>
  <si>
    <t xml:space="preserve">01/09/2022</t>
  </si>
  <si>
    <t xml:space="preserve">2194</t>
  </si>
  <si>
    <t xml:space="preserve">MUSCULO BOV TRASEIRO CONG MARFRIG</t>
  </si>
  <si>
    <t xml:space="preserve">2195</t>
  </si>
  <si>
    <t xml:space="preserve">COXAO DURO CONG BEEF HOUSE PANTANAL</t>
  </si>
  <si>
    <t xml:space="preserve">05/09/2022</t>
  </si>
  <si>
    <t xml:space="preserve">2196</t>
  </si>
  <si>
    <t xml:space="preserve">COXAO MOLE RESF BEEF HOUSE PANTANAL</t>
  </si>
  <si>
    <t xml:space="preserve">2197</t>
  </si>
  <si>
    <t xml:space="preserve">COXAO MOLE CONG BEEF HOUSE PANTANAL</t>
  </si>
  <si>
    <t xml:space="preserve">2198</t>
  </si>
  <si>
    <t xml:space="preserve">MUSCULO CONG BEEF HOUSE PANTANAL</t>
  </si>
  <si>
    <t xml:space="preserve">2199</t>
  </si>
  <si>
    <t xml:space="preserve">PALETA C/ MUSCULO CONG BEEF HOUSE PANTAN</t>
  </si>
  <si>
    <t xml:space="preserve">02022020.</t>
  </si>
  <si>
    <t xml:space="preserve">QUARTOS TRASEIROS NAO DESOSSADOS DE BOVINO,CONGELADOS</t>
  </si>
  <si>
    <t xml:space="preserve">2022020</t>
  </si>
  <si>
    <t xml:space="preserve">2201</t>
  </si>
  <si>
    <t xml:space="preserve">CONTRA FILE CONG BEEF HOUSE PANTANAL</t>
  </si>
  <si>
    <t xml:space="preserve">2205</t>
  </si>
  <si>
    <t xml:space="preserve">HAMBURGUER FGO/BOVINO CONG MONTANA 56G</t>
  </si>
  <si>
    <t xml:space="preserve">HAMBURGUER GRANEL</t>
  </si>
  <si>
    <t xml:space="preserve">MISTO</t>
  </si>
  <si>
    <t xml:space="preserve">CX 2,016 KG</t>
  </si>
  <si>
    <t xml:space="preserve">06/09/2022</t>
  </si>
  <si>
    <t xml:space="preserve">2206</t>
  </si>
  <si>
    <t xml:space="preserve">HAMBURGUER BOVINO CONG MONTANA 56G</t>
  </si>
  <si>
    <t xml:space="preserve">BOVINO MONTANA</t>
  </si>
  <si>
    <t xml:space="preserve">2207</t>
  </si>
  <si>
    <t xml:space="preserve">HAMBURGUER CAIXETA MISTO MONTANA 56G</t>
  </si>
  <si>
    <t xml:space="preserve">HAMBURGUER CAIXETA 12 UNID</t>
  </si>
  <si>
    <t xml:space="preserve">MISTO MONTANA</t>
  </si>
  <si>
    <t xml:space="preserve">CX 8,064 KG</t>
  </si>
  <si>
    <t xml:space="preserve">2208</t>
  </si>
  <si>
    <t xml:space="preserve">FILE DE PEITO S/OSSO S/ PELE CONG JAGUAR</t>
  </si>
  <si>
    <t xml:space="preserve">08/09/2022</t>
  </si>
  <si>
    <t xml:space="preserve">2209</t>
  </si>
  <si>
    <t xml:space="preserve">LINGUIÇA TIPO CALABRESA GRAN CAMPEIRO</t>
  </si>
  <si>
    <t xml:space="preserve">2210</t>
  </si>
  <si>
    <t xml:space="preserve">SOBREPALETA CONG GRAN CAMPEIRO</t>
  </si>
  <si>
    <t xml:space="preserve">7,89848E+12</t>
  </si>
  <si>
    <t xml:space="preserve">2211</t>
  </si>
  <si>
    <t xml:space="preserve">CONTRA FILE BOV CONG DO CHEF FRIBOI</t>
  </si>
  <si>
    <t xml:space="preserve">09/09/2022</t>
  </si>
  <si>
    <t xml:space="preserve">2212</t>
  </si>
  <si>
    <t xml:space="preserve">CAPA DE FILE BOV CONG DO CHEF FRIBOI</t>
  </si>
  <si>
    <t xml:space="preserve">2213</t>
  </si>
  <si>
    <t xml:space="preserve">ALCATRA COMPLETA BOV CONG DO CHEF FRIBOI</t>
  </si>
  <si>
    <t xml:space="preserve">15/09/2022</t>
  </si>
  <si>
    <t xml:space="preserve">2214</t>
  </si>
  <si>
    <t xml:space="preserve">CORACAO FRANGO CONG FRANGO RICO 20KG</t>
  </si>
  <si>
    <t xml:space="preserve">16/09/2022</t>
  </si>
  <si>
    <t xml:space="preserve">2215</t>
  </si>
  <si>
    <t xml:space="preserve">LINGUICA TIPO CALABRESA PCT 2,5 KG ADEEL</t>
  </si>
  <si>
    <t xml:space="preserve">19/09/2022</t>
  </si>
  <si>
    <t xml:space="preserve">2216</t>
  </si>
  <si>
    <t xml:space="preserve">BACON PALETA DEFUMADO ADEEL</t>
  </si>
  <si>
    <t xml:space="preserve">2218</t>
  </si>
  <si>
    <t xml:space="preserve">INGREDIENTE FEIJOADA SAUDALI 8 KG</t>
  </si>
  <si>
    <t xml:space="preserve">INGREDIENTES</t>
  </si>
  <si>
    <t xml:space="preserve">23/09/2022</t>
  </si>
  <si>
    <t xml:space="preserve">2219</t>
  </si>
  <si>
    <t xml:space="preserve">ALMONDEGA DE FRANGO PLENA ALIMENTOS</t>
  </si>
  <si>
    <t xml:space="preserve">ALMONDEGA FRANGO</t>
  </si>
  <si>
    <t xml:space="preserve">16023210.</t>
  </si>
  <si>
    <t xml:space="preserve">COM CONTEUDO DE CARNE OU DE MIUDEZAS IGUAL OU SUPERIOR A 57%, EM PESO, NÃO COZIDASA</t>
  </si>
  <si>
    <t xml:space="preserve">16023210</t>
  </si>
  <si>
    <t xml:space="preserve">27/09/2022</t>
  </si>
  <si>
    <t xml:space="preserve">2220</t>
  </si>
  <si>
    <t xml:space="preserve">MAMINHA CONG STEAKHOUSE MARFRIG</t>
  </si>
  <si>
    <t xml:space="preserve">2221</t>
  </si>
  <si>
    <t xml:space="preserve">MUSCULO BOV CONG QUALITYBEEF</t>
  </si>
  <si>
    <t xml:space="preserve">2222</t>
  </si>
  <si>
    <t xml:space="preserve">CARCAÇA CONG SEARA 1.1 KG</t>
  </si>
  <si>
    <t xml:space="preserve">713</t>
  </si>
  <si>
    <t xml:space="preserve">SEARA ALIMENTOS LTDA</t>
  </si>
  <si>
    <t xml:space="preserve">28/09/2022</t>
  </si>
  <si>
    <t xml:space="preserve">2224</t>
  </si>
  <si>
    <t xml:space="preserve">TABICA PINTADA</t>
  </si>
  <si>
    <t xml:space="preserve">F S FELIX VIANA MATERIAL DE CONSTRUÇÕES</t>
  </si>
  <si>
    <t xml:space="preserve">73089010</t>
  </si>
  <si>
    <t xml:space="preserve">30/09/2022</t>
  </si>
  <si>
    <t xml:space="preserve">2225</t>
  </si>
  <si>
    <t xml:space="preserve">JG ESCOVA</t>
  </si>
  <si>
    <t xml:space="preserve">2226</t>
  </si>
  <si>
    <t xml:space="preserve">SOLENOIDE MTR</t>
  </si>
  <si>
    <t xml:space="preserve">85364100</t>
  </si>
  <si>
    <t xml:space="preserve">2228</t>
  </si>
  <si>
    <t xml:space="preserve">GAVETA KYOCERA</t>
  </si>
  <si>
    <t xml:space="preserve">05/10/2022</t>
  </si>
  <si>
    <t xml:space="preserve">2229</t>
  </si>
  <si>
    <t xml:space="preserve">FILE DE PEITO IN NATURA CONG AVE NOVA</t>
  </si>
  <si>
    <t xml:space="preserve">10/10/2022</t>
  </si>
  <si>
    <t xml:space="preserve">2230</t>
  </si>
  <si>
    <t xml:space="preserve">FILE DE COSTELA BASSI ANGUS CONG MARFRIG</t>
  </si>
  <si>
    <t xml:space="preserve">2231</t>
  </si>
  <si>
    <t xml:space="preserve">CONTRA FILE BIFE DE CHORIZO BASSI ANGUS</t>
  </si>
  <si>
    <t xml:space="preserve">2232</t>
  </si>
  <si>
    <t xml:space="preserve">COXAO MOLE BASSI ANGUS CONG MARFRIG</t>
  </si>
  <si>
    <t xml:space="preserve">2233</t>
  </si>
  <si>
    <t xml:space="preserve">PICANHA BASSI ANGUS CONG MARFRIG</t>
  </si>
  <si>
    <t xml:space="preserve">2234</t>
  </si>
  <si>
    <t xml:space="preserve">CAPA DE FILE BASSI ANGUS CONG MARFRIG</t>
  </si>
  <si>
    <t xml:space="preserve">2235</t>
  </si>
  <si>
    <t xml:space="preserve">MAMINHA BASSI ANGUS CONG MARFRIG</t>
  </si>
  <si>
    <t xml:space="preserve">2236</t>
  </si>
  <si>
    <t xml:space="preserve">COXAO DURO BASSI ANGUS CONG MARFRIG</t>
  </si>
  <si>
    <t xml:space="preserve">2237</t>
  </si>
  <si>
    <t xml:space="preserve">PEITO IN NATURA CONG AVE NOVA 20KG</t>
  </si>
  <si>
    <t xml:space="preserve">02071411.</t>
  </si>
  <si>
    <t xml:space="preserve">PEITOS</t>
  </si>
  <si>
    <t xml:space="preserve">2071411</t>
  </si>
  <si>
    <t xml:space="preserve">2238</t>
  </si>
  <si>
    <t xml:space="preserve">CONTRA FILE BOV CONG MAFRINORTE</t>
  </si>
  <si>
    <t xml:space="preserve">17/10/2022</t>
  </si>
  <si>
    <t xml:space="preserve">2241</t>
  </si>
  <si>
    <t xml:space="preserve">PLACA SINALIZACAO</t>
  </si>
  <si>
    <t xml:space="preserve">734</t>
  </si>
  <si>
    <t xml:space="preserve">F R B INDUSTRIA E COMERCIO E SERVICOS DE ARTEFATOS DE PLASTI</t>
  </si>
  <si>
    <t xml:space="preserve">39203000</t>
  </si>
  <si>
    <t xml:space="preserve">18/10/2022</t>
  </si>
  <si>
    <t xml:space="preserve">2242</t>
  </si>
  <si>
    <t xml:space="preserve">BIFE DO VAZIO BOV CONG PLENA ALIMENTOS</t>
  </si>
  <si>
    <t xml:space="preserve">20/10/2022</t>
  </si>
  <si>
    <t xml:space="preserve">2243</t>
  </si>
  <si>
    <t xml:space="preserve">PICANHA EM ISCAS CONG MONTANA</t>
  </si>
  <si>
    <t xml:space="preserve">CX +/ 25 KG</t>
  </si>
  <si>
    <t xml:space="preserve">21/10/2022</t>
  </si>
  <si>
    <t xml:space="preserve">2244</t>
  </si>
  <si>
    <t xml:space="preserve">PA0002313495 TRANSPALETEIRA TXQ25</t>
  </si>
  <si>
    <t xml:space="preserve">736</t>
  </si>
  <si>
    <t xml:space="preserve">VERTICAL LOCACAO DE EMPILHADEIRAS LTDA</t>
  </si>
  <si>
    <t xml:space="preserve">84279000.</t>
  </si>
  <si>
    <t xml:space="preserve">84279000</t>
  </si>
  <si>
    <t xml:space="preserve">27/10/2022</t>
  </si>
  <si>
    <t xml:space="preserve">2245</t>
  </si>
  <si>
    <t xml:space="preserve">TESOURA</t>
  </si>
  <si>
    <t xml:space="preserve">82130000.</t>
  </si>
  <si>
    <t xml:space="preserve">TESOURAS E SUAS LAMINAS.</t>
  </si>
  <si>
    <t xml:space="preserve">82130000</t>
  </si>
  <si>
    <t xml:space="preserve">2246</t>
  </si>
  <si>
    <t xml:space="preserve">CINTO ERGONOMICA XG</t>
  </si>
  <si>
    <t xml:space="preserve">90211010</t>
  </si>
  <si>
    <t xml:space="preserve">2247</t>
  </si>
  <si>
    <t xml:space="preserve">ND25030-ADITIVO RAD PARAFLU ROSA CONCENT</t>
  </si>
  <si>
    <t xml:space="preserve">GLOBAL CENTRO AUTOMOTIVO LTDA - EPP</t>
  </si>
  <si>
    <t xml:space="preserve">2248</t>
  </si>
  <si>
    <t xml:space="preserve">ND25863-ABRACADEIRA MANGUEIRA 38X51 FINA</t>
  </si>
  <si>
    <t xml:space="preserve">2250</t>
  </si>
  <si>
    <t xml:space="preserve">ND 19804-OLEO LUB MOTOR</t>
  </si>
  <si>
    <t xml:space="preserve">01/11/2022</t>
  </si>
  <si>
    <t xml:space="preserve">2251</t>
  </si>
  <si>
    <t xml:space="preserve">SD797-PASTILHA DIANTEIRA S10</t>
  </si>
  <si>
    <t xml:space="preserve">87083019</t>
  </si>
  <si>
    <t xml:space="preserve">2252</t>
  </si>
  <si>
    <t xml:space="preserve">SD798-FILTRO AR S10</t>
  </si>
  <si>
    <t xml:space="preserve">2253</t>
  </si>
  <si>
    <t xml:space="preserve">SD799-FILTRO COMBUSTIVEL S10</t>
  </si>
  <si>
    <t xml:space="preserve">2254</t>
  </si>
  <si>
    <t xml:space="preserve">SD800-BORRACHA JUMELO</t>
  </si>
  <si>
    <t xml:space="preserve">2255</t>
  </si>
  <si>
    <t xml:space="preserve">SD7590-FILTRO LUBRIFICANTE S10</t>
  </si>
  <si>
    <t xml:space="preserve">84212300</t>
  </si>
  <si>
    <t xml:space="preserve">2256</t>
  </si>
  <si>
    <t xml:space="preserve">ND24651-ESTOPA P/ LIMPEZA</t>
  </si>
  <si>
    <t xml:space="preserve">2257</t>
  </si>
  <si>
    <t xml:space="preserve">ND 20686 - SILICONE PRETO TEEFAX</t>
  </si>
  <si>
    <t xml:space="preserve">2258</t>
  </si>
  <si>
    <t xml:space="preserve">COXAO MOLE BOV RESF PLENA ALIMENTOS</t>
  </si>
  <si>
    <t xml:space="preserve">03/11/2022</t>
  </si>
  <si>
    <t xml:space="preserve">2262</t>
  </si>
  <si>
    <t xml:space="preserve">ESTRUTURA EM ALUMINIO</t>
  </si>
  <si>
    <t xml:space="preserve">735</t>
  </si>
  <si>
    <t xml:space="preserve">M. O. AMARAL DE BRITO</t>
  </si>
  <si>
    <t xml:space="preserve">04/11/2022</t>
  </si>
  <si>
    <t xml:space="preserve">2264</t>
  </si>
  <si>
    <t xml:space="preserve">COXINHA DA ASA DRUMETTE CONG SADIA</t>
  </si>
  <si>
    <t xml:space="preserve">02071413.</t>
  </si>
  <si>
    <t xml:space="preserve">ASAS</t>
  </si>
  <si>
    <t xml:space="preserve">2071413</t>
  </si>
  <si>
    <t xml:space="preserve">21/11/2022</t>
  </si>
  <si>
    <t xml:space="preserve">2268</t>
  </si>
  <si>
    <t xml:space="preserve">COXA S/COXA PCT DESOSSADA CONG AVIVAR</t>
  </si>
  <si>
    <t xml:space="preserve">01/12/2022</t>
  </si>
  <si>
    <t xml:space="preserve">2269</t>
  </si>
  <si>
    <t xml:space="preserve">CONTRA FILE BOV CONG MONTANA STEAKHOUSE</t>
  </si>
  <si>
    <t xml:space="preserve">02/12/2022</t>
  </si>
  <si>
    <t xml:space="preserve">2270</t>
  </si>
  <si>
    <t xml:space="preserve">FILE DE COXA/SOBRECOXA S/OSSO CONG JAGUA</t>
  </si>
  <si>
    <t xml:space="preserve">02071423.</t>
  </si>
  <si>
    <t xml:space="preserve">COXAS COM SOBRECOXAS - DESOSSADAS</t>
  </si>
  <si>
    <t xml:space="preserve">2071423</t>
  </si>
  <si>
    <t xml:space="preserve">05/12/2022</t>
  </si>
  <si>
    <t xml:space="preserve">2271</t>
  </si>
  <si>
    <t xml:space="preserve">ARTICULACAO AXIAL</t>
  </si>
  <si>
    <t xml:space="preserve">87089482.</t>
  </si>
  <si>
    <t xml:space="preserve">BARRAS</t>
  </si>
  <si>
    <t xml:space="preserve">87089482</t>
  </si>
  <si>
    <t xml:space="preserve">06/12/2022</t>
  </si>
  <si>
    <t xml:space="preserve">2272</t>
  </si>
  <si>
    <t xml:space="preserve">PEITO BOV BASSI ANGUS CONG MARFRIG</t>
  </si>
  <si>
    <t xml:space="preserve">07/12/2022</t>
  </si>
  <si>
    <t xml:space="preserve">2275</t>
  </si>
  <si>
    <t xml:space="preserve">CUPIM BEEF HOUSE TIPO A CONG PANTANAL</t>
  </si>
  <si>
    <t xml:space="preserve">12/12/2022</t>
  </si>
  <si>
    <t xml:space="preserve">2276</t>
  </si>
  <si>
    <t xml:space="preserve">CAPA DE FILE GRILL RESF FRIGOR PANTANAL</t>
  </si>
  <si>
    <t xml:space="preserve">81</t>
  </si>
  <si>
    <t xml:space="preserve">CAPA DO CONTRA FILE</t>
  </si>
  <si>
    <t xml:space="preserve">2277</t>
  </si>
  <si>
    <t xml:space="preserve">COXAO MOLE ZONA SUL RESF FRIG PANTANAL</t>
  </si>
  <si>
    <t xml:space="preserve">2278</t>
  </si>
  <si>
    <t xml:space="preserve">FILE DE PEITO IN NATURA REAL ALIMENTOS</t>
  </si>
  <si>
    <t xml:space="preserve">14/12/2022</t>
  </si>
  <si>
    <t xml:space="preserve">2279</t>
  </si>
  <si>
    <t xml:space="preserve">COXA SOBRECOXA CONG REAL ALIMENTOS</t>
  </si>
  <si>
    <t xml:space="preserve">2280</t>
  </si>
  <si>
    <t xml:space="preserve">MAQ PORT CAMIN</t>
  </si>
  <si>
    <t xml:space="preserve">23/12/2022</t>
  </si>
  <si>
    <t xml:space="preserve">2281</t>
  </si>
  <si>
    <t xml:space="preserve">BACON EM MANTA C/ PELE ADEEL</t>
  </si>
  <si>
    <t xml:space="preserve">29/12/2022</t>
  </si>
  <si>
    <t xml:space="preserve">2283</t>
  </si>
  <si>
    <t xml:space="preserve">PASTEL APERITIVO COM QUEIJO</t>
  </si>
  <si>
    <t xml:space="preserve">PASTEIS</t>
  </si>
  <si>
    <t xml:space="preserve">CX 4,2 KG</t>
  </si>
  <si>
    <t xml:space="preserve">19022000.</t>
  </si>
  <si>
    <t xml:space="preserve">MASSAS ALIMENT.RECHEADAS,INCL.COZIDAS,PREPARS.OUT.MODO</t>
  </si>
  <si>
    <t xml:space="preserve">19022000</t>
  </si>
  <si>
    <t xml:space="preserve">30/12/2022</t>
  </si>
  <si>
    <t xml:space="preserve">2284</t>
  </si>
  <si>
    <t xml:space="preserve">FRG TEMPERADO BLESSER ASSA FACIL AURORA</t>
  </si>
  <si>
    <t xml:space="preserve">2286</t>
  </si>
  <si>
    <t xml:space="preserve">ESFERA</t>
  </si>
  <si>
    <t xml:space="preserve">84829119.</t>
  </si>
  <si>
    <t xml:space="preserve">84829119</t>
  </si>
  <si>
    <t xml:space="preserve">03/01/2023</t>
  </si>
  <si>
    <t xml:space="preserve">2287</t>
  </si>
  <si>
    <t xml:space="preserve">COXAO DURO RESF BEEF HOUSE PANTANAL</t>
  </si>
  <si>
    <t xml:space="preserve">11/01/2023</t>
  </si>
  <si>
    <t xml:space="preserve">2288</t>
  </si>
  <si>
    <t xml:space="preserve">FILE DE PEITO PCT ENVELOPADO CONG RARA</t>
  </si>
  <si>
    <t xml:space="preserve">13/01/2023</t>
  </si>
  <si>
    <t xml:space="preserve">2289</t>
  </si>
  <si>
    <t xml:space="preserve">RETALHO COSTELA SUINA CONG PERDIGAO 13KG</t>
  </si>
  <si>
    <t xml:space="preserve">18/01/2023</t>
  </si>
  <si>
    <t xml:space="preserve">2290</t>
  </si>
  <si>
    <t xml:space="preserve">CORACAO DA ALCATRA BASSI ANGUS MARFRIG</t>
  </si>
  <si>
    <t xml:space="preserve">2291</t>
  </si>
  <si>
    <t xml:space="preserve">PICANHA BOV AUSTRALIANA CONG TEYS IMP</t>
  </si>
  <si>
    <t xml:space="preserve">926</t>
  </si>
  <si>
    <t xml:space="preserve">TEYS USA</t>
  </si>
  <si>
    <t xml:space="preserve">2292</t>
  </si>
  <si>
    <t xml:space="preserve">COSTELA DE CORDEIRO ESTANCIA 92</t>
  </si>
  <si>
    <t xml:space="preserve">24/01/2023</t>
  </si>
  <si>
    <t xml:space="preserve">2293</t>
  </si>
  <si>
    <t xml:space="preserve">PALETA DE CORDEIRO ESTANCIA 92</t>
  </si>
  <si>
    <t xml:space="preserve">PALETA</t>
  </si>
  <si>
    <t xml:space="preserve">2294</t>
  </si>
  <si>
    <t xml:space="preserve">PICANHA BOV OAKEY BLACK ANGUS RESERVE</t>
  </si>
  <si>
    <t xml:space="preserve">754</t>
  </si>
  <si>
    <t xml:space="preserve">PARKER-MIGLIORINI INTERNATIONAL DO BRASIL LTDA</t>
  </si>
  <si>
    <t xml:space="preserve">25/01/2023</t>
  </si>
  <si>
    <t xml:space="preserve">2295</t>
  </si>
  <si>
    <t xml:space="preserve">FIGADO FRANGO CONG PERDIGAO 16 KG</t>
  </si>
  <si>
    <t xml:space="preserve">26/01/2023</t>
  </si>
  <si>
    <t xml:space="preserve">2296</t>
  </si>
  <si>
    <t xml:space="preserve">EMBUTIDO MISTO CALABRESA</t>
  </si>
  <si>
    <t xml:space="preserve">2297</t>
  </si>
  <si>
    <t xml:space="preserve">LINGUICA CALABRESA NOBRE 5 KG</t>
  </si>
  <si>
    <t xml:space="preserve">01/02/2023</t>
  </si>
  <si>
    <t xml:space="preserve">2298</t>
  </si>
  <si>
    <t xml:space="preserve">MAMINHA RESF BEEF HOUSE PANTANAL</t>
  </si>
  <si>
    <t xml:space="preserve">64</t>
  </si>
  <si>
    <t xml:space="preserve">MAMINHA RESFRIADA</t>
  </si>
  <si>
    <t xml:space="preserve">2299</t>
  </si>
  <si>
    <t xml:space="preserve">ALCATRA C/ MAMINHA BEEF HOUSE RESF PANTA</t>
  </si>
  <si>
    <t xml:space="preserve">2300</t>
  </si>
  <si>
    <t xml:space="preserve">ALCATRA C/ MAMINHA RESF ZONA SUL PANTANA</t>
  </si>
  <si>
    <t xml:space="preserve">2301</t>
  </si>
  <si>
    <t xml:space="preserve">INGREDIENTE P/ SARAPATEL SAUDALI</t>
  </si>
  <si>
    <t xml:space="preserve">2064900</t>
  </si>
  <si>
    <t xml:space="preserve">2302</t>
  </si>
  <si>
    <t xml:space="preserve">BACON EM MANTA CONG PAMPLONA</t>
  </si>
  <si>
    <t xml:space="preserve">02/02/2023</t>
  </si>
  <si>
    <t xml:space="preserve">2303</t>
  </si>
  <si>
    <t xml:space="preserve">PRESUNTO DE PERU RESF PERDIGAO</t>
  </si>
  <si>
    <t xml:space="preserve">16023100.</t>
  </si>
  <si>
    <t xml:space="preserve">PREPARACOES ALIMENTICIAS E CONSERVAS,DE PERU</t>
  </si>
  <si>
    <t xml:space="preserve">16023100</t>
  </si>
  <si>
    <t xml:space="preserve">06/02/2023</t>
  </si>
  <si>
    <t xml:space="preserve">2304</t>
  </si>
  <si>
    <t xml:space="preserve">FILEZINHO FGO C/TEND EGLESS PERDIGAO</t>
  </si>
  <si>
    <t xml:space="preserve">08/02/2023</t>
  </si>
  <si>
    <t xml:space="preserve">2305</t>
  </si>
  <si>
    <t xml:space="preserve">COXAO MOLE CONG FRIBOI 1953</t>
  </si>
  <si>
    <t xml:space="preserve">10/02/2023</t>
  </si>
  <si>
    <t xml:space="preserve">2306</t>
  </si>
  <si>
    <t xml:space="preserve">CORACAO DA ALCATRA CONG BABY BEEF 1953</t>
  </si>
  <si>
    <t xml:space="preserve">2307</t>
  </si>
  <si>
    <t xml:space="preserve">FILE DE COSTELA BOV CONG FRIBOI 1953</t>
  </si>
  <si>
    <t xml:space="preserve">2308</t>
  </si>
  <si>
    <t xml:space="preserve">LINGUICA DE FRANGO AURORA 5KG</t>
  </si>
  <si>
    <t xml:space="preserve">LINGUICA</t>
  </si>
  <si>
    <t xml:space="preserve">13/02/2023</t>
  </si>
  <si>
    <t xml:space="preserve">2309</t>
  </si>
  <si>
    <t xml:space="preserve">CARCAÇA CONG NAT 1.1 KG</t>
  </si>
  <si>
    <t xml:space="preserve">757</t>
  </si>
  <si>
    <t xml:space="preserve">VIBRA AGROINDUSTRIAL S/A</t>
  </si>
  <si>
    <t xml:space="preserve">14/02/2023</t>
  </si>
  <si>
    <t xml:space="preserve">2310</t>
  </si>
  <si>
    <t xml:space="preserve">CARCAÇA CONG NAT 1.2 KG</t>
  </si>
  <si>
    <t xml:space="preserve">2311</t>
  </si>
  <si>
    <t xml:space="preserve">PRESUNTO DE PERU SADIA</t>
  </si>
  <si>
    <t xml:space="preserve">17/02/2023</t>
  </si>
  <si>
    <t xml:space="preserve">2312</t>
  </si>
  <si>
    <t xml:space="preserve">FIGADO DE FRANGO CONG FRANGO RICO</t>
  </si>
  <si>
    <t xml:space="preserve">20/02/2023</t>
  </si>
  <si>
    <t xml:space="preserve">2313</t>
  </si>
  <si>
    <t xml:space="preserve">PICANHA FATIADA SWIFT BLACK CONG FRIBOI</t>
  </si>
  <si>
    <t xml:space="preserve">151</t>
  </si>
  <si>
    <t xml:space="preserve">LINHA SWIFT BLACK</t>
  </si>
  <si>
    <t xml:space="preserve">CX +/- 13 KG</t>
  </si>
  <si>
    <t xml:space="preserve">22/02/2023</t>
  </si>
  <si>
    <t xml:space="preserve">2314</t>
  </si>
  <si>
    <t xml:space="preserve">BIFE ANCHO CAMPOS DEL PLATA 2KG UP</t>
  </si>
  <si>
    <t xml:space="preserve">24/02/2023</t>
  </si>
  <si>
    <t xml:space="preserve">2315</t>
  </si>
  <si>
    <t xml:space="preserve">MAMINHA DA ALCATRA CONG FRIGOSALTO</t>
  </si>
  <si>
    <t xml:space="preserve">2316</t>
  </si>
  <si>
    <t xml:space="preserve">MAMINHA DA ALCATRA CAMPOS DEL PLATA B</t>
  </si>
  <si>
    <t xml:space="preserve">2317</t>
  </si>
  <si>
    <t xml:space="preserve">MAMINHA DA ALCATRA CAMPOS DEL PLATA A</t>
  </si>
  <si>
    <t xml:space="preserve">2318</t>
  </si>
  <si>
    <t xml:space="preserve">SHORT RACK LA PARRILHA</t>
  </si>
  <si>
    <t xml:space="preserve">2319</t>
  </si>
  <si>
    <t xml:space="preserve">PALETA DE CORDEIRO LAS PIEDRAS</t>
  </si>
  <si>
    <t xml:space="preserve">2320</t>
  </si>
  <si>
    <t xml:space="preserve">FRENCH RACK LA PARRILLA 12/14 OZ</t>
  </si>
  <si>
    <t xml:space="preserve">CX +/- 8 KG</t>
  </si>
  <si>
    <t xml:space="preserve">2321</t>
  </si>
  <si>
    <t xml:space="preserve">FRENCH RACK LA PARRILLA 14/16 OZ</t>
  </si>
  <si>
    <t xml:space="preserve">2323</t>
  </si>
  <si>
    <t xml:space="preserve">PRESUNTO DE PERU COZIDO SADIA</t>
  </si>
  <si>
    <t xml:space="preserve">CX 6,8 KG</t>
  </si>
  <si>
    <t xml:space="preserve">27/02/2023</t>
  </si>
  <si>
    <t xml:space="preserve">2324</t>
  </si>
  <si>
    <t xml:space="preserve">MOTOR PARTIDA</t>
  </si>
  <si>
    <t xml:space="preserve">85114000.</t>
  </si>
  <si>
    <t xml:space="preserve">MOTORES DE ARRANQUE, MESMO FUNCIONANDO COMO GERADORES</t>
  </si>
  <si>
    <t xml:space="preserve">85114000</t>
  </si>
  <si>
    <t xml:space="preserve">2325</t>
  </si>
  <si>
    <t xml:space="preserve">CARNE MOIDA CONG TUDBOM 500G</t>
  </si>
  <si>
    <t xml:space="preserve">04/03/2023</t>
  </si>
  <si>
    <t xml:space="preserve">2326</t>
  </si>
  <si>
    <t xml:space="preserve">BIFE DE CHORIZO CONG BASSI ANGUS</t>
  </si>
  <si>
    <t xml:space="preserve">06/03/2023</t>
  </si>
  <si>
    <t xml:space="preserve">2327</t>
  </si>
  <si>
    <t xml:space="preserve">ACEM BOV (SHORT RIB) BASSI MARFRIG</t>
  </si>
  <si>
    <t xml:space="preserve">2328</t>
  </si>
  <si>
    <t xml:space="preserve">COSTELA JANELA CONG MARFRIG</t>
  </si>
  <si>
    <t xml:space="preserve">2329</t>
  </si>
  <si>
    <t xml:space="preserve">ALCA DE APOIO</t>
  </si>
  <si>
    <t xml:space="preserve">592</t>
  </si>
  <si>
    <t xml:space="preserve">BARATAO MATERIAL DE CONSTRUCAO LTDA</t>
  </si>
  <si>
    <t xml:space="preserve">73071920.</t>
  </si>
  <si>
    <t xml:space="preserve">DE ACO</t>
  </si>
  <si>
    <t xml:space="preserve">73071920</t>
  </si>
  <si>
    <t xml:space="preserve">07/03/2023</t>
  </si>
  <si>
    <t xml:space="preserve">2330</t>
  </si>
  <si>
    <t xml:space="preserve">TENDA TRIANG TP NAT</t>
  </si>
  <si>
    <t xml:space="preserve">63061200.</t>
  </si>
  <si>
    <t xml:space="preserve">DE FIBRAS SINTETICAS</t>
  </si>
  <si>
    <t xml:space="preserve">63061200</t>
  </si>
  <si>
    <t xml:space="preserve">2331</t>
  </si>
  <si>
    <t xml:space="preserve">PATINHO ZONA SUL RESF FRIG PANTANAL</t>
  </si>
  <si>
    <t xml:space="preserve">2332</t>
  </si>
  <si>
    <t xml:space="preserve">LINGUICA COM PIMENTA BIQUINHO CONG SUINC</t>
  </si>
  <si>
    <t xml:space="preserve">08/03/2023</t>
  </si>
  <si>
    <t xml:space="preserve">2333</t>
  </si>
  <si>
    <t xml:space="preserve">BISTECA SUINA CONG SUINCO</t>
  </si>
  <si>
    <t xml:space="preserve">2334</t>
  </si>
  <si>
    <t xml:space="preserve">PRIME RIB CARRE SADIA SPECIALE</t>
  </si>
  <si>
    <t xml:space="preserve">CX 5,6 KG</t>
  </si>
  <si>
    <t xml:space="preserve">13/03/2023</t>
  </si>
  <si>
    <t xml:space="preserve">2335</t>
  </si>
  <si>
    <t xml:space="preserve">BIFE ANCHO SOBREPALETA SADIA SPECIALE</t>
  </si>
  <si>
    <t xml:space="preserve">CX 8,4 KG</t>
  </si>
  <si>
    <t xml:space="preserve">2336</t>
  </si>
  <si>
    <t xml:space="preserve">PIVO INF</t>
  </si>
  <si>
    <t xml:space="preserve">17/03/2023</t>
  </si>
  <si>
    <t xml:space="preserve">2337</t>
  </si>
  <si>
    <t xml:space="preserve">LAGARTO BOV CONG FRIBOI 1953</t>
  </si>
  <si>
    <t xml:space="preserve">2338</t>
  </si>
  <si>
    <t xml:space="preserve">CRACHA</t>
  </si>
  <si>
    <t xml:space="preserve">758</t>
  </si>
  <si>
    <t xml:space="preserve">COMPUCARD INDUSTRIA, COMERCIO E SERVICOS DE IMPRESSAO LTDA</t>
  </si>
  <si>
    <t xml:space="preserve">6002</t>
  </si>
  <si>
    <t xml:space="preserve">28/03/2023</t>
  </si>
  <si>
    <t xml:space="preserve">2339</t>
  </si>
  <si>
    <t xml:space="preserve">LINGUIÇA LOMBO SUINO ALHO E ERVA PREMIUM</t>
  </si>
  <si>
    <t xml:space="preserve">LINHA AURORA PREMIUM</t>
  </si>
  <si>
    <t xml:space="preserve">03/04/2023</t>
  </si>
  <si>
    <t xml:space="preserve">2340</t>
  </si>
  <si>
    <t xml:space="preserve">LINGUIÇA TOSCANA C/ QUEIJO COALH PREMIUM</t>
  </si>
  <si>
    <t xml:space="preserve">2341</t>
  </si>
  <si>
    <t xml:space="preserve">LINGUIÇA TOSCANA CERV E CEB CAR PREMIUM</t>
  </si>
  <si>
    <t xml:space="preserve">2342</t>
  </si>
  <si>
    <t xml:space="preserve">PRESUNTO DE PERU RESF PERDIGAO 7 KG</t>
  </si>
  <si>
    <t xml:space="preserve">05/04/2023</t>
  </si>
  <si>
    <t xml:space="preserve">2343</t>
  </si>
  <si>
    <t xml:space="preserve">CONTATOR</t>
  </si>
  <si>
    <t xml:space="preserve">06/04/2023</t>
  </si>
  <si>
    <t xml:space="preserve">2344</t>
  </si>
  <si>
    <t xml:space="preserve">INGREDIENTE FEIJOADA SUINCO 10 KG</t>
  </si>
  <si>
    <t xml:space="preserve">10/04/2023</t>
  </si>
  <si>
    <t xml:space="preserve">2345</t>
  </si>
  <si>
    <t xml:space="preserve">MORTADELA TUBULAR SUINCO 3 KG</t>
  </si>
  <si>
    <t xml:space="preserve">2346</t>
  </si>
  <si>
    <t xml:space="preserve">MORTADELA TUBULAR SUINCO 1 KG</t>
  </si>
  <si>
    <t xml:space="preserve">2347</t>
  </si>
  <si>
    <t xml:space="preserve">BACON EM MANTA EXTRA PALETA SUINCO</t>
  </si>
  <si>
    <t xml:space="preserve">2348</t>
  </si>
  <si>
    <t xml:space="preserve">BACON EM CUBOS SUINCO 4 KG</t>
  </si>
  <si>
    <t xml:space="preserve">2349</t>
  </si>
  <si>
    <t xml:space="preserve">LINGUICA CALABRESA FATIADA SUINCO 5 KG</t>
  </si>
  <si>
    <t xml:space="preserve">CX 5 KG</t>
  </si>
  <si>
    <t xml:space="preserve">2350</t>
  </si>
  <si>
    <t xml:space="preserve">FIGADO BOV CONG IMP TACUAREMBO</t>
  </si>
  <si>
    <t xml:space="preserve">ASA BRANCA INDL. COML. E IMPORTADORA LTDA</t>
  </si>
  <si>
    <t xml:space="preserve">11/04/2023</t>
  </si>
  <si>
    <t xml:space="preserve">2351</t>
  </si>
  <si>
    <t xml:space="preserve">FILE DE PANGA BEM APARADO CONG 170G UP</t>
  </si>
  <si>
    <t xml:space="preserve">PESCADOS</t>
  </si>
  <si>
    <t xml:space="preserve">FILE DE PANGA</t>
  </si>
  <si>
    <t xml:space="preserve">CX 9,6 KG</t>
  </si>
  <si>
    <t xml:space="preserve">03046290.</t>
  </si>
  <si>
    <t xml:space="preserve">PEIXES E CRUSTÁCEOS, MOLUSCOS E OS OUTROS INVERTEBRADOS AQUÁTICOS - FILÉS DE PEIXES E OUTRA CARNE DE PEIXES (MESMO PICADA), FRESCOS, REFRIGERADOS OU CONGELADOS - FILÉS DE TILÁPIAS (OREOCHROMIS SPP.), BAGRES (PANGASIUS SPP., SILURUS SPP., CLARIAS SPP., ICTALURUS SPP.)</t>
  </si>
  <si>
    <t xml:space="preserve">3046290</t>
  </si>
  <si>
    <t xml:space="preserve">17/04/2023</t>
  </si>
  <si>
    <t xml:space="preserve">2352</t>
  </si>
  <si>
    <t xml:space="preserve">FILE DE PANGA MAL APARADO CONG 170G UP</t>
  </si>
  <si>
    <t xml:space="preserve">2353</t>
  </si>
  <si>
    <t xml:space="preserve">BOB TERMICA</t>
  </si>
  <si>
    <t xml:space="preserve">48119010.</t>
  </si>
  <si>
    <t xml:space="preserve">48119010</t>
  </si>
  <si>
    <t xml:space="preserve">2354</t>
  </si>
  <si>
    <t xml:space="preserve">BL ANOTACOES</t>
  </si>
  <si>
    <t xml:space="preserve">2355</t>
  </si>
  <si>
    <t xml:space="preserve">VIDRO PARABRISA</t>
  </si>
  <si>
    <t xml:space="preserve">JOAO PAULO PORTO UCHOA</t>
  </si>
  <si>
    <t xml:space="preserve">70072100</t>
  </si>
  <si>
    <t xml:space="preserve">2356</t>
  </si>
  <si>
    <t xml:space="preserve">ESGUINCHO BRUCUTU</t>
  </si>
  <si>
    <t xml:space="preserve">85129000</t>
  </si>
  <si>
    <t xml:space="preserve">2357</t>
  </si>
  <si>
    <t xml:space="preserve">EQUIPAMENTO REFRIGERACAO</t>
  </si>
  <si>
    <t xml:space="preserve">EQ TECH EQUIPAMENTOS LTDA</t>
  </si>
  <si>
    <t xml:space="preserve">84186940.</t>
  </si>
  <si>
    <t xml:space="preserve">GRUPOS FRIGORIFICOS DE COMPRESSAO PARA REFRIGERACAO OU PARA</t>
  </si>
  <si>
    <t xml:space="preserve">84186940</t>
  </si>
  <si>
    <t xml:space="preserve">27/04/2023</t>
  </si>
  <si>
    <t xml:space="preserve">2358</t>
  </si>
  <si>
    <t xml:space="preserve">SALSICHA HOT DOG CONG GUIBOM</t>
  </si>
  <si>
    <t xml:space="preserve">28/04/2023</t>
  </si>
  <si>
    <t xml:space="preserve">2359</t>
  </si>
  <si>
    <t xml:space="preserve">COXAO MOLE CONG QUALITYBEEF TIPO EXPORTA</t>
  </si>
  <si>
    <t xml:space="preserve">02/05/2023</t>
  </si>
  <si>
    <t xml:space="preserve">2360</t>
  </si>
  <si>
    <t xml:space="preserve">CARROCERIA FURGAO</t>
  </si>
  <si>
    <t xml:space="preserve">756</t>
  </si>
  <si>
    <t xml:space="preserve">FACCHINI S/A</t>
  </si>
  <si>
    <t xml:space="preserve">CARROCERIAS</t>
  </si>
  <si>
    <t xml:space="preserve">03/05/2023</t>
  </si>
  <si>
    <t xml:space="preserve">2361</t>
  </si>
  <si>
    <t xml:space="preserve">COSTELA DE OVINO PAMPAS</t>
  </si>
  <si>
    <t xml:space="preserve">PAMPAS DISTRIBUIDORA DE ALIMENTOS LTDA</t>
  </si>
  <si>
    <t xml:space="preserve">08/05/2023</t>
  </si>
  <si>
    <t xml:space="preserve">2362</t>
  </si>
  <si>
    <t xml:space="preserve">COSTELA TEMPERADA DE OVINO S/OSSO PAMPAS</t>
  </si>
  <si>
    <t xml:space="preserve">02044300.</t>
  </si>
  <si>
    <t xml:space="preserve">CARNES DESOSSADAS DE OVINO,CONGELADAS</t>
  </si>
  <si>
    <t xml:space="preserve">2044300</t>
  </si>
  <si>
    <t xml:space="preserve">2363</t>
  </si>
  <si>
    <t xml:space="preserve">COSTELA DE OVINO C/OSSO PAMPAS 2,5 UP</t>
  </si>
  <si>
    <t xml:space="preserve">2364</t>
  </si>
  <si>
    <t xml:space="preserve">PERNIL DE OVINO C/OSSO PAMPAS 1,8 A 2,3</t>
  </si>
  <si>
    <t xml:space="preserve">2365</t>
  </si>
  <si>
    <t xml:space="preserve">PERNIL DE OVINO S/OSSO PAMPAS</t>
  </si>
  <si>
    <t xml:space="preserve">2366</t>
  </si>
  <si>
    <t xml:space="preserve">PICANHA DE OVINO S/OSSO PAMPAS</t>
  </si>
  <si>
    <t xml:space="preserve">2367</t>
  </si>
  <si>
    <t xml:space="preserve">COSTELA DE OVINO TEMPERADA C/OSSO PAMPAS</t>
  </si>
  <si>
    <t xml:space="preserve">2368</t>
  </si>
  <si>
    <t xml:space="preserve">PALETA DE OVINO C/OSSO PAMPAS 1,9 A 2,2</t>
  </si>
  <si>
    <t xml:space="preserve">2369</t>
  </si>
  <si>
    <t xml:space="preserve">PESCOÇO FATIADO DE OVINO C/OSSO PAMPAS</t>
  </si>
  <si>
    <t xml:space="preserve">PESCOÇO</t>
  </si>
  <si>
    <t xml:space="preserve">2370</t>
  </si>
  <si>
    <t xml:space="preserve">PESCOÇO DE OVINO S/OSSO PAMPAS</t>
  </si>
  <si>
    <t xml:space="preserve">2371</t>
  </si>
  <si>
    <t xml:space="preserve">LOMBO SUINO S/OSSO TEMPERADO SUINCO</t>
  </si>
  <si>
    <t xml:space="preserve">2372</t>
  </si>
  <si>
    <t xml:space="preserve">TOUCINHO LOMBAR C/PELE CONG SUINCO</t>
  </si>
  <si>
    <t xml:space="preserve">TOUCINHO</t>
  </si>
  <si>
    <t xml:space="preserve">02091011.</t>
  </si>
  <si>
    <t xml:space="preserve">CARNES E MIUDEZAS, COMESTÍVEIS - TOUCINHO SEM PARTES MAGRAS, GORDURAS DE PORCO E DE AVES, NÃO FUNDIDAS NEM EXTRAÍDAS DE OUTRO MODO, FRESCOS, REFRIGERADOS, CONGELADOS, SALGADOS OU EM SALMOURA, SECOS OU DEFUMADOS. - DE PORCO - TOUCINHO - FRESCO, REFRIGERADO OU CONGELADO</t>
  </si>
  <si>
    <t xml:space="preserve">2091011</t>
  </si>
  <si>
    <t xml:space="preserve">2373</t>
  </si>
  <si>
    <t xml:space="preserve">MORTADELA DEFUMADA SUINCO</t>
  </si>
  <si>
    <t xml:space="preserve">2374</t>
  </si>
  <si>
    <t xml:space="preserve">CELULAR MOTOROLA E13 64GB GRAFITE</t>
  </si>
  <si>
    <t xml:space="preserve">85171300.</t>
  </si>
  <si>
    <t xml:space="preserve">MÁQUINAS, APARELHOS E MATERIAIS ELÉTRICOS, E SUAS PARTES; APARELHOS DE GRAVAÇÃO OU DE REPRODUÇÃO DE SOM, APARELHOS DE GRAVAÇÃO OU DE REPRODUÇÃO DE IMAGENS E DE SOM EM TELEVISÃO, E SUAS PARTES E ACESSÓRIOS - APARELHOS TELEFÔNICOS,</t>
  </si>
  <si>
    <t xml:space="preserve">85171300</t>
  </si>
  <si>
    <t xml:space="preserve">09/05/2023</t>
  </si>
  <si>
    <t xml:space="preserve">2375</t>
  </si>
  <si>
    <t xml:space="preserve">PE SUINO SALGADO DALLA</t>
  </si>
  <si>
    <t xml:space="preserve">DALLA COMERCIAL DE ALIMENTOS LTDA</t>
  </si>
  <si>
    <t xml:space="preserve">02101100.</t>
  </si>
  <si>
    <t xml:space="preserve">PERNAS/PAS/PEDACOS,DE SUINO,N/DESOSSADOS,SALGADOS,ETC.</t>
  </si>
  <si>
    <t xml:space="preserve">2101100</t>
  </si>
  <si>
    <t xml:space="preserve">12/05/2023</t>
  </si>
  <si>
    <t xml:space="preserve">2376</t>
  </si>
  <si>
    <t xml:space="preserve">MASCARA SALGADA SUINA DALLA</t>
  </si>
  <si>
    <t xml:space="preserve">2377</t>
  </si>
  <si>
    <t xml:space="preserve">COSTELA SUINA SALGADA DALLA</t>
  </si>
  <si>
    <t xml:space="preserve">COSTELA SALGADA</t>
  </si>
  <si>
    <t xml:space="preserve">2378</t>
  </si>
  <si>
    <t xml:space="preserve">COXAO DURO BOV RESF PLENA ALIMENTOS</t>
  </si>
  <si>
    <t xml:space="preserve">16/05/2023</t>
  </si>
  <si>
    <t xml:space="preserve">2379</t>
  </si>
  <si>
    <t xml:space="preserve">ALCATRA C/ MAMINHA RESF PLENA ALIMENTOS</t>
  </si>
  <si>
    <t xml:space="preserve">2380</t>
  </si>
  <si>
    <t xml:space="preserve">FILE DE PANGA BEM APARADO CONG 220G UP</t>
  </si>
  <si>
    <t xml:space="preserve">1,78981E+13</t>
  </si>
  <si>
    <t xml:space="preserve">7,89811E+12</t>
  </si>
  <si>
    <t xml:space="preserve">2381</t>
  </si>
  <si>
    <t xml:space="preserve">PICANHA SUINA CONG FRIMESA</t>
  </si>
  <si>
    <t xml:space="preserve">PICANHA SUINA</t>
  </si>
  <si>
    <t xml:space="preserve">18/05/2023</t>
  </si>
  <si>
    <t xml:space="preserve">2382</t>
  </si>
  <si>
    <t xml:space="preserve">LINGUICA TOSCANA FRIMESA PCT 5KG</t>
  </si>
  <si>
    <t xml:space="preserve">2383</t>
  </si>
  <si>
    <t xml:space="preserve">LINGUICA TOSCANA FRIMESA PCT 1KG</t>
  </si>
  <si>
    <t xml:space="preserve">2384</t>
  </si>
  <si>
    <t xml:space="preserve">LINGUICA CALABRESA FRESCAL FRIMESA</t>
  </si>
  <si>
    <t xml:space="preserve">2385</t>
  </si>
  <si>
    <t xml:space="preserve">CARCACA SUINA 5 PARTES CONG FRIMESA</t>
  </si>
  <si>
    <t xml:space="preserve">CARCACA SUINA</t>
  </si>
  <si>
    <t xml:space="preserve">CX +/- 40 KG</t>
  </si>
  <si>
    <t xml:space="preserve">02032100.</t>
  </si>
  <si>
    <t xml:space="preserve">CARCACAS E MEIAS-CARCACAS DE SUINO,CONGELADAS</t>
  </si>
  <si>
    <t xml:space="preserve">2032100</t>
  </si>
  <si>
    <t xml:space="preserve">19/05/2023</t>
  </si>
  <si>
    <t xml:space="preserve">2386</t>
  </si>
  <si>
    <t xml:space="preserve">PEPERONI FATIADO CONG FRIMESA</t>
  </si>
  <si>
    <t xml:space="preserve">PEPPERONI</t>
  </si>
  <si>
    <t xml:space="preserve">CX 9 KG</t>
  </si>
  <si>
    <t xml:space="preserve">2387</t>
  </si>
  <si>
    <t xml:space="preserve">CONTRA FILE BOV CONG RIO MARIA</t>
  </si>
  <si>
    <t xml:space="preserve">23/05/2023</t>
  </si>
  <si>
    <t xml:space="preserve">2388</t>
  </si>
  <si>
    <t xml:space="preserve">PATINHO BOV CONG RIO MARIA</t>
  </si>
  <si>
    <t xml:space="preserve">2389</t>
  </si>
  <si>
    <t xml:space="preserve">PEITO S/OSSO S/PELE CONG PERDIGAO 15KG</t>
  </si>
  <si>
    <t xml:space="preserve">PEITO SEM OSSO</t>
  </si>
  <si>
    <t xml:space="preserve">25/05/2023</t>
  </si>
  <si>
    <t xml:space="preserve">2390</t>
  </si>
  <si>
    <t xml:space="preserve">BACO BOVINO CONG LKJ</t>
  </si>
  <si>
    <t xml:space="preserve">BACO</t>
  </si>
  <si>
    <t xml:space="preserve">26/05/2023</t>
  </si>
  <si>
    <t xml:space="preserve">2391</t>
  </si>
  <si>
    <t xml:space="preserve">FRANGO POLIET CONG BONASA 18 KG</t>
  </si>
  <si>
    <t xml:space="preserve">30/05/2023</t>
  </si>
  <si>
    <t xml:space="preserve">2392</t>
  </si>
  <si>
    <t xml:space="preserve">CARNE MOIDA CONG TODA HORA PLENA 1 KG</t>
  </si>
  <si>
    <t xml:space="preserve">2393</t>
  </si>
  <si>
    <t xml:space="preserve">BUCHO BOV CONG MASTERBOI</t>
  </si>
  <si>
    <t xml:space="preserve">31/05/2023</t>
  </si>
  <si>
    <t xml:space="preserve">2394</t>
  </si>
  <si>
    <t xml:space="preserve">DIANTEIRO RESFRIADO FRIG ALIANÇA</t>
  </si>
  <si>
    <t xml:space="preserve">M G DA SILVA FILHO LTDA</t>
  </si>
  <si>
    <t xml:space="preserve">02022010.</t>
  </si>
  <si>
    <t xml:space="preserve">QUARTOS DIANTEIROS NAO DESOSSADOS DE BOVINO,CONGELADOS</t>
  </si>
  <si>
    <t xml:space="preserve">2022010</t>
  </si>
  <si>
    <t xml:space="preserve">13/06/2023</t>
  </si>
  <si>
    <t xml:space="preserve">2395</t>
  </si>
  <si>
    <t xml:space="preserve">FILEZINHO SASSAMI INDIVIDUAL FRANGO RICO</t>
  </si>
  <si>
    <t xml:space="preserve">19/06/2023</t>
  </si>
  <si>
    <t xml:space="preserve">2396</t>
  </si>
  <si>
    <t xml:space="preserve">CHICOTE P/ CONECTOR</t>
  </si>
  <si>
    <t xml:space="preserve">20/06/2023</t>
  </si>
  <si>
    <t xml:space="preserve">2397</t>
  </si>
  <si>
    <t xml:space="preserve">GAS DE LIMPEZA</t>
  </si>
  <si>
    <t xml:space="preserve">A G DE SOUSA SILVA LTDA</t>
  </si>
  <si>
    <t xml:space="preserve">73170090</t>
  </si>
  <si>
    <t xml:space="preserve">2398</t>
  </si>
  <si>
    <t xml:space="preserve">ORING DE VEDACAO</t>
  </si>
  <si>
    <t xml:space="preserve">2399</t>
  </si>
  <si>
    <t xml:space="preserve">CARGA NITROGENIO</t>
  </si>
  <si>
    <t xml:space="preserve">28043000.</t>
  </si>
  <si>
    <t xml:space="preserve">NITROGENIO</t>
  </si>
  <si>
    <t xml:space="preserve">28043000</t>
  </si>
  <si>
    <t xml:space="preserve">2400</t>
  </si>
  <si>
    <t xml:space="preserve">LAGARTO BOV RESF FRIGOTIL</t>
  </si>
  <si>
    <t xml:space="preserve">26/06/2023</t>
  </si>
  <si>
    <t xml:space="preserve">2401</t>
  </si>
  <si>
    <t xml:space="preserve">COXAO DURO BOV RESF FRIGOTIL</t>
  </si>
  <si>
    <t xml:space="preserve">2402</t>
  </si>
  <si>
    <t xml:space="preserve">MOCOTO BOV CONG VALENCIO</t>
  </si>
  <si>
    <t xml:space="preserve">2403</t>
  </si>
  <si>
    <t xml:space="preserve">PRATO FUNDO</t>
  </si>
  <si>
    <t xml:space="preserve">48236900.</t>
  </si>
  <si>
    <t xml:space="preserve">48236900</t>
  </si>
  <si>
    <t xml:space="preserve">27/06/2023</t>
  </si>
  <si>
    <t xml:space="preserve">2404</t>
  </si>
  <si>
    <t xml:space="preserve">PAZINHA SORVETE</t>
  </si>
  <si>
    <t xml:space="preserve">2405</t>
  </si>
  <si>
    <t xml:space="preserve">ANILHA CANO HIDRAULICO</t>
  </si>
  <si>
    <t xml:space="preserve">73079900.</t>
  </si>
  <si>
    <t xml:space="preserve">73079900</t>
  </si>
  <si>
    <t xml:space="preserve">29/06/2023</t>
  </si>
  <si>
    <t xml:space="preserve">2406</t>
  </si>
  <si>
    <t xml:space="preserve">ERVILHA CONG FLAVOR 4X 2,5 KG</t>
  </si>
  <si>
    <t xml:space="preserve">CORBRAS COMERCIO IMPORTACAO E EXPORTACAO LTDA</t>
  </si>
  <si>
    <t xml:space="preserve">ERVILHAS</t>
  </si>
  <si>
    <t xml:space="preserve">07102100.</t>
  </si>
  <si>
    <t xml:space="preserve">ERVILHAS CONGELADAS,NAO COZIDAS/COZIDAS EM AGUA/VAPOR</t>
  </si>
  <si>
    <t xml:space="preserve">7102100</t>
  </si>
  <si>
    <t xml:space="preserve">04/07/2023</t>
  </si>
  <si>
    <t xml:space="preserve">2407</t>
  </si>
  <si>
    <t xml:space="preserve">MILHO CONG FLAVOR 10 X 1,1 KG</t>
  </si>
  <si>
    <t xml:space="preserve">SECOS</t>
  </si>
  <si>
    <t xml:space="preserve">MILHOS VERDE</t>
  </si>
  <si>
    <t xml:space="preserve">MILHOS</t>
  </si>
  <si>
    <t xml:space="preserve">07104000.</t>
  </si>
  <si>
    <t xml:space="preserve">MILHO DOCE CONGELADO,N/COZIDO OU COZIDO EM AGUA/VAPOR</t>
  </si>
  <si>
    <t xml:space="preserve">7104000</t>
  </si>
  <si>
    <t xml:space="preserve">2408</t>
  </si>
  <si>
    <t xml:space="preserve">COUVE FLOR CONG FLAVOR 10 X 1,1 KG</t>
  </si>
  <si>
    <t xml:space="preserve">COUVE FLOR</t>
  </si>
  <si>
    <t xml:space="preserve">07108000.</t>
  </si>
  <si>
    <t xml:space="preserve">OUTROS PRODS.HORTICOLAS CONG.N/COZIDOS/COZIDOS AGUA/ETC</t>
  </si>
  <si>
    <t xml:space="preserve">7108000</t>
  </si>
  <si>
    <t xml:space="preserve">2409</t>
  </si>
  <si>
    <t xml:space="preserve">MIX RUSSA FLAVOR - BAT,ERV,CEN 10 X1,1KG</t>
  </si>
  <si>
    <t xml:space="preserve">MIX VEGETAIS</t>
  </si>
  <si>
    <t xml:space="preserve">07109000.</t>
  </si>
  <si>
    <t xml:space="preserve">MISTURAS DE PRODS.HORTS.CONG.N/COZIDOS/COZIDOS AGUA/ETC</t>
  </si>
  <si>
    <t xml:space="preserve">7109000</t>
  </si>
  <si>
    <t xml:space="preserve">2410</t>
  </si>
  <si>
    <t xml:space="preserve">DENTES DE ALHO CONG FLAVOR 10 X 1,1 KG</t>
  </si>
  <si>
    <t xml:space="preserve">ALHO</t>
  </si>
  <si>
    <t xml:space="preserve">2411</t>
  </si>
  <si>
    <t xml:space="preserve">BROCOLIS CONG FLAVOR 10 X 1,1 KG</t>
  </si>
  <si>
    <t xml:space="preserve">BROCOLIS</t>
  </si>
  <si>
    <t xml:space="preserve">2412</t>
  </si>
  <si>
    <t xml:space="preserve">KANI KAMA OCEANI PCT 50X200G CX 10 KG</t>
  </si>
  <si>
    <t xml:space="preserve">KANIKAMA</t>
  </si>
  <si>
    <t xml:space="preserve">16042090.</t>
  </si>
  <si>
    <t xml:space="preserve">OUTRAS PREPARACOES E CONSERVAS,DE OUTRAS PEIXES</t>
  </si>
  <si>
    <t xml:space="preserve">16042090</t>
  </si>
  <si>
    <t xml:space="preserve">06/07/2023</t>
  </si>
  <si>
    <t xml:space="preserve">2413</t>
  </si>
  <si>
    <t xml:space="preserve">FILE PANGA PCT 800G C/GORD OCEANI</t>
  </si>
  <si>
    <t xml:space="preserve">2414</t>
  </si>
  <si>
    <t xml:space="preserve">FILE SALMAO COHO PREM C/P VAC AQUACHILE</t>
  </si>
  <si>
    <t xml:space="preserve">FILE DE SALMAO</t>
  </si>
  <si>
    <t xml:space="preserve">03048100.</t>
  </si>
  <si>
    <t xml:space="preserve">PEIXES E CRUSTÁCEOS, MOLUSCOS E OS OUTROS INVERTEBRADOS AQUÁTICOS - FILÉS DE PEIXES E OUTRA CARNE DE PEIXES (MESMO PICADA), FRESCOS, REFRIGERADOS OU CONGELADOS - FILÉS DE OUTROS PEIXES, CONGELADOS: - SALMÕES-DO-PACÍFICO</t>
  </si>
  <si>
    <t xml:space="preserve">3048100</t>
  </si>
  <si>
    <t xml:space="preserve">2415</t>
  </si>
  <si>
    <t xml:space="preserve">PATINHO BOV CONG VALENCIO</t>
  </si>
  <si>
    <t xml:space="preserve">07/07/2023</t>
  </si>
  <si>
    <t xml:space="preserve">2416</t>
  </si>
  <si>
    <t xml:space="preserve">COXAO DURO BOV CONG VALENCIO</t>
  </si>
  <si>
    <t xml:space="preserve">2417</t>
  </si>
  <si>
    <t xml:space="preserve">MAMINHA DA ALCATRA BOV CONG TACUAREMBO</t>
  </si>
  <si>
    <t xml:space="preserve">10/07/2023</t>
  </si>
  <si>
    <t xml:space="preserve">2418</t>
  </si>
  <si>
    <t xml:space="preserve">PICANHA ARG TIPO A CONG FRIDEVI</t>
  </si>
  <si>
    <t xml:space="preserve">2419</t>
  </si>
  <si>
    <t xml:space="preserve">BIFE ANCHO ARGENTINA CONG ALBERDI</t>
  </si>
  <si>
    <t xml:space="preserve">OF FOODS DISTRIBUIDORA DE ALIMENTOS E BEBIDAS LTDA</t>
  </si>
  <si>
    <t xml:space="preserve">2420</t>
  </si>
  <si>
    <t xml:space="preserve">BIFE CHORIZO (CONTRA FILE) ARG ALBERDI</t>
  </si>
  <si>
    <t xml:space="preserve">2421</t>
  </si>
  <si>
    <t xml:space="preserve">FIGADO BOV CONG TACUAREMBO</t>
  </si>
  <si>
    <t xml:space="preserve">2422</t>
  </si>
  <si>
    <t xml:space="preserve">CAMERA DE TV</t>
  </si>
  <si>
    <t xml:space="preserve">2423</t>
  </si>
  <si>
    <t xml:space="preserve">LAVA AUTOS</t>
  </si>
  <si>
    <t xml:space="preserve">A. P. LOURENCO DE SOUZA</t>
  </si>
  <si>
    <t xml:space="preserve">34029090</t>
  </si>
  <si>
    <t xml:space="preserve">11/07/2023</t>
  </si>
  <si>
    <t xml:space="preserve">2424</t>
  </si>
  <si>
    <t xml:space="preserve">PRETINHO PNEU</t>
  </si>
  <si>
    <t xml:space="preserve">2425</t>
  </si>
  <si>
    <t xml:space="preserve">RENOVA PLASTICOS</t>
  </si>
  <si>
    <t xml:space="preserve">2426</t>
  </si>
  <si>
    <t xml:space="preserve">SATINIZANTE CARRO NOVO</t>
  </si>
  <si>
    <t xml:space="preserve">2427</t>
  </si>
  <si>
    <t xml:space="preserve">FRAHM SLIM OPTICAL</t>
  </si>
  <si>
    <t xml:space="preserve">ISRAEL ELETRONICA CONCEITO LTDA</t>
  </si>
  <si>
    <t xml:space="preserve">85437019.</t>
  </si>
  <si>
    <t xml:space="preserve">85437019</t>
  </si>
  <si>
    <t xml:space="preserve">2428</t>
  </si>
  <si>
    <t xml:space="preserve">PEITO BOV (BRISKET) 1953</t>
  </si>
  <si>
    <t xml:space="preserve">12/07/2023</t>
  </si>
  <si>
    <t xml:space="preserve">2429</t>
  </si>
  <si>
    <t xml:space="preserve">TENTACULO DE LULA CONG CX 21 KG</t>
  </si>
  <si>
    <t xml:space="preserve">LM IMPORTACAO E EXPORTACAO LTDA</t>
  </si>
  <si>
    <t xml:space="preserve">MOLUSCOS</t>
  </si>
  <si>
    <t xml:space="preserve">LULAS</t>
  </si>
  <si>
    <t xml:space="preserve">CX 21 KG</t>
  </si>
  <si>
    <t xml:space="preserve">03074310.</t>
  </si>
  <si>
    <t xml:space="preserve">PEIXES E CRUSTÁCEOS, MOLUSCOS E OS OUTROS INVERTEBRADOS AQUÁTICOS - MOLUSCOS, COM OU SEM CONCHA, VIVOS, FRESCOS, REFRIGERADOS, CONGELADOS, SECOS, SALGADOS OU EM SALMOURA; INVERTEBRADOS AQUÁTICOS, EXCETO CRUSTÁCEOS E MOLUSCOS, VIVOS, FRESCOS, REFRIGERADOS, CONGELADOS, SECOS, SALGADOS OU EM SALMOURA; FARINHAS, PÓS E ¿PELLETS¿ DE INVERTEBRADOS AQUÁTICOS, EXCETO CRUSTÁCEOS, PRÓPRIOS PARA ALIMENTAÇÃO HUMANA - SIBAS (SEPIA OFFICINALIS, ROSSIA MACROSOMA) E SEPIOLAS (SEPIOLA SPP); LULAS (OMMASTREPHES S </t>
  </si>
  <si>
    <t xml:space="preserve">3074310</t>
  </si>
  <si>
    <t xml:space="preserve">13/07/2023</t>
  </si>
  <si>
    <t xml:space="preserve">2430</t>
  </si>
  <si>
    <t xml:space="preserve">LULA ANEIS CONG CX 10 KG LM PESCADOS</t>
  </si>
  <si>
    <t xml:space="preserve">2431</t>
  </si>
  <si>
    <t xml:space="preserve">LULA TUBO CONG CX 10 KG LM PESCADOS</t>
  </si>
  <si>
    <t xml:space="preserve">2432</t>
  </si>
  <si>
    <t xml:space="preserve">TILAPIA POSTA CONG PCT 1 KG SO TILAPIAS</t>
  </si>
  <si>
    <t xml:space="preserve">J E C CHAGAS TILAPIAS LTDA</t>
  </si>
  <si>
    <t xml:space="preserve">TILAPIAS</t>
  </si>
  <si>
    <t xml:space="preserve">03043100.</t>
  </si>
  <si>
    <t xml:space="preserve">PEIXES E CRUSTÁCEOS, MOLUSCOS E OS OUTROS INVERTEBRADOS AQUÁTICOS - FILÉS DE PEIXES E OUTRA CARNE DE PEIXES (MESMO PICADA), FRESCOS, REFRIGERADOS OU CONGELADOS - FILÉS DE TILÁPIAS (OREOCHROMIS SPP.), BAGRES (PANGASIUS SPP., SILURUS SPP., CLARIAS SPP., ICTALURUS SPP.), CARPAS (CYPRINUS CARPIO, CARASSIUS CARASSIUS, CTENOPHARYNGODON IDELLUS, HYPOPHTHALMICHTHYS SPP., CIRRHINUS SPP., MYLOPHARYNGODON PICEUS), ENGUIAS (ANGUILLA SPP.), PERCA-DO-NILO (LATES NILOTICUS) E PEIXES CABEÇA-DE-SERPENTE (CHANNA</t>
  </si>
  <si>
    <t xml:space="preserve">3043100</t>
  </si>
  <si>
    <t xml:space="preserve">14/07/2023</t>
  </si>
  <si>
    <t xml:space="preserve">2433</t>
  </si>
  <si>
    <t xml:space="preserve">FILE TILAPIA S/PELE PCT 500G SO TILAPIAS</t>
  </si>
  <si>
    <t xml:space="preserve">2434</t>
  </si>
  <si>
    <t xml:space="preserve">PANGA FILE C/GORDURA GRANEL CX 10KG</t>
  </si>
  <si>
    <t xml:space="preserve">2435</t>
  </si>
  <si>
    <t xml:space="preserve">PANGA FILE PREMIUM IQF GRANEL CX 10KG</t>
  </si>
  <si>
    <t xml:space="preserve">2436</t>
  </si>
  <si>
    <t xml:space="preserve">BACALHAU SAITHE FILE DESSALGADO CX 10 KG</t>
  </si>
  <si>
    <t xml:space="preserve">BACALHAU</t>
  </si>
  <si>
    <t xml:space="preserve">03047300.</t>
  </si>
  <si>
    <t xml:space="preserve">PEIXES E CRUSTÁCEOS, MOLUSCOS E OS OUTROS INVERTEBRADOS AQUÁTICOS - FILÉS DE PEIXES E OUTRA CARNE DE PEIXES (MESMO PICADA), FRESCOS, REFRIGERADOS OU CONGELADOS - FILÉS DE PEIXES DAS FAMÍLIAS BREGMACEROTIDAE, EUCLICHTHYIDAE, GADIDAE, MACROURIDAE, MELANONIDAE, MERLUCCIIDAE, MORIDAE E MURAENOLEPIDIDAE, CONGELADOS: - SAITHE (ESCAMUDO*) (POLLACHIUS VIRENS)</t>
  </si>
  <si>
    <t xml:space="preserve">3047300</t>
  </si>
  <si>
    <t xml:space="preserve">2437</t>
  </si>
  <si>
    <t xml:space="preserve">FRALDA BOV RESF LKJ</t>
  </si>
  <si>
    <t xml:space="preserve">FRALDA</t>
  </si>
  <si>
    <t xml:space="preserve">2438</t>
  </si>
  <si>
    <t xml:space="preserve">PICANHA BABY DO CHEF CONG FRIBOI</t>
  </si>
  <si>
    <t xml:space="preserve">17/07/2023</t>
  </si>
  <si>
    <t xml:space="preserve">2439</t>
  </si>
  <si>
    <t xml:space="preserve">FILE POLACA ALASCA CONG PC 1 KG CX 10 KG</t>
  </si>
  <si>
    <t xml:space="preserve">FILE DE POLACA</t>
  </si>
  <si>
    <t xml:space="preserve">03047500.</t>
  </si>
  <si>
    <t xml:space="preserve">PEIXES E CRUSTÁCEOS, MOLUSCOS E OS OUTROS INVERTEBRADOS AQUÁTICOS - FILÉS DE PEIXES E OUTRA CARNE DE PEIXES (MESMO PICADA), FRESCOS, REFRIGERADOS OU CONGELADOS - FILÉS DE PEIXES DAS FAMÍLIAS BREGMACEROTIDAE, EUCLICHTHYIDAE, GADIDAE, MACROURIDAE, MELANONIDAE, MERLUCCIIDAE, MORIDAE E MURAENOLEPIDIDAE, CONGELADOS: - POLACA-DO-ALASCA (ESCAMUDO-DO-ALASCA*) (THERAGRA CHALCOGRAMMA)</t>
  </si>
  <si>
    <t xml:space="preserve">3047500</t>
  </si>
  <si>
    <t xml:space="preserve">25/07/2023</t>
  </si>
  <si>
    <t xml:space="preserve">2440</t>
  </si>
  <si>
    <t xml:space="preserve">COMUTADOR IGNICAO</t>
  </si>
  <si>
    <t xml:space="preserve">73102190</t>
  </si>
  <si>
    <t xml:space="preserve">26/07/2023</t>
  </si>
  <si>
    <t xml:space="preserve">2441</t>
  </si>
  <si>
    <t xml:space="preserve">COSTELA SUINA TEMPERADA CONG SUINCO</t>
  </si>
  <si>
    <t xml:space="preserve">2442</t>
  </si>
  <si>
    <t xml:space="preserve">COSTELA GRILL CONG PREMIADA SUINCO</t>
  </si>
  <si>
    <t xml:space="preserve">2443</t>
  </si>
  <si>
    <t xml:space="preserve">LINGUICA TP CALABRESA DEFUMADA PC 2,5 KG</t>
  </si>
  <si>
    <t xml:space="preserve">2444</t>
  </si>
  <si>
    <t xml:space="preserve">BARRIGA SUINA CONG SUINCO</t>
  </si>
  <si>
    <t xml:space="preserve">2445</t>
  </si>
  <si>
    <t xml:space="preserve">FILE MIGNON SUINO PREMIADA CONG SUINCO</t>
  </si>
  <si>
    <t xml:space="preserve">2446</t>
  </si>
  <si>
    <t xml:space="preserve">LINGUICA PAIO PREMIADA SUINCO PCT 2,5 KG</t>
  </si>
  <si>
    <t xml:space="preserve">2447</t>
  </si>
  <si>
    <t xml:space="preserve">BUZINA BIBI TODOS</t>
  </si>
  <si>
    <t xml:space="preserve">2448</t>
  </si>
  <si>
    <t xml:space="preserve">PALETA SUINA S/OSSO CONG FRIGOESTRELA</t>
  </si>
  <si>
    <t xml:space="preserve">31/07/2023</t>
  </si>
  <si>
    <t xml:space="preserve">2449</t>
  </si>
  <si>
    <t xml:space="preserve">PERNIL SUINO S/OSSO CONG FRIGOESTRELA</t>
  </si>
  <si>
    <t xml:space="preserve">2450</t>
  </si>
  <si>
    <t xml:space="preserve">CARRE CURTO DE OVINO C/OSSO ATE 1.2</t>
  </si>
  <si>
    <t xml:space="preserve">CARRÉ</t>
  </si>
  <si>
    <t xml:space="preserve">2451</t>
  </si>
  <si>
    <t xml:space="preserve">CARRE INTEIRO DE OVINO C/OSSO PAMPAS</t>
  </si>
  <si>
    <t xml:space="preserve">2452</t>
  </si>
  <si>
    <t xml:space="preserve">COXAO MOLE SWIFT BLACK CONG FRIBOI</t>
  </si>
  <si>
    <t xml:space="preserve">01/08/2023</t>
  </si>
  <si>
    <t xml:space="preserve">2453</t>
  </si>
  <si>
    <t xml:space="preserve">CONTRA FILE SWIFT BLACK CONG FRIBOI</t>
  </si>
  <si>
    <t xml:space="preserve">2454</t>
  </si>
  <si>
    <t xml:space="preserve">CAPA DE FILE SWIFT BLACK CONG FRIBOI</t>
  </si>
  <si>
    <t xml:space="preserve">2455</t>
  </si>
  <si>
    <t xml:space="preserve">PICANHA SWIFT BLACK CONG FRIBOI</t>
  </si>
  <si>
    <t xml:space="preserve">2456</t>
  </si>
  <si>
    <t xml:space="preserve">ACEM SWIFT BLACK COWBOY STEAK FRIBOI</t>
  </si>
  <si>
    <t xml:space="preserve">2457</t>
  </si>
  <si>
    <t xml:space="preserve">FRALDA SWIFT BLACK INSIDE SKIRT FRIBOI</t>
  </si>
  <si>
    <t xml:space="preserve">2458</t>
  </si>
  <si>
    <t xml:space="preserve">BANANINHA SWIFT BLACK CONG FRIBOI</t>
  </si>
  <si>
    <t xml:space="preserve">2459</t>
  </si>
  <si>
    <t xml:space="preserve">MEIO DA ASA CONG AVE NOVA</t>
  </si>
  <si>
    <t xml:space="preserve">02/08/2023</t>
  </si>
  <si>
    <t xml:space="preserve">2460</t>
  </si>
  <si>
    <t xml:space="preserve">ASA IN NATURA CONG AVE NOVA</t>
  </si>
  <si>
    <t xml:space="preserve">2461</t>
  </si>
  <si>
    <t xml:space="preserve">POLACA SALGADA DESFIADA CONG CX 10 KG</t>
  </si>
  <si>
    <t xml:space="preserve">810</t>
  </si>
  <si>
    <t xml:space="preserve">HORTA VITAE DISTRIBUIDORA DE ALIMENTOS LTDA</t>
  </si>
  <si>
    <t xml:space="preserve">POLACA</t>
  </si>
  <si>
    <t xml:space="preserve">03053290.</t>
  </si>
  <si>
    <t xml:space="preserve">PEIXES E CRUSTÁCEOS, MOLUSCOS E OS OUTROS INVERTEBRADOS AQUÁTICOS - PEIXES SECOS, SALGADOS OU EM SALMOURA; PEIXES DEFUMADOS, MESMO COZIDOS ANTES OU DURANTE A DEFUMAÇÃO; FARINHAS, PÓS E ¿PELLETS¿, DE PEIXE, PRÓPRIOS PARA ALIMENTAÇÃO HUMANA - FILÉS DE PEIXES, SECOS, SALGADOS OU EM SALMOURA, MAS NÃO DEFUMADOS: - PEIXES DAS FAMÍLIAS BREGMACEROTIDAE, EUCLICHTHYIDAE, GADIDAE, MACROURIDAE, MELANONIDAE, MERLUCCIIDAE, MORIDAE E MURAENOLEPIDIDAE - OUTROS</t>
  </si>
  <si>
    <t xml:space="preserve">3053290</t>
  </si>
  <si>
    <t xml:space="preserve">2462</t>
  </si>
  <si>
    <t xml:space="preserve">LAGARTO RESF MASTER BOI</t>
  </si>
  <si>
    <t xml:space="preserve">03/08/2023</t>
  </si>
  <si>
    <t xml:space="preserve">2463</t>
  </si>
  <si>
    <t xml:space="preserve">CAIXA DOCES PAPELAO</t>
  </si>
  <si>
    <t xml:space="preserve">RAFAEL ALMEIDA DE OLIVEIRA</t>
  </si>
  <si>
    <t xml:space="preserve">PCT</t>
  </si>
  <si>
    <t xml:space="preserve">48115129.</t>
  </si>
  <si>
    <t xml:space="preserve">48115129</t>
  </si>
  <si>
    <t xml:space="preserve">10/08/2023</t>
  </si>
  <si>
    <t xml:space="preserve">2464</t>
  </si>
  <si>
    <t xml:space="preserve">SOBREPALETA CONG FRIGOESTRELA</t>
  </si>
  <si>
    <t xml:space="preserve">11/08/2023</t>
  </si>
  <si>
    <t xml:space="preserve">2465</t>
  </si>
  <si>
    <t xml:space="preserve">BARRIGA SUINA TEMPERADA CONG SUINCO</t>
  </si>
  <si>
    <t xml:space="preserve">18/08/2023</t>
  </si>
  <si>
    <t xml:space="preserve">2466</t>
  </si>
  <si>
    <t xml:space="preserve">BATATA PALITO AURORA 9MM 2 KG</t>
  </si>
  <si>
    <t xml:space="preserve">21/08/2023</t>
  </si>
  <si>
    <t xml:space="preserve">2467</t>
  </si>
  <si>
    <t xml:space="preserve">LINGUIÇA SUINA FINA APIMENTADA PREMIUM</t>
  </si>
  <si>
    <t xml:space="preserve">2468</t>
  </si>
  <si>
    <t xml:space="preserve">COXINHA DA ASA TEMP APIMENTADA PREMIUM</t>
  </si>
  <si>
    <t xml:space="preserve">2469</t>
  </si>
  <si>
    <t xml:space="preserve">CAMINHAO MERCEDES BENS ACELO 817/39</t>
  </si>
  <si>
    <t xml:space="preserve">23/08/2023</t>
  </si>
  <si>
    <t xml:space="preserve">2470</t>
  </si>
  <si>
    <t xml:space="preserve">BATATA PRE FRITA MCCAIN 9MM 2,5KG CX/6</t>
  </si>
  <si>
    <t xml:space="preserve">24/08/2023</t>
  </si>
  <si>
    <t xml:space="preserve">2471</t>
  </si>
  <si>
    <t xml:space="preserve">BATATA PRE FRITA ONE FRIES 9MM 2,5KG CX6</t>
  </si>
  <si>
    <t xml:space="preserve">2472</t>
  </si>
  <si>
    <t xml:space="preserve">PICANHA FATIADA BORDON CONG FRIBOI</t>
  </si>
  <si>
    <t xml:space="preserve">28/08/2023</t>
  </si>
  <si>
    <t xml:space="preserve">2473</t>
  </si>
  <si>
    <t xml:space="preserve">COXAO DURO BOV RESF VALENCIO</t>
  </si>
  <si>
    <t xml:space="preserve">29/08/2023</t>
  </si>
  <si>
    <t xml:space="preserve">2474</t>
  </si>
  <si>
    <t xml:space="preserve">LINGUIÇA SUINA FINA APIMENT PREMIUM 600G</t>
  </si>
  <si>
    <t xml:space="preserve">30/08/2023</t>
  </si>
  <si>
    <t xml:space="preserve">2475</t>
  </si>
  <si>
    <t xml:space="preserve">BOM AR LIMPEZA</t>
  </si>
  <si>
    <t xml:space="preserve">TUDO OFFICE LTDA ME</t>
  </si>
  <si>
    <t xml:space="preserve">31/08/2023</t>
  </si>
  <si>
    <t xml:space="preserve">2476</t>
  </si>
  <si>
    <t xml:space="preserve">LINGUICA TOSCANA AURORA PCT 800G</t>
  </si>
  <si>
    <t xml:space="preserve">01/09/2023</t>
  </si>
  <si>
    <t xml:space="preserve">2477</t>
  </si>
  <si>
    <t xml:space="preserve">LINGUIÇA SUINA FININHA PREMIUM 600G</t>
  </si>
  <si>
    <t xml:space="preserve">2478</t>
  </si>
  <si>
    <t xml:space="preserve">PEITO DE FRANGO GRANEL EMPANADO AURORA</t>
  </si>
  <si>
    <t xml:space="preserve">16023220.</t>
  </si>
  <si>
    <t xml:space="preserve">PREPARAÇÕES DE CARNE, DE PEIXES OU DE CRUSTÁCEOS, DE MOLUSCOS OU DE OUTROS INVERTEBRADOS AQUÁTICOS - OUTRAS PREPARAÇÕES E CONSERVAS DE CARNE, DE MIUDEZAS OU DE SANGUE. - DE AVES DA POSIÇÃO 01.05: - DE AVES DA ESPÉCIE GALLUS DOMESTICUS - COM CONTEÚDO DE CARNE OU DE MIUDEZAS IGUAL OU SUPERIOR A 57 %, EM PESO, COZIDAS</t>
  </si>
  <si>
    <t xml:space="preserve">16023220</t>
  </si>
  <si>
    <t xml:space="preserve">2479</t>
  </si>
  <si>
    <t xml:space="preserve">CENOURA BABY CONG FLAVOR 10 X 1.1 KG</t>
  </si>
  <si>
    <t xml:space="preserve">CENOURAS</t>
  </si>
  <si>
    <t xml:space="preserve">04/09/2023</t>
  </si>
  <si>
    <t xml:space="preserve">2480</t>
  </si>
  <si>
    <t xml:space="preserve">MAMINHA DA ALCATRA IMPORTADA CONG FRIMSA</t>
  </si>
  <si>
    <t xml:space="preserve">05/09/2023</t>
  </si>
  <si>
    <t xml:space="preserve">2481</t>
  </si>
  <si>
    <t xml:space="preserve">BATATA CONG MORIXE 7 MM 6X2 CX 12 KG</t>
  </si>
  <si>
    <t xml:space="preserve">2482</t>
  </si>
  <si>
    <t xml:space="preserve">CARNE MOIDA CONG TODA HORA PLENA 500G</t>
  </si>
  <si>
    <t xml:space="preserve">06/09/2023</t>
  </si>
  <si>
    <t xml:space="preserve">2483</t>
  </si>
  <si>
    <t xml:space="preserve">ALMONDEGA CARNE BOV PLENA ALIMENTOS 1 KG</t>
  </si>
  <si>
    <t xml:space="preserve">2484</t>
  </si>
  <si>
    <t xml:space="preserve">FILE MIGNON S/ CORDAO CONG MASTERBOI</t>
  </si>
  <si>
    <t xml:space="preserve">923</t>
  </si>
  <si>
    <t xml:space="preserve">2485</t>
  </si>
  <si>
    <t xml:space="preserve">PERNIL SUINO C/OSSO CONG FRIGOESTRELA</t>
  </si>
  <si>
    <t xml:space="preserve">14/09/2023</t>
  </si>
  <si>
    <t xml:space="preserve">2486</t>
  </si>
  <si>
    <t xml:space="preserve">FILEZINHO SUINO S/OSSO CONG FRIGOESTRELA</t>
  </si>
  <si>
    <t xml:space="preserve">2487</t>
  </si>
  <si>
    <t xml:space="preserve">FILE SALMAO 4/5 2.0 VACUO CG</t>
  </si>
  <si>
    <t xml:space="preserve">DORIA ALIMENTOS LTDA</t>
  </si>
  <si>
    <t xml:space="preserve">2488</t>
  </si>
  <si>
    <t xml:space="preserve">FILE SALMAO 5/6 2.0 VACUO CG</t>
  </si>
  <si>
    <t xml:space="preserve">2489</t>
  </si>
  <si>
    <t xml:space="preserve">BISTECA BOV RESF PADRAO</t>
  </si>
  <si>
    <t xml:space="preserve">MESSEJANA CARNES LTDA ME</t>
  </si>
  <si>
    <t xml:space="preserve">2012090</t>
  </si>
  <si>
    <t xml:space="preserve">18/09/2023</t>
  </si>
  <si>
    <t xml:space="preserve">2490</t>
  </si>
  <si>
    <t xml:space="preserve">TRASEIRO TOCO RESF PADRAO</t>
  </si>
  <si>
    <t xml:space="preserve">PC +/- 4 0KG</t>
  </si>
  <si>
    <t xml:space="preserve">2012020</t>
  </si>
  <si>
    <t xml:space="preserve">2491</t>
  </si>
  <si>
    <t xml:space="preserve">MINI LOC P/ FIBRA</t>
  </si>
  <si>
    <t xml:space="preserve">19/09/2023</t>
  </si>
  <si>
    <t xml:space="preserve">2492</t>
  </si>
  <si>
    <t xml:space="preserve">GRAVADOR DIG DE VIDEO</t>
  </si>
  <si>
    <t xml:space="preserve">20/09/2023</t>
  </si>
  <si>
    <t xml:space="preserve">2493</t>
  </si>
  <si>
    <t xml:space="preserve">RAQUETE BOV CONG BLACK FRIBOI</t>
  </si>
  <si>
    <t xml:space="preserve">22/09/2023</t>
  </si>
  <si>
    <t xml:space="preserve">2494</t>
  </si>
  <si>
    <t xml:space="preserve">PEITO BRISKET CONG BLACK FRIBOI</t>
  </si>
  <si>
    <t xml:space="preserve">2495</t>
  </si>
  <si>
    <t xml:space="preserve">CAPA DE FILE CONG BLACK FRIBOI</t>
  </si>
  <si>
    <t xml:space="preserve">2496</t>
  </si>
  <si>
    <t xml:space="preserve">CORACAO DA ALCATRA CONG 1953 FRIBOI</t>
  </si>
  <si>
    <t xml:space="preserve">26/09/2023</t>
  </si>
  <si>
    <t xml:space="preserve">2497</t>
  </si>
  <si>
    <t xml:space="preserve">CAPA DE FILE CONG FRIBOI 1953</t>
  </si>
  <si>
    <t xml:space="preserve">2498</t>
  </si>
  <si>
    <t xml:space="preserve">LOMBO BOV CONG 1953</t>
  </si>
  <si>
    <t xml:space="preserve">2500</t>
  </si>
  <si>
    <t xml:space="preserve">FILE DE COSTELA TOMAHAWK PORCIONADO 1953</t>
  </si>
  <si>
    <t xml:space="preserve">2501</t>
  </si>
  <si>
    <t xml:space="preserve">PRESUNTO SUINO S/ GORDURA NOBRE</t>
  </si>
  <si>
    <t xml:space="preserve">27/09/2023</t>
  </si>
  <si>
    <t xml:space="preserve">2502</t>
  </si>
  <si>
    <t xml:space="preserve">APAGADOR</t>
  </si>
  <si>
    <t xml:space="preserve">29/09/2023</t>
  </si>
  <si>
    <t xml:space="preserve">2503</t>
  </si>
  <si>
    <t xml:space="preserve">BANANINHA BOV CONG FRIBOI 1953</t>
  </si>
  <si>
    <t xml:space="preserve">04/10/2023</t>
  </si>
  <si>
    <t xml:space="preserve">2504</t>
  </si>
  <si>
    <t xml:space="preserve">PEIXE CAVALINHA CRUZ CONG PCT 1 KG</t>
  </si>
  <si>
    <t xml:space="preserve">INDUSTRIA CRUZ DE PESCADOS LTDA</t>
  </si>
  <si>
    <t xml:space="preserve">PEIXES POPULARES</t>
  </si>
  <si>
    <t xml:space="preserve">03035400.</t>
  </si>
  <si>
    <t xml:space="preserve">PEIXES E CRUSTÁCEOS, MOLUSCOS E OS OUTROS INVERTEBRADOS AQUÁTICOS - PEIXES CONGELADOS, EXCETO OS FILÉS DE PEIXES E OUTRA CARNE DE PEIXES DA POSIÇÃO 0304 - ARENQUES (CLUPEA HARENGUS, CLUPEA PALLASII) E BACALHAUS (GADUS MORHUA, GADUS OGAC, GADUS MACROCEPHALUS), EXCETO OS FÍGADOS, OVAS E SÊMEN: - CAVALINHAS (SARDAS E CAVALAS*) (SCOMBER SCOMBRUS, SCOMBER AUSTRALASICUS, SCOMBER JAPONICUS)</t>
  </si>
  <si>
    <t xml:space="preserve">3035400</t>
  </si>
  <si>
    <t xml:space="preserve">06/10/2023</t>
  </si>
  <si>
    <t xml:space="preserve">2505</t>
  </si>
  <si>
    <t xml:space="preserve">PEIXE PALOMBETA CRUZ CONG PCT 1 KG</t>
  </si>
  <si>
    <t xml:space="preserve">03038329.</t>
  </si>
  <si>
    <t xml:space="preserve">PEIXES E CRUSTÁCEOS, MOLUSCOS E OS OUTROS INVERTEBRADOS AQUÁTICOS - PEIXES CONGELADOS, EXCETO OS FILÉS DE PEIXES E OUTRA CARNE DE PEIXES DA POSIÇÃO 0304 - OUTROS PEIXES, EXCETO FÍGADOS, OVAS E SÊMEN: - MERLUZA NEGRA E MERLUZA ANTÁRTICA (DISSOSTICHUS SPP.) - MERLUZA ANTÁRTICA (DISSOSTICHUS MAWSONI) - OUTRAS</t>
  </si>
  <si>
    <t xml:space="preserve">3038329</t>
  </si>
  <si>
    <t xml:space="preserve">2506</t>
  </si>
  <si>
    <t xml:space="preserve">PEIXE XERELETE CRUZ CONG PCT 1 KG</t>
  </si>
  <si>
    <t xml:space="preserve">2507</t>
  </si>
  <si>
    <t xml:space="preserve">PEIXE SARDINHA EVISC CRUZ CONG PCT 1 KG</t>
  </si>
  <si>
    <t xml:space="preserve">03038990.</t>
  </si>
  <si>
    <t xml:space="preserve">PEIXES E CRUSTÁCEOS, MOLUSCOS E OS OUTROS INVERTEBRADOS AQUÁTICOS - PEIXES CONGELADOS, EXCETO OS FILÉS DE PEIXES E OUTRA CARNE DE PEIXES DA POSIÇÃO 0304 - OUTROS PEIXES, EXCETO FÍGADOS, OVAS E SÊMEN: - OUTROS - OUTROS</t>
  </si>
  <si>
    <t xml:space="preserve">3038990</t>
  </si>
  <si>
    <t xml:space="preserve">2508</t>
  </si>
  <si>
    <t xml:space="preserve">PEIXE PIRAMUTABA CRUZ CONG PCT 1 KG</t>
  </si>
  <si>
    <t xml:space="preserve">03038920.</t>
  </si>
  <si>
    <t xml:space="preserve">PEIXES E CRUSTÁCEOS, MOLUSCOS E OS OUTROS INVERTEBRADOS AQUÁTICOS - PEIXES CONGELADOS, EXCETO OS FILÉS DE PEIXES E OUTRA CARNE DE PEIXES DA POSIÇÃO 0304 - OUTROS PEIXES, EXCETO FÍGADOS, OVAS E SÊMEN: - OUTROS - PESCADAS (CYNOSCION SPP.)</t>
  </si>
  <si>
    <t xml:space="preserve">3038920</t>
  </si>
  <si>
    <t xml:space="preserve">2509</t>
  </si>
  <si>
    <t xml:space="preserve">PEIXE TILAPIA POSTA CRUZ CONG PCT 1 KG</t>
  </si>
  <si>
    <t xml:space="preserve">03032300.</t>
  </si>
  <si>
    <t xml:space="preserve">PEIXES E CRUSTÁCEOS, MOLUSCOS E OS OUTROS INVERTEBRADOS AQUÁTICOS - PEIXES CONGELADOS, EXCETO OS FILÉS DE PEIXES E OUTRA CARNE DE PEIXES DA POSIÇÃO 0304 - OUTROS SALMONÍDEOS, EXCETO OS FÍGADOS, OVAS E SÊMEN: - TILÁPIAS (OREOCHROMIS SPP.)</t>
  </si>
  <si>
    <t xml:space="preserve">3032300</t>
  </si>
  <si>
    <t xml:space="preserve">2510</t>
  </si>
  <si>
    <t xml:space="preserve">SALAME PEPERONI FATIADO SADIA PCT 1 KG</t>
  </si>
  <si>
    <t xml:space="preserve">PEPERONI</t>
  </si>
  <si>
    <t xml:space="preserve">CX 2 KG</t>
  </si>
  <si>
    <t xml:space="preserve">1,7893E+13</t>
  </si>
  <si>
    <t xml:space="preserve">17/10/2023</t>
  </si>
  <si>
    <t xml:space="preserve">2511</t>
  </si>
  <si>
    <t xml:space="preserve">CUPIM BOV TIPO A CONG BETTER BEEF</t>
  </si>
  <si>
    <t xml:space="preserve">HUMAITA FOOD SERVICE INDUSTRIA E COMERCIO LTDA</t>
  </si>
  <si>
    <t xml:space="preserve">CX +/- 21 KG</t>
  </si>
  <si>
    <t xml:space="preserve">18/10/2023</t>
  </si>
  <si>
    <t xml:space="preserve">2512</t>
  </si>
  <si>
    <t xml:space="preserve">RETALHO COSTELA SUINA PREMIUM CONG SADIA</t>
  </si>
  <si>
    <t xml:space="preserve">2513</t>
  </si>
  <si>
    <t xml:space="preserve">LAGARTO BOV CONG FRIBOI (PORCIONADO)</t>
  </si>
  <si>
    <t xml:space="preserve">2514</t>
  </si>
  <si>
    <t xml:space="preserve">PICANHA CONG MONTANA STEAKHOUSE</t>
  </si>
  <si>
    <t xml:space="preserve">19/10/2023</t>
  </si>
  <si>
    <t xml:space="preserve">2516</t>
  </si>
  <si>
    <t xml:space="preserve">GALETO TEMPERADO ESPECIAL CONG POLE</t>
  </si>
  <si>
    <t xml:space="preserve">POLE ALIMENTOS LTDA</t>
  </si>
  <si>
    <t xml:space="preserve">20/10/2023</t>
  </si>
  <si>
    <t xml:space="preserve">2517</t>
  </si>
  <si>
    <t xml:space="preserve">LINGUICA CALAB GOSTOSINHA PCT 2 KG POLE</t>
  </si>
  <si>
    <t xml:space="preserve">2518</t>
  </si>
  <si>
    <t xml:space="preserve">LANCHE EMBUTIDO GOSTOSINHA POLE</t>
  </si>
  <si>
    <t xml:space="preserve">LANCHE</t>
  </si>
  <si>
    <t xml:space="preserve">2519</t>
  </si>
  <si>
    <t xml:space="preserve">LINGUICA CALAB DEF FATIADA SADIA 1,5 KG</t>
  </si>
  <si>
    <t xml:space="preserve">23/10/2023</t>
  </si>
  <si>
    <t xml:space="preserve">2520</t>
  </si>
  <si>
    <t xml:space="preserve">LOMBO SUINO TEMPERADO SADIA PCT 750 GR</t>
  </si>
  <si>
    <t xml:space="preserve">CX +/- 6 KG</t>
  </si>
  <si>
    <t xml:space="preserve">2521</t>
  </si>
  <si>
    <t xml:space="preserve">LANCHE DE AVE FIAMBRE PERDIGAO 3,75 KG</t>
  </si>
  <si>
    <t xml:space="preserve">24/10/2023</t>
  </si>
  <si>
    <t xml:space="preserve">2522</t>
  </si>
  <si>
    <t xml:space="preserve">FILE MIGNON S/CORD RESF BONNE PLENA</t>
  </si>
  <si>
    <t xml:space="preserve">2523</t>
  </si>
  <si>
    <t xml:space="preserve">ALCATRA COMPLETA GRILL  RESF PLENA</t>
  </si>
  <si>
    <t xml:space="preserve">ALCATRA COMPLETA</t>
  </si>
  <si>
    <t xml:space="preserve">2524</t>
  </si>
  <si>
    <t xml:space="preserve">PICANHA BOVINA CONG AUSTRALIANA</t>
  </si>
  <si>
    <t xml:space="preserve">M &amp; S DISTRIBUIDORA DE ALIMENTOS LTDA</t>
  </si>
  <si>
    <t xml:space="preserve">2525</t>
  </si>
  <si>
    <t xml:space="preserve">TRIPA FINA CONG LKJ</t>
  </si>
  <si>
    <t xml:space="preserve">TRIPA FINA</t>
  </si>
  <si>
    <t xml:space="preserve">26/10/2023</t>
  </si>
  <si>
    <t xml:space="preserve">2526</t>
  </si>
  <si>
    <t xml:space="preserve">ALHO SEM CASCA JINING FREEN PCT 1 KG</t>
  </si>
  <si>
    <t xml:space="preserve">2527</t>
  </si>
  <si>
    <t xml:space="preserve">BATATA PALITO NOBRE 9MM PCT 2 KG</t>
  </si>
  <si>
    <t xml:space="preserve">CX 14 KG</t>
  </si>
  <si>
    <t xml:space="preserve">27/10/2023</t>
  </si>
  <si>
    <t xml:space="preserve">2528</t>
  </si>
  <si>
    <t xml:space="preserve">CARRE CURTO DE OVINO C/OSSO ACIMA 1.3</t>
  </si>
  <si>
    <t xml:space="preserve">2529</t>
  </si>
  <si>
    <t xml:space="preserve">FRITADEIRA AIRFRY ARNO EASYFRY</t>
  </si>
  <si>
    <t xml:space="preserve">85167920.</t>
  </si>
  <si>
    <t xml:space="preserve">FRITADORAS</t>
  </si>
  <si>
    <t xml:space="preserve">85167920</t>
  </si>
  <si>
    <t xml:space="preserve">30/10/2023</t>
  </si>
  <si>
    <t xml:space="preserve">2530</t>
  </si>
  <si>
    <t xml:space="preserve">DRIVER SLIM</t>
  </si>
  <si>
    <t xml:space="preserve">LAMP STORE COMERCIO DE ILUMINACAO LTDA</t>
  </si>
  <si>
    <t xml:space="preserve">2531</t>
  </si>
  <si>
    <t xml:space="preserve">LOMBO SUINO EM CUBOS CONG SADIA 400 GR</t>
  </si>
  <si>
    <t xml:space="preserve">CX 4,8 KG</t>
  </si>
  <si>
    <t xml:space="preserve">31/10/2023</t>
  </si>
  <si>
    <t xml:space="preserve">2532</t>
  </si>
  <si>
    <t xml:space="preserve">BACON DEFUMADO MANTA PERDIGAO CX 13 KG</t>
  </si>
  <si>
    <t xml:space="preserve">767603</t>
  </si>
  <si>
    <t xml:space="preserve">2533</t>
  </si>
  <si>
    <t xml:space="preserve">ACEM BOV (SHORT RIB 2KG UP) CONG 1953</t>
  </si>
  <si>
    <t xml:space="preserve">01/11/2023</t>
  </si>
  <si>
    <t xml:space="preserve">2534</t>
  </si>
  <si>
    <t xml:space="preserve">COSTELA TRASEIRO 3 RIPAS 1953</t>
  </si>
  <si>
    <t xml:space="preserve">2535</t>
  </si>
  <si>
    <t xml:space="preserve">CORACAO BOV CONG LKJ</t>
  </si>
  <si>
    <t xml:space="preserve">2536</t>
  </si>
  <si>
    <t xml:space="preserve">MAMINHA DA ALCATRA RESF FRIGOL</t>
  </si>
  <si>
    <t xml:space="preserve">03/11/2023</t>
  </si>
  <si>
    <t xml:space="preserve">2537</t>
  </si>
  <si>
    <t xml:space="preserve">FILE DE PEITO DE FRANGO BDJ CONG AURORA</t>
  </si>
  <si>
    <t xml:space="preserve">07/11/2023</t>
  </si>
  <si>
    <t xml:space="preserve">2538</t>
  </si>
  <si>
    <t xml:space="preserve">CORACAO FRANGO CONG PERDIGAO PCT 2 KG</t>
  </si>
  <si>
    <t xml:space="preserve">2539</t>
  </si>
  <si>
    <t xml:space="preserve">LINGUICA SUINA CONG PERDIGAO PCT 5 KG</t>
  </si>
  <si>
    <t xml:space="preserve">2540</t>
  </si>
  <si>
    <t xml:space="preserve">FRALDA BOV CONG DO CHEF FRIBOI</t>
  </si>
  <si>
    <t xml:space="preserve">08/11/2023</t>
  </si>
  <si>
    <t xml:space="preserve">2541</t>
  </si>
  <si>
    <t xml:space="preserve">RENDE MUITO TINTAS</t>
  </si>
  <si>
    <t xml:space="preserve">FORTCOLOR TINTAS E VERNIZES LTDA</t>
  </si>
  <si>
    <t xml:space="preserve">2542</t>
  </si>
  <si>
    <t xml:space="preserve">MARGARINA QUALY COM SAL CREMOSA 500 GR</t>
  </si>
  <si>
    <t xml:space="preserve">MARGARINAS</t>
  </si>
  <si>
    <t xml:space="preserve">MARGARINA</t>
  </si>
  <si>
    <t xml:space="preserve">15171000.</t>
  </si>
  <si>
    <t xml:space="preserve">MARGARINA,EXCETO A MARGARINA LIQUIDA</t>
  </si>
  <si>
    <t xml:space="preserve">15171000</t>
  </si>
  <si>
    <t xml:space="preserve">2,7893E+13</t>
  </si>
  <si>
    <t xml:space="preserve">09/11/2023</t>
  </si>
  <si>
    <t xml:space="preserve">2543</t>
  </si>
  <si>
    <t xml:space="preserve">MORTADELA MISTA PERDIGAO 3,5 KG</t>
  </si>
  <si>
    <t xml:space="preserve">2544</t>
  </si>
  <si>
    <t xml:space="preserve">MORTADELA MISTA SADIA 1 KG</t>
  </si>
  <si>
    <t xml:space="preserve">2545</t>
  </si>
  <si>
    <t xml:space="preserve">MORTADELA DEFUMADA OURO PERDIGAO 4 KG</t>
  </si>
  <si>
    <t xml:space="preserve">2546</t>
  </si>
  <si>
    <t xml:space="preserve">FRANGO NATALINO TEMPERADO CONG KIDELLI</t>
  </si>
  <si>
    <t xml:space="preserve">2,78915E+13</t>
  </si>
  <si>
    <t xml:space="preserve">2547</t>
  </si>
  <si>
    <t xml:space="preserve">SALSICHA KIDELLI PCT 5 KG</t>
  </si>
  <si>
    <t xml:space="preserve">1,78915E+13</t>
  </si>
  <si>
    <t xml:space="preserve">2548</t>
  </si>
  <si>
    <t xml:space="preserve">BIFE DE CHORIZO RESF BASSI</t>
  </si>
  <si>
    <t xml:space="preserve">36</t>
  </si>
  <si>
    <t xml:space="preserve">154</t>
  </si>
  <si>
    <t xml:space="preserve">10/11/2023</t>
  </si>
  <si>
    <t xml:space="preserve">2549</t>
  </si>
  <si>
    <t xml:space="preserve">PICANHA BASSI RESF MARFRIG</t>
  </si>
  <si>
    <t xml:space="preserve">2550</t>
  </si>
  <si>
    <t xml:space="preserve">PICANHA ARG TIPO A CONG FATIADA FRIDEVI</t>
  </si>
  <si>
    <t xml:space="preserve">14/11/2023</t>
  </si>
  <si>
    <t xml:space="preserve">2551</t>
  </si>
  <si>
    <t xml:space="preserve">COXA SOBRECOXA INDIVIDUAL CONG CANCAO</t>
  </si>
  <si>
    <t xml:space="preserve">MATEUS SUPERMERCADOS S.A.</t>
  </si>
  <si>
    <t xml:space="preserve">17/11/2023</t>
  </si>
  <si>
    <t xml:space="preserve">2552</t>
  </si>
  <si>
    <t xml:space="preserve">COXINHA DA ASA INDIVIDUAL CONG CANCAO</t>
  </si>
  <si>
    <t xml:space="preserve">2553</t>
  </si>
  <si>
    <t xml:space="preserve">COXINHA DA ASA TEMP NA BRASA PERD 800 GR</t>
  </si>
  <si>
    <t xml:space="preserve">CX 7,2 KG</t>
  </si>
  <si>
    <t xml:space="preserve">20/11/2023</t>
  </si>
  <si>
    <t xml:space="preserve">2554</t>
  </si>
  <si>
    <t xml:space="preserve">COSTELA SUINA TEMP NA BRASA PERDIGAO</t>
  </si>
  <si>
    <t xml:space="preserve">COSTELA SUINA TEMPERADA</t>
  </si>
  <si>
    <t xml:space="preserve">2555</t>
  </si>
  <si>
    <t xml:space="preserve">COXAO DURO SWIFT BLACK CONG FRIBOI</t>
  </si>
  <si>
    <t xml:space="preserve">2556</t>
  </si>
  <si>
    <t xml:space="preserve">MAMINHA DA ALCATRA ARG CONG VIREYES</t>
  </si>
  <si>
    <t xml:space="preserve">21/11/2023</t>
  </si>
  <si>
    <t xml:space="preserve">2557</t>
  </si>
  <si>
    <t xml:space="preserve">BIFE DO VAZIO CONG FRIGOMARCA</t>
  </si>
  <si>
    <t xml:space="preserve">22/11/2023</t>
  </si>
  <si>
    <t xml:space="preserve">2558</t>
  </si>
  <si>
    <t xml:space="preserve">CORACAO BOV CONG FRIGOMARCA</t>
  </si>
  <si>
    <t xml:space="preserve">2559</t>
  </si>
  <si>
    <t xml:space="preserve">MARGARINA CLAYBOM COM SAL CREMOSA 500 GR</t>
  </si>
  <si>
    <t xml:space="preserve">3,78915E+13</t>
  </si>
  <si>
    <t xml:space="preserve">23/11/2023</t>
  </si>
  <si>
    <t xml:space="preserve">2560</t>
  </si>
  <si>
    <t xml:space="preserve">MARGARINA CLAYBOM COM SAL CREMOSA 1 KG</t>
  </si>
  <si>
    <t xml:space="preserve">2561</t>
  </si>
  <si>
    <t xml:space="preserve">PICANHA BOV OAKEY CONG TIPO A</t>
  </si>
  <si>
    <t xml:space="preserve">28/11/2023</t>
  </si>
  <si>
    <t xml:space="preserve">2562</t>
  </si>
  <si>
    <t xml:space="preserve">COSTELA TRASEIRO MINGA CONG 6 KG UP 1953</t>
  </si>
  <si>
    <t xml:space="preserve">29/11/2023</t>
  </si>
  <si>
    <t xml:space="preserve">2563</t>
  </si>
  <si>
    <t xml:space="preserve">SODA CAUSTICA</t>
  </si>
  <si>
    <t xml:space="preserve">28152000.</t>
  </si>
  <si>
    <t xml:space="preserve">HIDROXIDO DE POTASSIO (POTASSA CAUSTICA)</t>
  </si>
  <si>
    <t xml:space="preserve">28152000</t>
  </si>
  <si>
    <t xml:space="preserve">2564</t>
  </si>
  <si>
    <t xml:space="preserve">FILEZINHO SASSAMI BAND CONG AURORA</t>
  </si>
  <si>
    <t xml:space="preserve">06/12/2023</t>
  </si>
  <si>
    <t xml:space="preserve">2565</t>
  </si>
  <si>
    <t xml:space="preserve">CONTRA FILE 4/5 KG CONG FRIBOI 1953</t>
  </si>
  <si>
    <t xml:space="preserve">2566</t>
  </si>
  <si>
    <t xml:space="preserve">MORTADELA DEFUMADA SADIA</t>
  </si>
  <si>
    <t xml:space="preserve">CX 10,8 KG</t>
  </si>
  <si>
    <t xml:space="preserve">07/12/2023</t>
  </si>
  <si>
    <t xml:space="preserve">2567</t>
  </si>
  <si>
    <t xml:space="preserve">MUSCULO TRASEIRO BOV CONG FRIBOI</t>
  </si>
  <si>
    <t xml:space="preserve">2568</t>
  </si>
  <si>
    <t xml:space="preserve">PICANHA BOV RESF TIPO B FORTEFRIGO</t>
  </si>
  <si>
    <t xml:space="preserve">08/12/2023</t>
  </si>
  <si>
    <t xml:space="preserve">2569</t>
  </si>
  <si>
    <t xml:space="preserve">SAPATO COURO</t>
  </si>
  <si>
    <t xml:space="preserve">64039990.</t>
  </si>
  <si>
    <t xml:space="preserve">64039990</t>
  </si>
  <si>
    <t xml:space="preserve">15/12/2023</t>
  </si>
  <si>
    <t xml:space="preserve">2570</t>
  </si>
  <si>
    <t xml:space="preserve">BROCOLIS CONG SADIA VEGETAL1,05 KG</t>
  </si>
  <si>
    <t xml:space="preserve">CX 10,5KG</t>
  </si>
  <si>
    <t xml:space="preserve">18/12/2023</t>
  </si>
  <si>
    <t xml:space="preserve">2571</t>
  </si>
  <si>
    <t xml:space="preserve">MAMINHA DA ALCATRA ARG CONG QUICKFOOD</t>
  </si>
  <si>
    <t xml:space="preserve">19/12/2023</t>
  </si>
  <si>
    <t xml:space="preserve">2572</t>
  </si>
  <si>
    <t xml:space="preserve">CESTO P/ LIXO</t>
  </si>
  <si>
    <t xml:space="preserve">20/12/2023</t>
  </si>
  <si>
    <t xml:space="preserve">2573</t>
  </si>
  <si>
    <t xml:space="preserve">PERNIL TEMP S/ OSSO CONG AURORA</t>
  </si>
  <si>
    <t xml:space="preserve">22/12/2023</t>
  </si>
  <si>
    <t xml:space="preserve">2574</t>
  </si>
  <si>
    <t xml:space="preserve">ESPINHACO SUINO CONG SADIA</t>
  </si>
  <si>
    <t xml:space="preserve">23/12/2023</t>
  </si>
  <si>
    <t xml:space="preserve">2575</t>
  </si>
  <si>
    <t xml:space="preserve">PERNIL TEMP C/ OSSO CONG AURORA</t>
  </si>
  <si>
    <t xml:space="preserve">26/12/2023</t>
  </si>
  <si>
    <t xml:space="preserve">2576</t>
  </si>
  <si>
    <t xml:space="preserve">AVE NATALINA CHESTER AZEITE PERDIGAO</t>
  </si>
  <si>
    <t xml:space="preserve">27/12/2023</t>
  </si>
  <si>
    <t xml:space="preserve">2577</t>
  </si>
  <si>
    <t xml:space="preserve">2578</t>
  </si>
  <si>
    <t xml:space="preserve">COMPRESSOR</t>
  </si>
  <si>
    <t xml:space="preserve">84148019.</t>
  </si>
  <si>
    <t xml:space="preserve">84148019</t>
  </si>
  <si>
    <t xml:space="preserve">2579</t>
  </si>
  <si>
    <t xml:space="preserve">TERMOSTATO</t>
  </si>
  <si>
    <t xml:space="preserve">90329091.</t>
  </si>
  <si>
    <t xml:space="preserve">PARTES E ACESS.P/TERMOSTATOS AUTOMATICOS</t>
  </si>
  <si>
    <t xml:space="preserve">90329091</t>
  </si>
  <si>
    <t xml:space="preserve">2580</t>
  </si>
  <si>
    <t xml:space="preserve">TORNEIRA DE PRESSAO</t>
  </si>
  <si>
    <t xml:space="preserve">2581</t>
  </si>
  <si>
    <t xml:space="preserve">CINTA AIRBAG</t>
  </si>
  <si>
    <t xml:space="preserve">28/12/2023</t>
  </si>
  <si>
    <t xml:space="preserve">2582</t>
  </si>
  <si>
    <t xml:space="preserve">BOTA PLASTICO</t>
  </si>
  <si>
    <t xml:space="preserve">85389090</t>
  </si>
  <si>
    <t xml:space="preserve">29/12/2023</t>
  </si>
  <si>
    <t xml:space="preserve">2583</t>
  </si>
  <si>
    <t xml:space="preserve">BACON DEFUMADO MANTA PERDIGAO CX 14 KG</t>
  </si>
  <si>
    <t xml:space="preserve">786284</t>
  </si>
  <si>
    <t xml:space="preserve">04/01/2024</t>
  </si>
  <si>
    <t xml:space="preserve">2584</t>
  </si>
  <si>
    <t xml:space="preserve">CLORODIFLUORMETANO GAS</t>
  </si>
  <si>
    <t xml:space="preserve">NORDESTINA INDUSTRIA COMERCIO E SERVICOS DE EQUIPAMENTOS PAR</t>
  </si>
  <si>
    <t xml:space="preserve">29037100.</t>
  </si>
  <si>
    <t xml:space="preserve">PRODUTOS QUÍMICOS ORGÂNICOS - DERIVADOS HALOGENADOS DOS HIDROCARBONETOS. - DERIVADOS HALOGENADOS DOS HIDROCARBONETOS ACÍCLICOS QUE CONTENHAM PELO MENOS DOIS HALOGÊNIOS DIFERENTES: - CLORODIFLUOROMETANOS</t>
  </si>
  <si>
    <t xml:space="preserve">29037100</t>
  </si>
  <si>
    <t xml:space="preserve">10/01/2024</t>
  </si>
  <si>
    <t xml:space="preserve">2585</t>
  </si>
  <si>
    <t xml:space="preserve">CARCAÇA CONG SADIA 1.4 KG</t>
  </si>
  <si>
    <t xml:space="preserve">11/01/2024</t>
  </si>
  <si>
    <t xml:space="preserve">2586</t>
  </si>
  <si>
    <t xml:space="preserve">CUPIM PRIME TIPO A RESF FORTEFRIGO</t>
  </si>
  <si>
    <t xml:space="preserve">2587</t>
  </si>
  <si>
    <t xml:space="preserve">FILEZINHO SASSAMI CONG PERDIGAO 1 KG</t>
  </si>
  <si>
    <t xml:space="preserve">12/01/2024</t>
  </si>
  <si>
    <t xml:space="preserve">2588</t>
  </si>
  <si>
    <t xml:space="preserve">COSTELA TRASEIRO TIRAS CONG FRIBOI</t>
  </si>
  <si>
    <t xml:space="preserve">15/01/2024</t>
  </si>
  <si>
    <t xml:space="preserve">2589</t>
  </si>
  <si>
    <t xml:space="preserve">PICANHA BOV RESF TIPO B RAMAX</t>
  </si>
  <si>
    <t xml:space="preserve">760</t>
  </si>
  <si>
    <t xml:space="preserve">RAMAX PARA LTDA</t>
  </si>
  <si>
    <t xml:space="preserve">22/01/2024</t>
  </si>
  <si>
    <t xml:space="preserve">2590</t>
  </si>
  <si>
    <t xml:space="preserve">ESPINHACO SUINO CONG SUINCO</t>
  </si>
  <si>
    <t xml:space="preserve">CX 19 KG</t>
  </si>
  <si>
    <t xml:space="preserve">2591</t>
  </si>
  <si>
    <t xml:space="preserve">CUPIM TOP GRILL TIPO A RESF FORTEFRIGO</t>
  </si>
  <si>
    <t xml:space="preserve">26/01/2024</t>
  </si>
  <si>
    <t xml:space="preserve">2592</t>
  </si>
  <si>
    <t xml:space="preserve">FILE DE COSTELA BOV MONTANA STEAKHOUSE</t>
  </si>
  <si>
    <t xml:space="preserve">2593</t>
  </si>
  <si>
    <t xml:space="preserve">FILE DE COSTELA TOMAHAWK INTEIRO 1953</t>
  </si>
  <si>
    <t xml:space="preserve">29/01/2024</t>
  </si>
  <si>
    <t xml:space="preserve">2594</t>
  </si>
  <si>
    <t xml:space="preserve">FILE DE COSTELA PORCIONADO FRIBOI 1953</t>
  </si>
  <si>
    <t xml:space="preserve">2595</t>
  </si>
  <si>
    <t xml:space="preserve">FILE DE COSTELA PRIME RIB PORC 1953</t>
  </si>
  <si>
    <t xml:space="preserve">2596</t>
  </si>
  <si>
    <t xml:space="preserve">LACRE AZUL TACOGRAFO</t>
  </si>
  <si>
    <t xml:space="preserve">30/01/2024</t>
  </si>
  <si>
    <t xml:space="preserve">2597</t>
  </si>
  <si>
    <t xml:space="preserve">STEAK DE FRANGO EMPANADO PERDIGAO 100 GR</t>
  </si>
  <si>
    <t xml:space="preserve">EMPANADOS</t>
  </si>
  <si>
    <t xml:space="preserve">CX 4,5 KG</t>
  </si>
  <si>
    <t xml:space="preserve">31/01/2024</t>
  </si>
  <si>
    <t xml:space="preserve">2598</t>
  </si>
  <si>
    <t xml:space="preserve">COXA DE FRANGO SADIA PCT 1 KG</t>
  </si>
  <si>
    <t xml:space="preserve">COXAS FRANGO</t>
  </si>
  <si>
    <t xml:space="preserve">08/02/2024</t>
  </si>
  <si>
    <t xml:space="preserve">2599</t>
  </si>
  <si>
    <t xml:space="preserve">STEAK DE FRANGO EMPANADO SADIA 100 GR</t>
  </si>
  <si>
    <t xml:space="preserve">2600</t>
  </si>
  <si>
    <t xml:space="preserve">PICANHA TIPO A ARG CONG VIREYES</t>
  </si>
  <si>
    <t xml:space="preserve">09/02/2024</t>
  </si>
  <si>
    <t xml:space="preserve">2601</t>
  </si>
  <si>
    <t xml:space="preserve">PICANHA BOV RESF TIPO A FORTEFRIGO</t>
  </si>
  <si>
    <t xml:space="preserve">15/02/2024</t>
  </si>
  <si>
    <t xml:space="preserve">2602</t>
  </si>
  <si>
    <t xml:space="preserve">LAGARTO BOV RESF FORTEFRIGO</t>
  </si>
  <si>
    <t xml:space="preserve">2603</t>
  </si>
  <si>
    <t xml:space="preserve">MAMINHA BOV RESF FORTEFRIGO</t>
  </si>
  <si>
    <t xml:space="preserve">2605</t>
  </si>
  <si>
    <t xml:space="preserve">BACON DEFUMADO MANTA SADIA</t>
  </si>
  <si>
    <t xml:space="preserve">CX +/- 14 KG</t>
  </si>
  <si>
    <t xml:space="preserve">2606</t>
  </si>
  <si>
    <t xml:space="preserve">COXA SOBRECOXA BDJ 1 KG FRANGO RICO</t>
  </si>
  <si>
    <t xml:space="preserve">16/02/2024</t>
  </si>
  <si>
    <t xml:space="preserve">2607</t>
  </si>
  <si>
    <t xml:space="preserve">SOBRECOXA BDJ 1 KG FRANGO RICO</t>
  </si>
  <si>
    <t xml:space="preserve">02071419.</t>
  </si>
  <si>
    <t xml:space="preserve">OUTROS CORTES PEDAÇOS NÃO DESOSSADOS</t>
  </si>
  <si>
    <t xml:space="preserve">2071419</t>
  </si>
  <si>
    <t xml:space="preserve">2608</t>
  </si>
  <si>
    <t xml:space="preserve">FILEZINHO SASSAMI  BDJ 1 KG FRANGO RICO</t>
  </si>
  <si>
    <t xml:space="preserve">2609</t>
  </si>
  <si>
    <t xml:space="preserve">COXINHA DA ASA BDJ 1 KG FRANGO RICO</t>
  </si>
  <si>
    <t xml:space="preserve">2610</t>
  </si>
  <si>
    <t xml:space="preserve">FILE COXA SOBRECOXA BDJ 1 KG RICO</t>
  </si>
  <si>
    <t xml:space="preserve">2611</t>
  </si>
  <si>
    <t xml:space="preserve">FILE DE PEITO BDJ 1 KG FRANGO RICO</t>
  </si>
  <si>
    <t xml:space="preserve">2612</t>
  </si>
  <si>
    <t xml:space="preserve">COXA BDJ 1 KG FRANGO RICO</t>
  </si>
  <si>
    <t xml:space="preserve">2613</t>
  </si>
  <si>
    <t xml:space="preserve">FILE DE PEITO CUBOS 400 GR FRANGO RICO</t>
  </si>
  <si>
    <t xml:space="preserve">2614</t>
  </si>
  <si>
    <t xml:space="preserve">PEITO DE FRANGO IND FRANGO RICO</t>
  </si>
  <si>
    <t xml:space="preserve">2615</t>
  </si>
  <si>
    <t xml:space="preserve">FILE MIGNON BOV CONG FRIBOI</t>
  </si>
  <si>
    <t xml:space="preserve">20/02/2024</t>
  </si>
  <si>
    <t xml:space="preserve">2616</t>
  </si>
  <si>
    <t xml:space="preserve">BISTECA SUINA TIPO B CONG SADIA</t>
  </si>
  <si>
    <t xml:space="preserve">21/02/2024</t>
  </si>
  <si>
    <t xml:space="preserve">2617</t>
  </si>
  <si>
    <t xml:space="preserve">PEIXE TILAPIA FILE CRUZ CONG PCT 1 KG</t>
  </si>
  <si>
    <t xml:space="preserve">2618</t>
  </si>
  <si>
    <t xml:space="preserve">PEIXE MANJUBINHA CRUZ CONG PCT 400 GR</t>
  </si>
  <si>
    <t xml:space="preserve">2619</t>
  </si>
  <si>
    <t xml:space="preserve">FRANGO INTEIRO S/ MIUDO CARCACA PERDIGAO</t>
  </si>
  <si>
    <t xml:space="preserve">22/02/2024</t>
  </si>
  <si>
    <t xml:space="preserve">2620</t>
  </si>
  <si>
    <t xml:space="preserve">DISPLAY FRONTAL</t>
  </si>
  <si>
    <t xml:space="preserve">26/02/2024</t>
  </si>
  <si>
    <t xml:space="preserve">2621</t>
  </si>
  <si>
    <t xml:space="preserve">HAMBURGUER BOV CONG FRALDA MATURATTA</t>
  </si>
  <si>
    <t xml:space="preserve">JBS S/A</t>
  </si>
  <si>
    <t xml:space="preserve">HAMBURGUER</t>
  </si>
  <si>
    <t xml:space="preserve">CX 3,24 KG</t>
  </si>
  <si>
    <t xml:space="preserve">27/02/2024</t>
  </si>
  <si>
    <t xml:space="preserve">2622</t>
  </si>
  <si>
    <t xml:space="preserve">HAMBURGUER BOV CONG PICANHA MATURATTA</t>
  </si>
  <si>
    <t xml:space="preserve">2623</t>
  </si>
  <si>
    <t xml:space="preserve">HAMBURGUER BOV CONG COSTELA MATURATTA</t>
  </si>
  <si>
    <t xml:space="preserve">2624</t>
  </si>
  <si>
    <t xml:space="preserve">CARCACA DE FRANGO 1.1 KG DA TERRA</t>
  </si>
  <si>
    <t xml:space="preserve">DT AGROINDUSTRIA COMERCIO E TRANSPORTES LTDA</t>
  </si>
  <si>
    <t xml:space="preserve">2625</t>
  </si>
  <si>
    <t xml:space="preserve">CARCACA DE FRANGO 1.2 KG DA TERRA</t>
  </si>
  <si>
    <t xml:space="preserve">2626</t>
  </si>
  <si>
    <t xml:space="preserve">CARCACA DE FRANGO 1.3 KG DA TERRA</t>
  </si>
  <si>
    <t xml:space="preserve">2627</t>
  </si>
  <si>
    <t xml:space="preserve">CONTRA FILE PORCIONADO CONG FRIBOI 1953</t>
  </si>
  <si>
    <t xml:space="preserve">29/02/2024</t>
  </si>
  <si>
    <t xml:space="preserve">2628</t>
  </si>
  <si>
    <t xml:space="preserve">OSSOS PATELA BOV CONG FRIBOI</t>
  </si>
  <si>
    <t xml:space="preserve">OSSOS (PATELA)</t>
  </si>
  <si>
    <t xml:space="preserve">2629</t>
  </si>
  <si>
    <t xml:space="preserve">HAMBURGUER CARNE E FRANGO PERDIGAO 56 GR</t>
  </si>
  <si>
    <t xml:space="preserve">08/03/2024</t>
  </si>
  <si>
    <t xml:space="preserve">2630</t>
  </si>
  <si>
    <t xml:space="preserve">FIGADO BOV PORCIONADO CONG FRIBOI</t>
  </si>
  <si>
    <t xml:space="preserve">14/03/2024</t>
  </si>
  <si>
    <t xml:space="preserve">2631</t>
  </si>
  <si>
    <t xml:space="preserve">MAMINHA CONG DO CHEF FRIBOI</t>
  </si>
  <si>
    <t xml:space="preserve">2632</t>
  </si>
  <si>
    <t xml:space="preserve">LASANHA BOLONHESA 600 GR PERDIGAO</t>
  </si>
  <si>
    <t xml:space="preserve">LASANHAS</t>
  </si>
  <si>
    <t xml:space="preserve">CX 3,6 KG</t>
  </si>
  <si>
    <t xml:space="preserve">2633</t>
  </si>
  <si>
    <t xml:space="preserve">FILE COXA SOBRECOXA CONG PERDIGAO 2 KG</t>
  </si>
  <si>
    <t xml:space="preserve">15/03/2024</t>
  </si>
  <si>
    <t xml:space="preserve">2634</t>
  </si>
  <si>
    <t xml:space="preserve">MAMINHA SWIFT BLACK CONG FRIBOI</t>
  </si>
  <si>
    <t xml:space="preserve">22/03/2024</t>
  </si>
  <si>
    <t xml:space="preserve">2635</t>
  </si>
  <si>
    <t xml:space="preserve">PULVERIZADOR</t>
  </si>
  <si>
    <t xml:space="preserve">2636</t>
  </si>
  <si>
    <t xml:space="preserve">COXA SOBRECOXA PERDIGAO PCT 5 KG</t>
  </si>
  <si>
    <t xml:space="preserve">27/03/2024</t>
  </si>
  <si>
    <t xml:space="preserve">2637</t>
  </si>
  <si>
    <t xml:space="preserve">CARNE SECA BOV DIANTEIRO 400 G</t>
  </si>
  <si>
    <t xml:space="preserve">RF ATACADO DISTRIBUIDOR E INDUSTRIA LTDA</t>
  </si>
  <si>
    <t xml:space="preserve">CHARQUE</t>
  </si>
  <si>
    <t xml:space="preserve">2638</t>
  </si>
  <si>
    <t xml:space="preserve">CARNE SECA BOV DIANTEIRO 5 KG</t>
  </si>
  <si>
    <t xml:space="preserve">CX 30 KG</t>
  </si>
  <si>
    <t xml:space="preserve">2639</t>
  </si>
  <si>
    <t xml:space="preserve">CARNE SECA BOV PONTA AGULHA 400 G</t>
  </si>
  <si>
    <t xml:space="preserve">2640</t>
  </si>
  <si>
    <t xml:space="preserve">CARNE SECA BOV PONTA AGULHA 5 KG</t>
  </si>
  <si>
    <t xml:space="preserve">2641</t>
  </si>
  <si>
    <t xml:space="preserve">COXINHA DA ASA CONG RARA PCT 1 KG</t>
  </si>
  <si>
    <t xml:space="preserve">01/04/2024</t>
  </si>
  <si>
    <t xml:space="preserve">2642</t>
  </si>
  <si>
    <t xml:space="preserve">PEITO DE FRANGO CONG RARA PCT 1 KG</t>
  </si>
  <si>
    <t xml:space="preserve">2643</t>
  </si>
  <si>
    <t xml:space="preserve">GORDURA VEGETAL DORATTA BALDE 14,5 KG</t>
  </si>
  <si>
    <t xml:space="preserve">COMPANHIA REFINADORA DA AMAZONIA</t>
  </si>
  <si>
    <t xml:space="preserve">GORDURA</t>
  </si>
  <si>
    <t xml:space="preserve">GORDURA VEGETAL</t>
  </si>
  <si>
    <t xml:space="preserve">BD 14,5 KG</t>
  </si>
  <si>
    <t xml:space="preserve">15119000.</t>
  </si>
  <si>
    <t xml:space="preserve">OUTROS OLEOS DE DENDE</t>
  </si>
  <si>
    <t xml:space="preserve">15119000</t>
  </si>
  <si>
    <t xml:space="preserve">2644</t>
  </si>
  <si>
    <t xml:space="preserve">ARRANJO FLORES</t>
  </si>
  <si>
    <t xml:space="preserve">LINDA FLOR COMERCIO DE FLORES LTDA</t>
  </si>
  <si>
    <t xml:space="preserve">06031900.</t>
  </si>
  <si>
    <t xml:space="preserve">PLANTAS VIVAS E PRODUTOS DE FLORICULTURA - FLORES E SEUS BOTÕES, CORTADOS, PARA BUQUÊS OU PARA ORNAMENTAÇÃO, FRESCOS, SECOS, BRANQUEADOS, TINGIDOS, IMPREGNADOS OU PREPARADOS DE OUTRO MODO - FRESCOS: - OUTROS</t>
  </si>
  <si>
    <t xml:space="preserve">6031900</t>
  </si>
  <si>
    <t xml:space="preserve">03/04/2024</t>
  </si>
  <si>
    <t xml:space="preserve">2645</t>
  </si>
  <si>
    <t xml:space="preserve">RECORTE DE COSTELA CONG SUINCO</t>
  </si>
  <si>
    <t xml:space="preserve">CX +/- 19 KG</t>
  </si>
  <si>
    <t xml:space="preserve">16/04/2024</t>
  </si>
  <si>
    <t xml:space="preserve">2646</t>
  </si>
  <si>
    <t xml:space="preserve">BACON DEFUMADO CUBOS PERDIGAO PCT 1 KG</t>
  </si>
  <si>
    <t xml:space="preserve">2647</t>
  </si>
  <si>
    <t xml:space="preserve">PRESUNTO SUINO TRADICIONAL PERDIGAO</t>
  </si>
  <si>
    <t xml:space="preserve">16024100.</t>
  </si>
  <si>
    <t xml:space="preserve">PREPARS.ALIM.CONSERVAS,DE PERNAS,SEUS PEDACOS,DE SUINOS</t>
  </si>
  <si>
    <t xml:space="preserve">16024100</t>
  </si>
  <si>
    <t xml:space="preserve">29/04/2024</t>
  </si>
  <si>
    <t xml:space="preserve">2648</t>
  </si>
  <si>
    <t xml:space="preserve">HAMBURGUER MISTO BEMBURGUER CONG 36X56G</t>
  </si>
  <si>
    <t xml:space="preserve">16021000.</t>
  </si>
  <si>
    <t xml:space="preserve">PREPARS.ALIMENTS.HOMOGENEIZ.DE CARNES,MIUDEZAS,SANGUE</t>
  </si>
  <si>
    <t xml:space="preserve">16021000</t>
  </si>
  <si>
    <t xml:space="preserve">2649</t>
  </si>
  <si>
    <t xml:space="preserve">SALAME PERDIGAO VARIAVEL CX 5KG</t>
  </si>
  <si>
    <t xml:space="preserve">SALAME</t>
  </si>
  <si>
    <t xml:space="preserve">CX +/ 5 KG</t>
  </si>
  <si>
    <t xml:space="preserve">03/05/2024</t>
  </si>
  <si>
    <t xml:space="preserve">2650</t>
  </si>
  <si>
    <t xml:space="preserve">PIZZA CALABRESA MOIDA CONG PERDIGAO</t>
  </si>
  <si>
    <t xml:space="preserve">PIZZAS</t>
  </si>
  <si>
    <t xml:space="preserve">2651</t>
  </si>
  <si>
    <t xml:space="preserve">CORACAO FRANGO CONG SADIA BDJ PCT 1 KG</t>
  </si>
  <si>
    <t xml:space="preserve">10/05/2024</t>
  </si>
  <si>
    <t xml:space="preserve">2652</t>
  </si>
  <si>
    <t xml:space="preserve">BACON INTEIRO PERDIGAO 11,4 KG</t>
  </si>
  <si>
    <t xml:space="preserve">CX +/- 11 KG</t>
  </si>
  <si>
    <t xml:space="preserve">2653</t>
  </si>
  <si>
    <t xml:space="preserve">PANGA FILE BLOCO INTERFOLHADO PREMIUM</t>
  </si>
  <si>
    <t xml:space="preserve">LEARDINI PESCADOS LTDA</t>
  </si>
  <si>
    <t xml:space="preserve">20/05/2024</t>
  </si>
  <si>
    <t xml:space="preserve">2654</t>
  </si>
  <si>
    <t xml:space="preserve">PANGA FILE BLOCO INTERFOLHADO C/ GORDURA</t>
  </si>
  <si>
    <t xml:space="preserve">2655</t>
  </si>
  <si>
    <t xml:space="preserve">SABONETEIRA C/RESERVA</t>
  </si>
  <si>
    <t xml:space="preserve">22/05/2024</t>
  </si>
  <si>
    <t xml:space="preserve">2656</t>
  </si>
  <si>
    <t xml:space="preserve">DISPENSER P/PAPEL TOALHA</t>
  </si>
  <si>
    <t xml:space="preserve">2657</t>
  </si>
  <si>
    <t xml:space="preserve">CUPIM BOV FATIADO DO CHEF CONG FRIBOI</t>
  </si>
  <si>
    <t xml:space="preserve">2658</t>
  </si>
  <si>
    <t xml:space="preserve">DIANTEIRO RESFRIADO FRIBAL</t>
  </si>
  <si>
    <t xml:space="preserve">2659</t>
  </si>
  <si>
    <t xml:space="preserve">PONTA DE AGULHA RESF FRIBAL</t>
  </si>
  <si>
    <t xml:space="preserve">2660</t>
  </si>
  <si>
    <t xml:space="preserve">FILE DE BACALHAU SAITHE IQF 1KG A 1,5 KG</t>
  </si>
  <si>
    <t xml:space="preserve">EMPREENDIMENTO COMERCIAL INDUSTRIAL ECIL LTDA</t>
  </si>
  <si>
    <t xml:space="preserve">24/05/2024</t>
  </si>
  <si>
    <t xml:space="preserve">2661</t>
  </si>
  <si>
    <t xml:space="preserve">FILE DE BACALHAU SAITHE IQF 1,5KG A 2 KG</t>
  </si>
  <si>
    <t xml:space="preserve">2662</t>
  </si>
  <si>
    <t xml:space="preserve">FILE MIGNON SUINO CONG SADIA 18KG</t>
  </si>
  <si>
    <t xml:space="preserve">28/05/2024</t>
  </si>
  <si>
    <t xml:space="preserve">2663</t>
  </si>
  <si>
    <t xml:space="preserve">BACON  CUBOS PERDIGAO PCT 4 KG</t>
  </si>
  <si>
    <t xml:space="preserve">2664</t>
  </si>
  <si>
    <t xml:space="preserve">RETALHO SUINO(CARR, SOB PAL E COS) NOBRE</t>
  </si>
  <si>
    <t xml:space="preserve">29/05/2024</t>
  </si>
  <si>
    <t xml:space="preserve">2665</t>
  </si>
  <si>
    <t xml:space="preserve">PANGA FILE PREMIUM IQF 380G UP CONG</t>
  </si>
  <si>
    <t xml:space="preserve">2666</t>
  </si>
  <si>
    <t xml:space="preserve">KANI KAMA ECIL PCT 50X200G CX 10 KG</t>
  </si>
  <si>
    <t xml:space="preserve">29660</t>
  </si>
  <si>
    <t xml:space="preserve">31/05/2024</t>
  </si>
  <si>
    <t xml:space="preserve">2667</t>
  </si>
  <si>
    <t xml:space="preserve">ACEM CHUCKEYEROLL 200 A 240 GR 1953</t>
  </si>
  <si>
    <t xml:space="preserve">03/06/2024</t>
  </si>
  <si>
    <t xml:space="preserve">2668</t>
  </si>
  <si>
    <t xml:space="preserve">ACEM SHORT RIB 400 A 500 GR 1953</t>
  </si>
  <si>
    <t xml:space="preserve">2669</t>
  </si>
  <si>
    <t xml:space="preserve">CONTRA FILE CHORIZO 240 A 260 GR 1953</t>
  </si>
  <si>
    <t xml:space="preserve">2670</t>
  </si>
  <si>
    <t xml:space="preserve">CONTRA FILE CHORIZO 280 A 320 GR 1953</t>
  </si>
  <si>
    <t xml:space="preserve">2671</t>
  </si>
  <si>
    <t xml:space="preserve">CORACAO PALETA 190 A 210 GR 1953</t>
  </si>
  <si>
    <t xml:space="preserve">2672</t>
  </si>
  <si>
    <t xml:space="preserve">ISCAS DIANTEIRO 450 A 550 GR 1953</t>
  </si>
  <si>
    <t xml:space="preserve">2673</t>
  </si>
  <si>
    <t xml:space="preserve">RAQUETE FLAT IRON 280 A 400 GR 1953</t>
  </si>
  <si>
    <t xml:space="preserve">2674</t>
  </si>
  <si>
    <t xml:space="preserve">CONTRA FILE BOV CONG DO CHEF BIFES</t>
  </si>
  <si>
    <t xml:space="preserve">2675</t>
  </si>
  <si>
    <t xml:space="preserve">CUPIM TIPO A GOLDBEEF CONG</t>
  </si>
  <si>
    <t xml:space="preserve">BMG FOODS IMPORTAÇAO E EXPORTAÇÃO LTDA</t>
  </si>
  <si>
    <t xml:space="preserve">04/06/2024</t>
  </si>
  <si>
    <t xml:space="preserve">2676</t>
  </si>
  <si>
    <t xml:space="preserve">OSSOBUCO 3 CM PORCIONADO 1953</t>
  </si>
  <si>
    <t xml:space="preserve">2678</t>
  </si>
  <si>
    <t xml:space="preserve">EXPOSITOR</t>
  </si>
  <si>
    <t xml:space="preserve">10/06/2024</t>
  </si>
  <si>
    <t xml:space="preserve">2679</t>
  </si>
  <si>
    <t xml:space="preserve">TUCHO MT</t>
  </si>
  <si>
    <t xml:space="preserve">73129000.</t>
  </si>
  <si>
    <t xml:space="preserve">73129000</t>
  </si>
  <si>
    <t xml:space="preserve">2680</t>
  </si>
  <si>
    <t xml:space="preserve">BRONZINHA</t>
  </si>
  <si>
    <t xml:space="preserve">84833029.</t>
  </si>
  <si>
    <t xml:space="preserve">84833029</t>
  </si>
  <si>
    <t xml:space="preserve">2681</t>
  </si>
  <si>
    <t xml:space="preserve">VIRABREQUIM</t>
  </si>
  <si>
    <t xml:space="preserve">27101999</t>
  </si>
  <si>
    <t xml:space="preserve">2682</t>
  </si>
  <si>
    <t xml:space="preserve">PANGA FILE PREMIUM INTERF. HOANG LONG</t>
  </si>
  <si>
    <t xml:space="preserve">2683</t>
  </si>
  <si>
    <t xml:space="preserve">SUPORTE PLASTICO</t>
  </si>
  <si>
    <t xml:space="preserve">907</t>
  </si>
  <si>
    <t xml:space="preserve">INOPLASTIC INDUSTRIA E COMERCIO LTDA</t>
  </si>
  <si>
    <t xml:space="preserve">39231090.</t>
  </si>
  <si>
    <t xml:space="preserve">39231090</t>
  </si>
  <si>
    <t xml:space="preserve">12/06/2024</t>
  </si>
  <si>
    <t xml:space="preserve">2684</t>
  </si>
  <si>
    <t xml:space="preserve">FILE DE GALINHA CONG SOMAVE PCT</t>
  </si>
  <si>
    <t xml:space="preserve">DF AVES LTDA</t>
  </si>
  <si>
    <t xml:space="preserve">7,89849E+12</t>
  </si>
  <si>
    <t xml:space="preserve">2685</t>
  </si>
  <si>
    <t xml:space="preserve">SALSICHA  HOT DOG CONG SADIA</t>
  </si>
  <si>
    <t xml:space="preserve">13/06/2024</t>
  </si>
  <si>
    <t xml:space="preserve">2686</t>
  </si>
  <si>
    <t xml:space="preserve">PEIXE SAUNA CRUZ CONG PCT 1 KG</t>
  </si>
  <si>
    <t xml:space="preserve">17/06/2024</t>
  </si>
  <si>
    <t xml:space="preserve">2687</t>
  </si>
  <si>
    <t xml:space="preserve">PEIXE CHICHARRO CRUZ CONG PCT 1 KG</t>
  </si>
  <si>
    <t xml:space="preserve">2689</t>
  </si>
  <si>
    <t xml:space="preserve">PEIXE POSTA ESPADA CRUZ CONG PCT 1 KG</t>
  </si>
  <si>
    <t xml:space="preserve">2691</t>
  </si>
  <si>
    <t xml:space="preserve">PEIXE FILE DE MAPARA CRUZ CONG PCT 800G</t>
  </si>
  <si>
    <t xml:space="preserve">2693</t>
  </si>
  <si>
    <t xml:space="preserve">LULA EM ANEIS  ECIL CX 10 KG</t>
  </si>
  <si>
    <t xml:space="preserve">2694</t>
  </si>
  <si>
    <t xml:space="preserve">PICANHA URU CONG TACUAREMBO 0,7 A 1,4 KG</t>
  </si>
  <si>
    <t xml:space="preserve">20/06/2024</t>
  </si>
  <si>
    <t xml:space="preserve">2695</t>
  </si>
  <si>
    <t xml:space="preserve">MIX VEGETAL CONG SADIA 1,05 KG</t>
  </si>
  <si>
    <t xml:space="preserve">21/06/2024</t>
  </si>
  <si>
    <t xml:space="preserve">2696</t>
  </si>
  <si>
    <t xml:space="preserve">RAQUETE CONG FRIBOI 1953</t>
  </si>
  <si>
    <t xml:space="preserve">26/06/2024</t>
  </si>
  <si>
    <t xml:space="preserve">2697</t>
  </si>
  <si>
    <t xml:space="preserve">CORACAO DA PALETA  COG FRIBOI 1953</t>
  </si>
  <si>
    <t xml:space="preserve">7,89957E+12</t>
  </si>
  <si>
    <t xml:space="preserve">2698</t>
  </si>
  <si>
    <t xml:space="preserve">COXAO DURO CONG FRIBOI 1953</t>
  </si>
  <si>
    <t xml:space="preserve">2699</t>
  </si>
  <si>
    <t xml:space="preserve">PICANHA CONG ATÉ 1,35 KG CARAPRETA</t>
  </si>
  <si>
    <t xml:space="preserve">FORTALEZA DE SANTA TEREZINHA AGRICU E PECUARIA SA</t>
  </si>
  <si>
    <t xml:space="preserve">7,90827E+12</t>
  </si>
  <si>
    <t xml:space="preserve">28/06/2024</t>
  </si>
  <si>
    <t xml:space="preserve">2700</t>
  </si>
  <si>
    <t xml:space="preserve">CONTRAFILE CHORIZO 5,5 KG UP CARAPRETA</t>
  </si>
  <si>
    <t xml:space="preserve">2701</t>
  </si>
  <si>
    <t xml:space="preserve">HAMBURGUER BOV CONG 120G FLOW CARAPRETA</t>
  </si>
  <si>
    <t xml:space="preserve">2702</t>
  </si>
  <si>
    <t xml:space="preserve">MAMINHA DA ALCATRA CONG CARAPRETA</t>
  </si>
  <si>
    <t xml:space="preserve">2703</t>
  </si>
  <si>
    <t xml:space="preserve">HAMBURGUER BOV CONG 180G FOOD CARAPRETA</t>
  </si>
  <si>
    <t xml:space="preserve">2704</t>
  </si>
  <si>
    <t xml:space="preserve">RAQUETE BOV CONG (SHOULDER) CARAPRETA</t>
  </si>
  <si>
    <t xml:space="preserve">RAQUETE</t>
  </si>
  <si>
    <t xml:space="preserve">2705</t>
  </si>
  <si>
    <t xml:space="preserve">FILE DE COSTELA ANCHO PORCION. CARAPRETA</t>
  </si>
  <si>
    <t xml:space="preserve">2706</t>
  </si>
  <si>
    <t xml:space="preserve">LINGUIÇA DE COSTELA 300G CARAPRETA</t>
  </si>
  <si>
    <t xml:space="preserve">2707</t>
  </si>
  <si>
    <t xml:space="preserve">CAPA DE FILE ANGUS CONG CARAPRETA</t>
  </si>
  <si>
    <t xml:space="preserve">2708</t>
  </si>
  <si>
    <t xml:space="preserve">COXAO MOLE CONG CARAPRETA</t>
  </si>
  <si>
    <t xml:space="preserve">2709</t>
  </si>
  <si>
    <t xml:space="preserve">HAMBURGUER BOV CAIXETA 180G CARAPRETA</t>
  </si>
  <si>
    <t xml:space="preserve">CX 8,64 KG</t>
  </si>
  <si>
    <t xml:space="preserve">2710</t>
  </si>
  <si>
    <t xml:space="preserve">HAMBURGUER WAGYU CAIXETA 180G CARAPRETA</t>
  </si>
  <si>
    <t xml:space="preserve">2712</t>
  </si>
  <si>
    <t xml:space="preserve">COXAO DURO BOV CONG CARAPRETA</t>
  </si>
  <si>
    <t xml:space="preserve">2713</t>
  </si>
  <si>
    <t xml:space="preserve">CONTRAFILE CHORIZO PORCIONADO CARAPRETA</t>
  </si>
  <si>
    <t xml:space="preserve">2714</t>
  </si>
  <si>
    <t xml:space="preserve">CUPIM CONG PUL MINERVA</t>
  </si>
  <si>
    <t xml:space="preserve">2716</t>
  </si>
  <si>
    <t xml:space="preserve">BATATA NEWBRAZ TRAD 10 MM</t>
  </si>
  <si>
    <t xml:space="preserve">1111</t>
  </si>
  <si>
    <t xml:space="preserve">GROUP JJC LLC</t>
  </si>
  <si>
    <t xml:space="preserve">1,06029E+13</t>
  </si>
  <si>
    <t xml:space="preserve">02/07/2024</t>
  </si>
  <si>
    <t xml:space="preserve">2717</t>
  </si>
  <si>
    <t xml:space="preserve">ACEM BOV SHORT RIB PORCIONADO CARAPRETA</t>
  </si>
  <si>
    <t xml:space="preserve">2718</t>
  </si>
  <si>
    <t xml:space="preserve">CONTRAFILE BOV CONG GRAMATURADO DO CHEF</t>
  </si>
  <si>
    <t xml:space="preserve">03/07/2024</t>
  </si>
  <si>
    <t xml:space="preserve">2719</t>
  </si>
  <si>
    <t xml:space="preserve">CUPIM CONG MATURATTA FRIBOI</t>
  </si>
  <si>
    <t xml:space="preserve">2721</t>
  </si>
  <si>
    <t xml:space="preserve">PIZZA PIZZAS MISTA CX COM 3 SABORES SD</t>
  </si>
  <si>
    <t xml:space="preserve">09/07/2024</t>
  </si>
  <si>
    <t xml:space="preserve">2722</t>
  </si>
  <si>
    <t xml:space="preserve">ESCADA PLATAFORMA</t>
  </si>
  <si>
    <t xml:space="preserve">GURGELMIX MAQUINAS E FERRAMENTAS S.A.</t>
  </si>
  <si>
    <t xml:space="preserve">12/07/2024</t>
  </si>
  <si>
    <t xml:space="preserve">2723</t>
  </si>
  <si>
    <t xml:space="preserve">BACON MEIA MANTA PERDIGÃO</t>
  </si>
  <si>
    <t xml:space="preserve">16/07/2024</t>
  </si>
  <si>
    <t xml:space="preserve">2724</t>
  </si>
  <si>
    <t xml:space="preserve">PRESUNTO FAT VACUO PT 200G PERD</t>
  </si>
  <si>
    <t xml:space="preserve">18/07/2024</t>
  </si>
  <si>
    <t xml:space="preserve">2725</t>
  </si>
  <si>
    <t xml:space="preserve">MINI CHICKEN FGO QJO CONG PT 3 KG PD</t>
  </si>
  <si>
    <t xml:space="preserve">2726</t>
  </si>
  <si>
    <t xml:space="preserve">MINI CHICKEN FGO EMP CONG PT 3KG PD</t>
  </si>
  <si>
    <t xml:space="preserve">2727</t>
  </si>
  <si>
    <t xml:space="preserve">FRALDAO BOV RESF BASSI MARFRIG</t>
  </si>
  <si>
    <t xml:space="preserve">2730</t>
  </si>
  <si>
    <t xml:space="preserve">FILE MIGNON S/CORDAO  4/5 CONG VALENCIO</t>
  </si>
  <si>
    <t xml:space="preserve">22/07/2024</t>
  </si>
  <si>
    <t xml:space="preserve">2731</t>
  </si>
  <si>
    <t xml:space="preserve">MARGARINA CLAYBOM SABOR MANTEIGA 500 GR</t>
  </si>
  <si>
    <t xml:space="preserve">23/07/2024</t>
  </si>
  <si>
    <t xml:space="preserve">2732</t>
  </si>
  <si>
    <t xml:space="preserve">BISTECA SUINA CONGELADA  JWP SADIA</t>
  </si>
  <si>
    <t xml:space="preserve">2733</t>
  </si>
  <si>
    <t xml:space="preserve">MARGARINA QUALY COM SAL CREMOSA 1KG</t>
  </si>
  <si>
    <t xml:space="preserve">24/07/2024</t>
  </si>
  <si>
    <t xml:space="preserve">2734</t>
  </si>
  <si>
    <t xml:space="preserve">MARGARINA CLAYBOM COM SAL BALDE 14KG</t>
  </si>
  <si>
    <t xml:space="preserve">BD 14KG</t>
  </si>
  <si>
    <t xml:space="preserve">S</t>
  </si>
  <si>
    <t xml:space="preserve">2735</t>
  </si>
  <si>
    <t xml:space="preserve">RETALHO COSTELA SUINA 12KG SADIA</t>
  </si>
  <si>
    <t xml:space="preserve">26/07/2024</t>
  </si>
  <si>
    <t xml:space="preserve">2737</t>
  </si>
  <si>
    <t xml:space="preserve">LINGUIÇA FINA MISTA DEF PT2,5KG PERDIGAO</t>
  </si>
  <si>
    <t xml:space="preserve">2738</t>
  </si>
  <si>
    <t xml:space="preserve">FRALDA BOVINA CONG (RED) 1953 FRIBOI</t>
  </si>
  <si>
    <t xml:space="preserve">2739</t>
  </si>
  <si>
    <t xml:space="preserve">CUPIUBA MADEIRA</t>
  </si>
  <si>
    <t xml:space="preserve">44072990</t>
  </si>
  <si>
    <t xml:space="preserve">29/07/2024</t>
  </si>
  <si>
    <t xml:space="preserve">2740</t>
  </si>
  <si>
    <t xml:space="preserve">ENROLADOR MANGUEIRA</t>
  </si>
  <si>
    <t xml:space="preserve">84798999</t>
  </si>
  <si>
    <t xml:space="preserve">02/08/2024</t>
  </si>
  <si>
    <t xml:space="preserve">2741</t>
  </si>
  <si>
    <t xml:space="preserve">PRESUNTO SUINO COZIDO SEM CAPA SADIA</t>
  </si>
  <si>
    <t xml:space="preserve">CX +/- 7  KG</t>
  </si>
  <si>
    <t xml:space="preserve">2742</t>
  </si>
  <si>
    <t xml:space="preserve">LINGUIÇA COSTELA QUEIJO 420G CARAPRETA</t>
  </si>
  <si>
    <t xml:space="preserve">CX 7,56 KG</t>
  </si>
  <si>
    <t xml:space="preserve">07/08/2024</t>
  </si>
  <si>
    <t xml:space="preserve">2743</t>
  </si>
  <si>
    <t xml:space="preserve">COSTELA TRAS. FOUR RIBS CARAPRETA</t>
  </si>
  <si>
    <t xml:space="preserve">CX +/-10 KG</t>
  </si>
  <si>
    <t xml:space="preserve">9000000538</t>
  </si>
  <si>
    <t xml:space="preserve">2744</t>
  </si>
  <si>
    <t xml:space="preserve">CARPACCIO LAGARTO BOV CARAPRETA</t>
  </si>
  <si>
    <t xml:space="preserve">CX 3,4KG</t>
  </si>
  <si>
    <t xml:space="preserve">9000000434</t>
  </si>
  <si>
    <t xml:space="preserve">2745</t>
  </si>
  <si>
    <t xml:space="preserve">FILE DE COSTELA PRIME RIB CARAPRETA</t>
  </si>
  <si>
    <t xml:space="preserve">CX +/- 9 KG</t>
  </si>
  <si>
    <t xml:space="preserve">9000000298</t>
  </si>
  <si>
    <t xml:space="preserve">2746</t>
  </si>
  <si>
    <t xml:space="preserve">MUSCULO DIANTEIRO BOV CONG 1953</t>
  </si>
  <si>
    <t xml:space="preserve">392090</t>
  </si>
  <si>
    <t xml:space="preserve">08/08/2024</t>
  </si>
  <si>
    <t xml:space="preserve">2747</t>
  </si>
  <si>
    <t xml:space="preserve">ALCATRA C/ MAMINHA CONG PUL</t>
  </si>
  <si>
    <t xml:space="preserve">500000115</t>
  </si>
  <si>
    <t xml:space="preserve">09/08/2024</t>
  </si>
  <si>
    <t xml:space="preserve">2748</t>
  </si>
  <si>
    <t xml:space="preserve">BUCHO CONG MINERVA</t>
  </si>
  <si>
    <t xml:space="preserve">500001002</t>
  </si>
  <si>
    <t xml:space="preserve">2749</t>
  </si>
  <si>
    <t xml:space="preserve">PICANHA AUSTRALIANA KILKOY 1,5 ACIMA</t>
  </si>
  <si>
    <t xml:space="preserve">24400</t>
  </si>
  <si>
    <t xml:space="preserve">2750</t>
  </si>
  <si>
    <t xml:space="preserve">BATATA NEWBRAZ TRAD 7 MM</t>
  </si>
  <si>
    <t xml:space="preserve">121235</t>
  </si>
  <si>
    <t xml:space="preserve">13/08/2024</t>
  </si>
  <si>
    <t xml:space="preserve">2751</t>
  </si>
  <si>
    <t xml:space="preserve">BUCHO BOV CONG 1953 FRIBOI</t>
  </si>
  <si>
    <t xml:space="preserve">363679</t>
  </si>
  <si>
    <t xml:space="preserve">16/08/2024</t>
  </si>
  <si>
    <t xml:space="preserve">2752</t>
  </si>
  <si>
    <t xml:space="preserve">CORACAO BOV CONG BLACK FRIBOI</t>
  </si>
  <si>
    <t xml:space="preserve">392092</t>
  </si>
  <si>
    <t xml:space="preserve">2753</t>
  </si>
  <si>
    <t xml:space="preserve">FILE DE COSTELA ANCHO 250 A 350 GR 1953</t>
  </si>
  <si>
    <t xml:space="preserve">390762</t>
  </si>
  <si>
    <t xml:space="preserve">2754</t>
  </si>
  <si>
    <t xml:space="preserve">PEIXINHO SWIFT BLACK CONG 110 A 150 GR</t>
  </si>
  <si>
    <t xml:space="preserve">390761</t>
  </si>
  <si>
    <t xml:space="preserve">2755</t>
  </si>
  <si>
    <t xml:space="preserve">ISCAS COXAO MOLE CONG 1953</t>
  </si>
  <si>
    <t xml:space="preserve">390865</t>
  </si>
  <si>
    <t xml:space="preserve">2756</t>
  </si>
  <si>
    <t xml:space="preserve">PEIXE FILE DE SIRIGADO</t>
  </si>
  <si>
    <t xml:space="preserve">FRANCISCO DA SILVEIRA ROCHA</t>
  </si>
  <si>
    <t xml:space="preserve">03048990.</t>
  </si>
  <si>
    <t xml:space="preserve">PEIXES E CRUSTÁCEOS, MOLUSCOS E OS OUTROS INVERTEBRADOS AQUÁTICOS - FILÉS DE PEIXES E OUTRA CARNE DE PEIXES (MESMO PICADA), FRESCOS, REFRIGERADOS OU CONGELADOS - FILÉS DE OUTROS PEIXES, CONGELADOS: - OUTROS - OUTROS</t>
  </si>
  <si>
    <t xml:space="preserve">3048990</t>
  </si>
  <si>
    <t xml:space="preserve">21/08/2024</t>
  </si>
  <si>
    <t xml:space="preserve">2758</t>
  </si>
  <si>
    <t xml:space="preserve">MARGARINA DELINE COM SAL 60% LP - 3KG</t>
  </si>
  <si>
    <t xml:space="preserve">BD 3KG</t>
  </si>
  <si>
    <t xml:space="preserve">22/08/2024</t>
  </si>
  <si>
    <t xml:space="preserve">2759</t>
  </si>
  <si>
    <t xml:space="preserve">23/08/2024</t>
  </si>
  <si>
    <t xml:space="preserve">2760</t>
  </si>
  <si>
    <t xml:space="preserve">CORACAO FRANGO CONG SOMAVE 20KG</t>
  </si>
  <si>
    <t xml:space="preserve">2761</t>
  </si>
  <si>
    <t xml:space="preserve">FILE DE PEITO ENV CANCAO CX 20KG</t>
  </si>
  <si>
    <t xml:space="preserve">26/08/2024</t>
  </si>
  <si>
    <t xml:space="preserve">2762</t>
  </si>
  <si>
    <t xml:space="preserve">PATINHO BOV RESF VALENCIO</t>
  </si>
  <si>
    <t xml:space="preserve">29/08/2024</t>
  </si>
  <si>
    <t xml:space="preserve">2763</t>
  </si>
  <si>
    <t xml:space="preserve">PICANHA SUINA TEMP. CONG PAMPLONA</t>
  </si>
  <si>
    <t xml:space="preserve">03/09/2024</t>
  </si>
  <si>
    <t xml:space="preserve">2764</t>
  </si>
  <si>
    <t xml:space="preserve">FIGADO M.I FRIGOMARCA</t>
  </si>
  <si>
    <t xml:space="preserve">09/09/2024</t>
  </si>
  <si>
    <t xml:space="preserve">2766</t>
  </si>
  <si>
    <t xml:space="preserve">HAMBURGUER BOV CONG COST 180G CARAPRETA</t>
  </si>
  <si>
    <t xml:space="preserve">11/09/2024</t>
  </si>
  <si>
    <t xml:space="preserve">2767</t>
  </si>
  <si>
    <t xml:space="preserve">HAMBURGUER BOV CG BRISKET 180G CARAPRETA</t>
  </si>
  <si>
    <t xml:space="preserve">2768</t>
  </si>
  <si>
    <t xml:space="preserve">PICANHA CONG ATÉ 1,200 KG CARAPRETA</t>
  </si>
  <si>
    <t xml:space="preserve">2769</t>
  </si>
  <si>
    <t xml:space="preserve">PICANHA STEAK CONG CARAPRETA</t>
  </si>
  <si>
    <t xml:space="preserve">2770</t>
  </si>
  <si>
    <t xml:space="preserve">FILE DE COSTELA TOMAHAWK CG CARAPRETA</t>
  </si>
  <si>
    <t xml:space="preserve">2771</t>
  </si>
  <si>
    <t xml:space="preserve">ACEM BOV SHORT RIB WAGYU CONG CARAPRETA</t>
  </si>
  <si>
    <t xml:space="preserve">2772</t>
  </si>
  <si>
    <t xml:space="preserve">FILE COST STEAK ANCHO WAGYU CG CARAPRETA</t>
  </si>
  <si>
    <t xml:space="preserve">2773</t>
  </si>
  <si>
    <t xml:space="preserve">PEITO BRISKET CONG ANGUS CARAPRETA</t>
  </si>
  <si>
    <t xml:space="preserve">900000390</t>
  </si>
  <si>
    <t xml:space="preserve">2774</t>
  </si>
  <si>
    <t xml:space="preserve">COXAO DURO CONG WAGYU CARAPRETA</t>
  </si>
  <si>
    <t xml:space="preserve">2775</t>
  </si>
  <si>
    <t xml:space="preserve">LINGUIÇA WAGYU CONG 450G CARAPRETA</t>
  </si>
  <si>
    <t xml:space="preserve">CX 8,1 KG</t>
  </si>
  <si>
    <t xml:space="preserve">2778</t>
  </si>
  <si>
    <t xml:space="preserve">AVENTAL PVC BRANCO</t>
  </si>
  <si>
    <t xml:space="preserve">POWER COMERCIO DE EQUIPAMENTOS E MATERIAIS LTDA EPP</t>
  </si>
  <si>
    <t xml:space="preserve">62101000.</t>
  </si>
  <si>
    <t xml:space="preserve">COM AS MATERIAS DAS POSICOES 56.02 OU 56.03</t>
  </si>
  <si>
    <t xml:space="preserve">62101000</t>
  </si>
  <si>
    <t xml:space="preserve">20/09/2024</t>
  </si>
  <si>
    <t xml:space="preserve">2780</t>
  </si>
  <si>
    <t xml:space="preserve">CARRE SUINO CONG BMG</t>
  </si>
  <si>
    <t xml:space="preserve">936</t>
  </si>
  <si>
    <t xml:space="preserve">BMG FOODS IMPORTACAO E EXPORTACAO LTDA</t>
  </si>
  <si>
    <t xml:space="preserve">2781</t>
  </si>
  <si>
    <t xml:space="preserve">BATATA PRE FRITA DELTA 9MM 1,5KG CX/8</t>
  </si>
  <si>
    <t xml:space="preserve">2782</t>
  </si>
  <si>
    <t xml:space="preserve">BATATA PREFRITA BLEND DELTA 10MM 2KG CX5</t>
  </si>
  <si>
    <t xml:space="preserve">2783</t>
  </si>
  <si>
    <t xml:space="preserve">DIANTEIRO RESFRIADO BOV</t>
  </si>
  <si>
    <t xml:space="preserve">2784</t>
  </si>
  <si>
    <t xml:space="preserve">BROCOLIS CONG DELTA 2 KG CX5</t>
  </si>
  <si>
    <t xml:space="preserve">2785</t>
  </si>
  <si>
    <t xml:space="preserve">COXAO MOLE CONG MAMORE</t>
  </si>
  <si>
    <t xml:space="preserve">MAMORE FOODS COMERCIO LTDA</t>
  </si>
  <si>
    <t xml:space="preserve">25/09/2024</t>
  </si>
  <si>
    <t xml:space="preserve">2786</t>
  </si>
  <si>
    <t xml:space="preserve">PALETA S/ OSSO CONG NUTRIAL</t>
  </si>
  <si>
    <t xml:space="preserve">2787</t>
  </si>
  <si>
    <t xml:space="preserve">PATINHO BOV CONG FRIBOI 1953</t>
  </si>
  <si>
    <t xml:space="preserve">2788</t>
  </si>
  <si>
    <t xml:space="preserve">FILE MIGNON BOV CONG  FRIBOI 1953</t>
  </si>
  <si>
    <t xml:space="preserve">2789</t>
  </si>
  <si>
    <t xml:space="preserve">FILEZINHO SASSAMI BDJ PERDIGAO 1 KG CX12</t>
  </si>
  <si>
    <t xml:space="preserve">26/09/2024</t>
  </si>
  <si>
    <t xml:space="preserve">2790</t>
  </si>
  <si>
    <t xml:space="preserve">COSTELA INTEIRA SUINO CONG BMG</t>
  </si>
  <si>
    <t xml:space="preserve">30/09/2024</t>
  </si>
  <si>
    <t xml:space="preserve">2791</t>
  </si>
  <si>
    <t xml:space="preserve">FILE DE FRANGO IND CONG JUSSARA</t>
  </si>
  <si>
    <t xml:space="preserve">JUSSARA ALIMENTOS LTDA</t>
  </si>
  <si>
    <t xml:space="preserve">CX 20KG</t>
  </si>
  <si>
    <t xml:space="preserve">02/10/2024</t>
  </si>
  <si>
    <t xml:space="preserve">2792</t>
  </si>
  <si>
    <t xml:space="preserve">PICANHA BOV CONG FRIBOI 1953</t>
  </si>
  <si>
    <t xml:space="preserve">03/10/2024</t>
  </si>
  <si>
    <t xml:space="preserve">2793</t>
  </si>
  <si>
    <t xml:space="preserve">COXAO MOLE BOV RESF VALENCIO</t>
  </si>
  <si>
    <t xml:space="preserve">04/10/2024</t>
  </si>
  <si>
    <t xml:space="preserve">2794</t>
  </si>
  <si>
    <t xml:space="preserve">PATINHO BOV RESF MAMORE</t>
  </si>
  <si>
    <t xml:space="preserve">2795</t>
  </si>
  <si>
    <t xml:space="preserve">CARNE DESFIADA BOV CUPIM ALFAMA</t>
  </si>
  <si>
    <t xml:space="preserve">ALFAMA FOODS BRASIL LTDA</t>
  </si>
  <si>
    <t xml:space="preserve">7,89867E+12</t>
  </si>
  <si>
    <t xml:space="preserve">07/10/2024</t>
  </si>
  <si>
    <t xml:space="preserve">2796</t>
  </si>
  <si>
    <t xml:space="preserve">PEITO DE FRANGO DESFIADO ALFAMA</t>
  </si>
  <si>
    <t xml:space="preserve">7,89895E+12</t>
  </si>
  <si>
    <t xml:space="preserve">2797</t>
  </si>
  <si>
    <t xml:space="preserve">PERNIL SUÍNO COZIDO DESFIADO ALFAMA</t>
  </si>
  <si>
    <t xml:space="preserve">2798</t>
  </si>
  <si>
    <t xml:space="preserve">CARNE DESFIADA BOV COSTELA ALFAMA</t>
  </si>
  <si>
    <t xml:space="preserve">2799</t>
  </si>
  <si>
    <t xml:space="preserve">CARNE DESFIADA BOV CARNE SECA ALFAMA</t>
  </si>
  <si>
    <t xml:space="preserve">2800</t>
  </si>
  <si>
    <t xml:space="preserve">LEITOR COD BARRAS USB 1D GT</t>
  </si>
  <si>
    <t xml:space="preserve">84719012.</t>
  </si>
  <si>
    <t xml:space="preserve">LEITORES DE CODIGOS DE BARRAS</t>
  </si>
  <si>
    <t xml:space="preserve">84719012</t>
  </si>
  <si>
    <t xml:space="preserve">08/10/2024</t>
  </si>
  <si>
    <t xml:space="preserve">2804</t>
  </si>
  <si>
    <t xml:space="preserve">FRIO MIGNONETO COZIDO  SADIA 6,9</t>
  </si>
  <si>
    <t xml:space="preserve">CX+/- 6,9 KG</t>
  </si>
  <si>
    <t xml:space="preserve">11/10/2024</t>
  </si>
  <si>
    <t xml:space="preserve">2805</t>
  </si>
  <si>
    <t xml:space="preserve">PATINHO BOV CONG MAMORE</t>
  </si>
  <si>
    <t xml:space="preserve">14/10/2024</t>
  </si>
  <si>
    <t xml:space="preserve">2806</t>
  </si>
  <si>
    <t xml:space="preserve">PEIXE GALO CRUZ CONG PCT 1 KG</t>
  </si>
  <si>
    <t xml:space="preserve">2807</t>
  </si>
  <si>
    <t xml:space="preserve">PEIXE POSTA ATUM CRUZ CONG PCT 1 KG</t>
  </si>
  <si>
    <t xml:space="preserve">2808</t>
  </si>
  <si>
    <t xml:space="preserve">PEIXE FILE PESCADA CRUZ CONG PCT 500G</t>
  </si>
  <si>
    <t xml:space="preserve">2809</t>
  </si>
  <si>
    <t xml:space="preserve">LINGUICA DEFUMADA CALABRESA DUBOI 2KG</t>
  </si>
  <si>
    <t xml:space="preserve">DUBOI FRIGORIFICO INDUSTRIAL LTDA</t>
  </si>
  <si>
    <t xml:space="preserve">7,89808E+12</t>
  </si>
  <si>
    <t xml:space="preserve">21/10/2024</t>
  </si>
  <si>
    <t xml:space="preserve">2810</t>
  </si>
  <si>
    <t xml:space="preserve">LINGUICA CALABRESA FATIADA DUBOI 2KG</t>
  </si>
  <si>
    <t xml:space="preserve">2811</t>
  </si>
  <si>
    <t xml:space="preserve">PICANHA L CONG FINEXCOR 0,8 / 1,3 PV AA</t>
  </si>
  <si>
    <t xml:space="preserve">1,02589E+13</t>
  </si>
  <si>
    <t xml:space="preserve">2812</t>
  </si>
  <si>
    <t xml:space="preserve">PICANHA L CONG A 0,8/1,3 BERNAL PV</t>
  </si>
  <si>
    <t xml:space="preserve">2813</t>
  </si>
  <si>
    <t xml:space="preserve">CUPIM B BOV CONG SAO FRANCISCO</t>
  </si>
  <si>
    <t xml:space="preserve">22/10/2024</t>
  </si>
  <si>
    <t xml:space="preserve">2814</t>
  </si>
  <si>
    <t xml:space="preserve">M M TORRES COMERCIO DE BOVINOS LTDA</t>
  </si>
  <si>
    <t xml:space="preserve">2816</t>
  </si>
  <si>
    <t xml:space="preserve">BISTECA SUINA AURORA</t>
  </si>
  <si>
    <t xml:space="preserve">CX +/- 8,8KG</t>
  </si>
  <si>
    <t xml:space="preserve">7,89116E+12</t>
  </si>
  <si>
    <t xml:space="preserve">23/10/2024</t>
  </si>
  <si>
    <t xml:space="preserve">2818</t>
  </si>
  <si>
    <t xml:space="preserve">MUSCULO TRASEIRO CONG SAO FRANCISCO</t>
  </si>
  <si>
    <t xml:space="preserve">24/10/2024</t>
  </si>
  <si>
    <t xml:space="preserve">2819</t>
  </si>
  <si>
    <t xml:space="preserve">MUSCULO DIANTEIRO CONG SAO FRANCISCO</t>
  </si>
  <si>
    <t xml:space="preserve">2820</t>
  </si>
  <si>
    <t xml:space="preserve">FRALDA (DIVIDIDA) CONG CARAPRETA</t>
  </si>
  <si>
    <t xml:space="preserve">CX  +/- 18KG</t>
  </si>
  <si>
    <t xml:space="preserve">29/10/2024</t>
  </si>
  <si>
    <t xml:space="preserve">2821</t>
  </si>
  <si>
    <t xml:space="preserve">BIFE DO VAZIO (FLANK STEAK) CG CARAPRETA</t>
  </si>
  <si>
    <t xml:space="preserve">2822</t>
  </si>
  <si>
    <t xml:space="preserve">FILE TILAPIA SEM PELE 500G CG CARAPRETA</t>
  </si>
  <si>
    <t xml:space="preserve">2823</t>
  </si>
  <si>
    <t xml:space="preserve">PICANHA CONG (1,35/1,599 KG) CARAPRETA</t>
  </si>
  <si>
    <t xml:space="preserve">2824</t>
  </si>
  <si>
    <t xml:space="preserve">FILE DE TILÁPIA - AURORA 2KG</t>
  </si>
  <si>
    <t xml:space="preserve">7,89116E+13</t>
  </si>
  <si>
    <t xml:space="preserve">30/10/2024</t>
  </si>
  <si>
    <t xml:space="preserve">2825</t>
  </si>
  <si>
    <t xml:space="preserve">CUPIM A CONG SAO FRANCISCO</t>
  </si>
  <si>
    <t xml:space="preserve">2826</t>
  </si>
  <si>
    <t xml:space="preserve">MIOLO DA ALCATRA CONG SAO FRANCISCO</t>
  </si>
  <si>
    <t xml:space="preserve">2827</t>
  </si>
  <si>
    <t xml:space="preserve">COSTELA DIANT ASSADO TIRAS CG CARAPRETA</t>
  </si>
  <si>
    <t xml:space="preserve">31/10/2024</t>
  </si>
  <si>
    <t xml:space="preserve">2828</t>
  </si>
  <si>
    <t xml:space="preserve">ALAVANCA</t>
  </si>
  <si>
    <t xml:space="preserve">84149032</t>
  </si>
  <si>
    <t xml:space="preserve">2829</t>
  </si>
  <si>
    <t xml:space="preserve">COSTELA DO TRASEIRO TIRAS LKJ</t>
  </si>
  <si>
    <t xml:space="preserve">2830</t>
  </si>
  <si>
    <t xml:space="preserve">DESINCRUSTANTE CIF</t>
  </si>
  <si>
    <t xml:space="preserve">TOP CLEAN NORDESTE LTDA ME</t>
  </si>
  <si>
    <t xml:space="preserve">2831</t>
  </si>
  <si>
    <t xml:space="preserve">QUEIJO BRIE FORMA SAO VICENTE</t>
  </si>
  <si>
    <t xml:space="preserve">961</t>
  </si>
  <si>
    <t xml:space="preserve">LATICINIOS SAO VICENTE DE MINAS S.A</t>
  </si>
  <si>
    <t xml:space="preserve">LATICÍNEOS</t>
  </si>
  <si>
    <t xml:space="preserve">QUEIJOS</t>
  </si>
  <si>
    <t xml:space="preserve">CX +/- 3 KG</t>
  </si>
  <si>
    <t xml:space="preserve">04069030.</t>
  </si>
  <si>
    <t xml:space="preserve">QUEIJOS CONT.46%&lt;=TEOR DE UMIDADE&lt;55%,(MASSA MACIA)</t>
  </si>
  <si>
    <t xml:space="preserve">4069030</t>
  </si>
  <si>
    <t xml:space="preserve">7,89693E+12</t>
  </si>
  <si>
    <t xml:space="preserve">01/11/2024</t>
  </si>
  <si>
    <t xml:space="preserve">2832</t>
  </si>
  <si>
    <t xml:space="preserve">QUEIJO AZUL GORGONZOLA FORMA SAO VICENTE</t>
  </si>
  <si>
    <t xml:space="preserve">04064000.</t>
  </si>
  <si>
    <t xml:space="preserve">QUEIJOS DE PASTA MOFADA (AZUL)</t>
  </si>
  <si>
    <t xml:space="preserve">4064000</t>
  </si>
  <si>
    <t xml:space="preserve">2833</t>
  </si>
  <si>
    <t xml:space="preserve">QUEIJO SUICO 6 SAO VICENTE</t>
  </si>
  <si>
    <t xml:space="preserve">04069020.</t>
  </si>
  <si>
    <t xml:space="preserve">QUEIJOS CONT.36%&lt;=TEOR DE UMIDADE&lt;46%,(MASSA SEMIDURA)</t>
  </si>
  <si>
    <t xml:space="preserve">4069020</t>
  </si>
  <si>
    <t xml:space="preserve">2834</t>
  </si>
  <si>
    <t xml:space="preserve">QUEIJO GOUDA 3 SAO VICENTE</t>
  </si>
  <si>
    <t xml:space="preserve">2835</t>
  </si>
  <si>
    <t xml:space="preserve">QUEIJO REQUEIJAO BISNAGA 1,5KG SAO</t>
  </si>
  <si>
    <t xml:space="preserve">BISNAGAS</t>
  </si>
  <si>
    <t xml:space="preserve">2837</t>
  </si>
  <si>
    <t xml:space="preserve">HAMBURGUER BOV CONG 120G FS CARAPRETA</t>
  </si>
  <si>
    <t xml:space="preserve">CX 5,04 KG</t>
  </si>
  <si>
    <t xml:space="preserve">12/11/2024</t>
  </si>
  <si>
    <t xml:space="preserve">2838</t>
  </si>
  <si>
    <t xml:space="preserve">HAMBURGUER BOV CONG 200G FOOD CARAPRETA</t>
  </si>
  <si>
    <t xml:space="preserve">2839</t>
  </si>
  <si>
    <t xml:space="preserve">FILÉ DE SAITHE COM PELE 1500G</t>
  </si>
  <si>
    <t xml:space="preserve">CX 10  KG</t>
  </si>
  <si>
    <t xml:space="preserve">13/11/2024</t>
  </si>
  <si>
    <t xml:space="preserve">2841</t>
  </si>
  <si>
    <t xml:space="preserve">ALHO INTEIRO DESCASCADO/CONG EASY 1,1 KG</t>
  </si>
  <si>
    <t xml:space="preserve">ITALIA COMERCIO E DISTRIBUIDORA LTDA</t>
  </si>
  <si>
    <t xml:space="preserve">CX 5,5 KG</t>
  </si>
  <si>
    <t xml:space="preserve">7,89897E+12</t>
  </si>
  <si>
    <t xml:space="preserve">18/11/2024</t>
  </si>
  <si>
    <t xml:space="preserve">2842</t>
  </si>
  <si>
    <t xml:space="preserve">BROCOLIS SUPER CONG EASYCHEF 10X1,1KG</t>
  </si>
  <si>
    <t xml:space="preserve">7,89681E+12</t>
  </si>
  <si>
    <t xml:space="preserve">2843</t>
  </si>
  <si>
    <t xml:space="preserve">MORANGO INTEIRO CONG EASYCHEF 10X1,1</t>
  </si>
  <si>
    <t xml:space="preserve">FRUTAS</t>
  </si>
  <si>
    <t xml:space="preserve">MORANGO</t>
  </si>
  <si>
    <t xml:space="preserve">2844</t>
  </si>
  <si>
    <t xml:space="preserve">ERVILHA SUPER CONG EASYCHEF 10X1,1KG</t>
  </si>
  <si>
    <t xml:space="preserve">2845</t>
  </si>
  <si>
    <t xml:space="preserve">MIX VEGETAIS SUPER CONG EASYCHEF 10X1,1</t>
  </si>
  <si>
    <t xml:space="preserve">2846</t>
  </si>
  <si>
    <t xml:space="preserve">BATATA CONG EASY PROF COATED 6X2 9MM</t>
  </si>
  <si>
    <t xml:space="preserve">2847</t>
  </si>
  <si>
    <t xml:space="preserve">BATATA CONG. EASYCHEF 6X2KG 10MM</t>
  </si>
  <si>
    <t xml:space="preserve">2848</t>
  </si>
  <si>
    <t xml:space="preserve">MUSCULO DIANTEIRO BOV CONG MAMORE - TERC</t>
  </si>
  <si>
    <t xml:space="preserve">19/11/2024</t>
  </si>
  <si>
    <t xml:space="preserve">2849</t>
  </si>
  <si>
    <t xml:space="preserve">VINAGRE DE ÁLCOOL 5LTEMPERO DA CASA</t>
  </si>
  <si>
    <t xml:space="preserve">D &amp; D TEMPEROS CASEIROS LTDA - EPP</t>
  </si>
  <si>
    <t xml:space="preserve">VINAGRE</t>
  </si>
  <si>
    <t xml:space="preserve">VINAGRE DE ALCOOL</t>
  </si>
  <si>
    <t xml:space="preserve">5 L</t>
  </si>
  <si>
    <t xml:space="preserve">22090000.</t>
  </si>
  <si>
    <t xml:space="preserve">VINAGRES E SUCEDAN.OBTIDOS ACID.ACETICO,P/USO ALIMENTAR</t>
  </si>
  <si>
    <t xml:space="preserve">22090000</t>
  </si>
  <si>
    <t xml:space="preserve">7,8983E+12</t>
  </si>
  <si>
    <t xml:space="preserve">2850</t>
  </si>
  <si>
    <t xml:space="preserve">TEMPERO COMP. C/ PIMENTA TEMPERO DA CASA</t>
  </si>
  <si>
    <t xml:space="preserve">TEMPERO</t>
  </si>
  <si>
    <t xml:space="preserve">TEMPERO COMPLETO C/ PIMENTA</t>
  </si>
  <si>
    <t xml:space="preserve">6 UN</t>
  </si>
  <si>
    <t xml:space="preserve">2851</t>
  </si>
  <si>
    <t xml:space="preserve">ALHO PICADO 3,5 KG TEMPERO DA CASA</t>
  </si>
  <si>
    <t xml:space="preserve">ALHO PICADO</t>
  </si>
  <si>
    <t xml:space="preserve">BD 3,5 KG</t>
  </si>
  <si>
    <t xml:space="preserve">21039021.</t>
  </si>
  <si>
    <t xml:space="preserve">CONDIMENTOS E TEMPEROS,COMPOSTOS,EMBALAG.IMEDIAT.P&lt;=1KG</t>
  </si>
  <si>
    <t xml:space="preserve">21039021</t>
  </si>
  <si>
    <t xml:space="preserve">2852</t>
  </si>
  <si>
    <t xml:space="preserve">MOLHO SHOYU 5L TEMPERO DA CASA</t>
  </si>
  <si>
    <t xml:space="preserve">MOLHOS</t>
  </si>
  <si>
    <t xml:space="preserve">SHOYU</t>
  </si>
  <si>
    <t xml:space="preserve">2853</t>
  </si>
  <si>
    <t xml:space="preserve">MOLHO INGLES 5L TEMPERO DA CASA</t>
  </si>
  <si>
    <t xml:space="preserve">INGLES</t>
  </si>
  <si>
    <t xml:space="preserve">2855</t>
  </si>
  <si>
    <t xml:space="preserve">SOBREPALETA CONG BMG</t>
  </si>
  <si>
    <t xml:space="preserve">26/11/2024</t>
  </si>
  <si>
    <t xml:space="preserve">2856</t>
  </si>
  <si>
    <t xml:space="preserve">CHESTER INT CONG PERDIGÃO 18 A 21,6KG</t>
  </si>
  <si>
    <t xml:space="preserve">28/11/2024</t>
  </si>
  <si>
    <t xml:space="preserve">2857</t>
  </si>
  <si>
    <t xml:space="preserve">PERU C/MIUDOS TEMP INTEIRO CONG PERDIGÃO</t>
  </si>
  <si>
    <t xml:space="preserve">2858</t>
  </si>
  <si>
    <t xml:space="preserve">COXAO MOLE CONG SAO FRANCISCO</t>
  </si>
  <si>
    <t xml:space="preserve">03/12/2024</t>
  </si>
  <si>
    <t xml:space="preserve">2859</t>
  </si>
  <si>
    <t xml:space="preserve">FILE MIGNON S/ CORDAO 3/4  CONG SAO FCO.</t>
  </si>
  <si>
    <t xml:space="preserve">21322859</t>
  </si>
  <si>
    <t xml:space="preserve">2860</t>
  </si>
  <si>
    <t xml:space="preserve">PEITO GRANITO BRISKET CONG VERDI</t>
  </si>
  <si>
    <t xml:space="preserve">FRIGORIFICO VERDI LTDA</t>
  </si>
  <si>
    <t xml:space="preserve">04/12/2024</t>
  </si>
  <si>
    <t xml:space="preserve">2861</t>
  </si>
  <si>
    <t xml:space="preserve">CONTRA FILE BARRA ANGUS CONG VERDI</t>
  </si>
  <si>
    <t xml:space="preserve">2862</t>
  </si>
  <si>
    <t xml:space="preserve">CONTRA FILE BARRA GRILL CONG VERDI</t>
  </si>
  <si>
    <t xml:space="preserve">2863</t>
  </si>
  <si>
    <t xml:space="preserve">CONTRA FILE PORCIONADO ANGUS CONG VERDI</t>
  </si>
  <si>
    <t xml:space="preserve">2864</t>
  </si>
  <si>
    <t xml:space="preserve">CONTRA FILE PORCIONADO GRILL CONG VERDI</t>
  </si>
  <si>
    <t xml:space="preserve">14740</t>
  </si>
  <si>
    <t xml:space="preserve">2865</t>
  </si>
  <si>
    <t xml:space="preserve">MAMINHA DA ALCATRA ANGUS CONG VERDI</t>
  </si>
  <si>
    <t xml:space="preserve">2866</t>
  </si>
  <si>
    <t xml:space="preserve">MAMINHA DA ALCATRA GRILL CONG VERDI</t>
  </si>
  <si>
    <t xml:space="preserve">2867</t>
  </si>
  <si>
    <t xml:space="preserve">PICANHA ANGUS CONG VERDI</t>
  </si>
  <si>
    <t xml:space="preserve">2868</t>
  </si>
  <si>
    <t xml:space="preserve">PICANHA HEREFORD CONG VERDI</t>
  </si>
  <si>
    <t xml:space="preserve">2869</t>
  </si>
  <si>
    <t xml:space="preserve">MAMINHA DA ALCATRA HEREFORD CONG VERDI</t>
  </si>
  <si>
    <t xml:space="preserve">2870</t>
  </si>
  <si>
    <t xml:space="preserve">FILE MIGNON 4/5 UP GRILL CONG VERDI</t>
  </si>
  <si>
    <t xml:space="preserve">14800</t>
  </si>
  <si>
    <t xml:space="preserve">2871</t>
  </si>
  <si>
    <t xml:space="preserve">COSTELA MINGA ANGUS CONG VERDI</t>
  </si>
  <si>
    <t xml:space="preserve">2872</t>
  </si>
  <si>
    <t xml:space="preserve">COSTELA MINGA PRECOCE CONG VERDI</t>
  </si>
  <si>
    <t xml:space="preserve">20440</t>
  </si>
  <si>
    <t xml:space="preserve">2873</t>
  </si>
  <si>
    <t xml:space="preserve">COSTELA MINGA HEREFORD CONG VERDI</t>
  </si>
  <si>
    <t xml:space="preserve">2874</t>
  </si>
  <si>
    <t xml:space="preserve">FILE MIGNON SUINO CONG GRANPEIRO</t>
  </si>
  <si>
    <t xml:space="preserve">200008</t>
  </si>
  <si>
    <t xml:space="preserve">05/12/2024</t>
  </si>
  <si>
    <t xml:space="preserve">2875</t>
  </si>
  <si>
    <t xml:space="preserve">LOMBO SUINO CONG GRAN CAMPEIRO</t>
  </si>
  <si>
    <t xml:space="preserve">200004</t>
  </si>
  <si>
    <t xml:space="preserve">2876</t>
  </si>
  <si>
    <t xml:space="preserve">QUEIJO MUSSARELA IOGA 6 X 4 KG</t>
  </si>
  <si>
    <t xml:space="preserve">IND. E COM. DE LATICINIOS VENEZA LTDA</t>
  </si>
  <si>
    <t xml:space="preserve">04061010.</t>
  </si>
  <si>
    <t xml:space="preserve">QUEIJO TIPO MUSSARELA,FRESCO (NAO CURADO)</t>
  </si>
  <si>
    <t xml:space="preserve">4061010</t>
  </si>
  <si>
    <t xml:space="preserve">20003</t>
  </si>
  <si>
    <t xml:space="preserve">06/12/2024</t>
  </si>
  <si>
    <t xml:space="preserve">2877</t>
  </si>
  <si>
    <t xml:space="preserve">FILE MIGNON S/ CORDAO 5 UP CONG SAO FCO.</t>
  </si>
  <si>
    <t xml:space="preserve">2024</t>
  </si>
  <si>
    <t xml:space="preserve">2878</t>
  </si>
  <si>
    <t xml:space="preserve">FILE COST. TOMAHAWK ATE 0,950G CARAPRETA</t>
  </si>
  <si>
    <t xml:space="preserve">9000000302</t>
  </si>
  <si>
    <t xml:space="preserve">12/12/2024</t>
  </si>
  <si>
    <t xml:space="preserve">2879</t>
  </si>
  <si>
    <t xml:space="preserve">CONTRAFILE CHORIZO WAGYU 5UP CARAPRETA</t>
  </si>
  <si>
    <t xml:space="preserve">9000000725</t>
  </si>
  <si>
    <t xml:space="preserve">2880</t>
  </si>
  <si>
    <t xml:space="preserve">PEITO BRISKET CONG WAGYU CARAPRETA</t>
  </si>
  <si>
    <t xml:space="preserve">900000734</t>
  </si>
  <si>
    <t xml:space="preserve">2881</t>
  </si>
  <si>
    <t xml:space="preserve">CORACAO DA ALCATRA CONG CARAPRETA</t>
  </si>
  <si>
    <t xml:space="preserve">9000000387</t>
  </si>
  <si>
    <t xml:space="preserve">2882</t>
  </si>
  <si>
    <t xml:space="preserve">COSTELA ASSADO TIRAS WAGYU CG CARAPRETA</t>
  </si>
  <si>
    <t xml:space="preserve">9000000731</t>
  </si>
  <si>
    <t xml:space="preserve">2883</t>
  </si>
  <si>
    <t xml:space="preserve">FILE COST ANCHO WAGYU 3,5 UP CARAPRETA</t>
  </si>
  <si>
    <t xml:space="preserve">9000000733</t>
  </si>
  <si>
    <t xml:space="preserve">2884</t>
  </si>
  <si>
    <t xml:space="preserve">CARNE DESFIADA CARNE DO SOL ALFAMA</t>
  </si>
  <si>
    <t xml:space="preserve">13/12/2024</t>
  </si>
  <si>
    <t xml:space="preserve">2885</t>
  </si>
  <si>
    <t xml:space="preserve">CARNE MOIDA BOVINA CONG ALFAMA PCT 1 KG</t>
  </si>
  <si>
    <t xml:space="preserve">2886</t>
  </si>
  <si>
    <t xml:space="preserve">PALETE MADEIRA</t>
  </si>
  <si>
    <t xml:space="preserve">PALETE</t>
  </si>
  <si>
    <t xml:space="preserve">44152000.</t>
  </si>
  <si>
    <t xml:space="preserve">PALETES SIMPLES PALETESCAIXAS E OUTROS ESTRADOS PARA CARGA</t>
  </si>
  <si>
    <t xml:space="preserve">44152000</t>
  </si>
  <si>
    <t xml:space="preserve">2887</t>
  </si>
  <si>
    <t xml:space="preserve">SEPARADOR</t>
  </si>
  <si>
    <t xml:space="preserve">976</t>
  </si>
  <si>
    <t xml:space="preserve">MARFRIG GLOBAL FOODS S.A.</t>
  </si>
  <si>
    <t xml:space="preserve">49111010.</t>
  </si>
  <si>
    <t xml:space="preserve">CONTENDO INFORMACOES RELATIVAS AO FUNCIONAMENTO, MANUTENCAO,</t>
  </si>
  <si>
    <t xml:space="preserve">49111010</t>
  </si>
  <si>
    <t xml:space="preserve">16/12/2024</t>
  </si>
  <si>
    <t xml:space="preserve">2888</t>
  </si>
  <si>
    <t xml:space="preserve">TESTEIRA</t>
  </si>
  <si>
    <t xml:space="preserve">2889</t>
  </si>
  <si>
    <t xml:space="preserve">STOPPER MPDV</t>
  </si>
  <si>
    <t xml:space="preserve">2890</t>
  </si>
  <si>
    <t xml:space="preserve">PRECIFICADOR</t>
  </si>
  <si>
    <t xml:space="preserve">49111090.</t>
  </si>
  <si>
    <t xml:space="preserve">49111090</t>
  </si>
  <si>
    <t xml:space="preserve">2891</t>
  </si>
  <si>
    <t xml:space="preserve">WOBBLER MPDV</t>
  </si>
  <si>
    <t xml:space="preserve">49119900.</t>
  </si>
  <si>
    <t xml:space="preserve">49119900</t>
  </si>
  <si>
    <t xml:space="preserve">2892</t>
  </si>
  <si>
    <t xml:space="preserve">CARRE SUINO CONG RAINHA DA PAZ</t>
  </si>
  <si>
    <t xml:space="preserve">CATAN COMERCIO DE CARNES LTDA</t>
  </si>
  <si>
    <t xml:space="preserve">2893</t>
  </si>
  <si>
    <t xml:space="preserve">CHESTER INT. CONG PERDIGÃO 18 A 25,6KG</t>
  </si>
  <si>
    <t xml:space="preserve">66273</t>
  </si>
  <si>
    <t xml:space="preserve">17/12/2024</t>
  </si>
  <si>
    <t xml:space="preserve">2894</t>
  </si>
  <si>
    <t xml:space="preserve">CHESTER INT CONG PERDIGAO 21,6 A 23,4 KG</t>
  </si>
  <si>
    <t xml:space="preserve">153564</t>
  </si>
  <si>
    <t xml:space="preserve">2895</t>
  </si>
  <si>
    <t xml:space="preserve">PICANHA A BOV CONG BARRA MANSA</t>
  </si>
  <si>
    <t xml:space="preserve">110546</t>
  </si>
  <si>
    <t xml:space="preserve">2896</t>
  </si>
  <si>
    <t xml:space="preserve">PICANHA A PARAGUAIA BOV CONG BFC</t>
  </si>
  <si>
    <t xml:space="preserve">110385</t>
  </si>
  <si>
    <t xml:space="preserve">2897</t>
  </si>
  <si>
    <t xml:space="preserve">COSTELA DO TRASEIRO TIRAS FRISA</t>
  </si>
  <si>
    <t xml:space="preserve">110562</t>
  </si>
  <si>
    <t xml:space="preserve">2898</t>
  </si>
  <si>
    <t xml:space="preserve">FILE DE GALINHA CONG SOMAVE BLOCO</t>
  </si>
  <si>
    <t xml:space="preserve">20201</t>
  </si>
  <si>
    <t xml:space="preserve">2899</t>
  </si>
  <si>
    <t xml:space="preserve">FILE DE GALO CONG SOMAVE BLOCO</t>
  </si>
  <si>
    <t xml:space="preserve">20403</t>
  </si>
  <si>
    <t xml:space="preserve">2901</t>
  </si>
  <si>
    <t xml:space="preserve">BACON ESPECIAL EM CUBOS DUBOI</t>
  </si>
  <si>
    <t xml:space="preserve">19/12/2024</t>
  </si>
  <si>
    <t xml:space="preserve">2902</t>
  </si>
  <si>
    <t xml:space="preserve">FOGAO COOKTOP</t>
  </si>
  <si>
    <t xml:space="preserve">POLO DO ELETRO COMERCIAL DE MOVEIS LTDA</t>
  </si>
  <si>
    <t xml:space="preserve">AQUISICAO ELETRODOMÉSTICOS</t>
  </si>
  <si>
    <t xml:space="preserve">FOGAO</t>
  </si>
  <si>
    <t xml:space="preserve">73211100.</t>
  </si>
  <si>
    <t xml:space="preserve">A COMBUSTIVEIS GASOSOS, OU A GAS E OUTROS COMBUSTIVEIS</t>
  </si>
  <si>
    <t xml:space="preserve">73211100</t>
  </si>
  <si>
    <t xml:space="preserve">23/12/2024</t>
  </si>
  <si>
    <t xml:space="preserve">2903</t>
  </si>
  <si>
    <t xml:space="preserve">BALACLAVA</t>
  </si>
  <si>
    <t xml:space="preserve">61179000.</t>
  </si>
  <si>
    <t xml:space="preserve">61179000</t>
  </si>
  <si>
    <t xml:space="preserve">2904</t>
  </si>
  <si>
    <t xml:space="preserve">RECARGA EXTINTOR</t>
  </si>
  <si>
    <t xml:space="preserve">717</t>
  </si>
  <si>
    <t xml:space="preserve">ARLENE NOGUEIRA RAMOS LIMA ME</t>
  </si>
  <si>
    <t xml:space="preserve">38130090.</t>
  </si>
  <si>
    <t xml:space="preserve">38130090</t>
  </si>
  <si>
    <t xml:space="preserve">2905</t>
  </si>
  <si>
    <t xml:space="preserve">QUEIJO REQJ. SB CHEDDAR 1,5  SAO VICENTE</t>
  </si>
  <si>
    <t xml:space="preserve">04061090.</t>
  </si>
  <si>
    <t xml:space="preserve">OUTS.QUEIJOS FRESCOS (NAO CURADOS),INCL.REQUEIJAO,ETC.</t>
  </si>
  <si>
    <t xml:space="preserve">4061090</t>
  </si>
  <si>
    <t xml:space="preserve">26/12/2024</t>
  </si>
  <si>
    <t xml:space="preserve">2906</t>
  </si>
  <si>
    <t xml:space="preserve">ESTATOR ALTERNADOR</t>
  </si>
  <si>
    <t xml:space="preserve">2907</t>
  </si>
  <si>
    <t xml:space="preserve">QUEIJO MONTANHES PEÇA SAO VICENTE - 2PÇ</t>
  </si>
  <si>
    <t xml:space="preserve">11218</t>
  </si>
  <si>
    <t xml:space="preserve">2908</t>
  </si>
  <si>
    <t xml:space="preserve">ROTOR ALTERNADOR</t>
  </si>
  <si>
    <t xml:space="preserve">2909</t>
  </si>
  <si>
    <t xml:space="preserve">QUEIJO COALHO PEÇA SAO VICENTE - 3 PÇS</t>
  </si>
  <si>
    <t xml:space="preserve">4167</t>
  </si>
  <si>
    <t xml:space="preserve">2910</t>
  </si>
  <si>
    <t xml:space="preserve">FIGADO BOV CONG REDENTOR</t>
  </si>
  <si>
    <t xml:space="preserve">FRIGORIFICO REDENTRO S/A</t>
  </si>
  <si>
    <t xml:space="preserve">5018</t>
  </si>
  <si>
    <t xml:space="preserve">27/12/2024</t>
  </si>
  <si>
    <t xml:space="preserve">2911</t>
  </si>
  <si>
    <t xml:space="preserve">MOCOTO BOV CONG REDENTOR</t>
  </si>
  <si>
    <t xml:space="preserve">4019</t>
  </si>
  <si>
    <t xml:space="preserve">2912</t>
  </si>
  <si>
    <t xml:space="preserve">X1 SDRIVE 20I M SPORT</t>
  </si>
  <si>
    <t xml:space="preserve">GNC IMPORT COMERCIO DE VEICULOS LTDA</t>
  </si>
  <si>
    <t xml:space="preserve">CARROS</t>
  </si>
  <si>
    <t xml:space="preserve">87032310.</t>
  </si>
  <si>
    <t xml:space="preserve">AUTOMOVEIS C/MOTOR EXPLOSAO,1500&lt;CM3&lt;=3000,ATE 6 PASSAG</t>
  </si>
  <si>
    <t xml:space="preserve">87032310</t>
  </si>
  <si>
    <t xml:space="preserve">30/12/2024</t>
  </si>
  <si>
    <t xml:space="preserve">2913</t>
  </si>
  <si>
    <t xml:space="preserve">BATATA CONG EASY PROF CRINKEL 6X2KG</t>
  </si>
  <si>
    <t xml:space="preserve">4170186</t>
  </si>
  <si>
    <t xml:space="preserve">08/01/2025</t>
  </si>
  <si>
    <t xml:space="preserve">2914</t>
  </si>
  <si>
    <t xml:space="preserve">COUVE FLOR SUPER CONG EASYCHEF 10X1,1KG</t>
  </si>
  <si>
    <t xml:space="preserve">4160079</t>
  </si>
  <si>
    <t xml:space="preserve">2915</t>
  </si>
  <si>
    <t xml:space="preserve">BATATA CONG EASY PROF CORTE FINO 6X2KG</t>
  </si>
  <si>
    <t xml:space="preserve">4170181</t>
  </si>
  <si>
    <t xml:space="preserve">2916</t>
  </si>
  <si>
    <t xml:space="preserve">MAMINHA CONG MINERVA PUL SELECTION</t>
  </si>
  <si>
    <t xml:space="preserve">500086540</t>
  </si>
  <si>
    <t xml:space="preserve">09/01/2025</t>
  </si>
  <si>
    <t xml:space="preserve">2917</t>
  </si>
  <si>
    <t xml:space="preserve">PICANHA URU CONG 1,5 KG UP MINERVA PUL</t>
  </si>
  <si>
    <t xml:space="preserve">86349</t>
  </si>
  <si>
    <t xml:space="preserve">2918</t>
  </si>
  <si>
    <t xml:space="preserve">PATINHO BOV CONG FRIBOI - PROCESSO LIC.</t>
  </si>
  <si>
    <t xml:space="preserve">5519</t>
  </si>
  <si>
    <t xml:space="preserve">15/01/2025</t>
  </si>
  <si>
    <t xml:space="preserve">2919</t>
  </si>
  <si>
    <t xml:space="preserve">LAGARTO CONG SAO FRANCISCO</t>
  </si>
  <si>
    <t xml:space="preserve">20/01/2025</t>
  </si>
  <si>
    <t xml:space="preserve">2920</t>
  </si>
  <si>
    <t xml:space="preserve">CONTRA FILE CONG SAO FRANCISCO</t>
  </si>
  <si>
    <t xml:space="preserve">2921</t>
  </si>
  <si>
    <t xml:space="preserve">FRALDA BOV CONG SAO FRANCISCO</t>
  </si>
  <si>
    <t xml:space="preserve">21/01/2025</t>
  </si>
  <si>
    <t xml:space="preserve">2922</t>
  </si>
  <si>
    <t xml:space="preserve">CORDAO DO FILE CONG SAO FRANCISCO</t>
  </si>
  <si>
    <t xml:space="preserve">2925</t>
  </si>
  <si>
    <t xml:space="preserve">2923</t>
  </si>
  <si>
    <t xml:space="preserve">GALO CONG C/ MIUDOS SOMAVE</t>
  </si>
  <si>
    <t xml:space="preserve">7,89832E+12</t>
  </si>
  <si>
    <t xml:space="preserve">2924</t>
  </si>
  <si>
    <t xml:space="preserve">GALINHA CONG C/ MUIDOS TONHO</t>
  </si>
  <si>
    <t xml:space="preserve">7,89876E+12</t>
  </si>
  <si>
    <t xml:space="preserve">23/01/2025</t>
  </si>
  <si>
    <t xml:space="preserve">CAPA DE FILE BOV CONG SAO FRANCISCO</t>
  </si>
  <si>
    <t xml:space="preserve">20710</t>
  </si>
  <si>
    <t xml:space="preserve">27/01/2025</t>
  </si>
  <si>
    <t xml:space="preserve">2926</t>
  </si>
  <si>
    <t xml:space="preserve">FILE DE COSTELA BOV CONG SAO FRANCISCO</t>
  </si>
  <si>
    <t xml:space="preserve">2927</t>
  </si>
  <si>
    <t xml:space="preserve">MOLHO DE PIMENTA 150 ML - CX C/ 12 UNID</t>
  </si>
  <si>
    <t xml:space="preserve">MOLHO DE PIMENTA</t>
  </si>
  <si>
    <t xml:space="preserve">CX 12 UNID</t>
  </si>
  <si>
    <t xml:space="preserve">120501</t>
  </si>
  <si>
    <t xml:space="preserve">28/01/2025</t>
  </si>
  <si>
    <t xml:space="preserve">2928</t>
  </si>
  <si>
    <t xml:space="preserve">MOLHO DE PIMENTA CREMOSO AO LEITE 190G</t>
  </si>
  <si>
    <t xml:space="preserve">CX 6 UNID</t>
  </si>
  <si>
    <t xml:space="preserve">160003</t>
  </si>
  <si>
    <t xml:space="preserve">2929</t>
  </si>
  <si>
    <t xml:space="preserve">SAL DE PARRILLA ORIGINAL CHURRASCO 390G</t>
  </si>
  <si>
    <t xml:space="preserve">SAL DE PARRILLA</t>
  </si>
  <si>
    <t xml:space="preserve">150005</t>
  </si>
  <si>
    <t xml:space="preserve">2930</t>
  </si>
  <si>
    <t xml:space="preserve">SAL DE PARRILLA C/ PIMENTA DO REINO 350G</t>
  </si>
  <si>
    <t xml:space="preserve">150006</t>
  </si>
  <si>
    <t xml:space="preserve">2931</t>
  </si>
  <si>
    <t xml:space="preserve">SAL DE PARRILLA C/ CHIMICHURRI 330G</t>
  </si>
  <si>
    <t xml:space="preserve">2932</t>
  </si>
  <si>
    <t xml:space="preserve">SAL DE PARRILLA C/ ALHO CHURRASCO 340G</t>
  </si>
  <si>
    <t xml:space="preserve">2933</t>
  </si>
  <si>
    <t xml:space="preserve">MEIAO TERMICO</t>
  </si>
  <si>
    <t xml:space="preserve">61151022.</t>
  </si>
  <si>
    <t xml:space="preserve">DE ALGODAO</t>
  </si>
  <si>
    <t xml:space="preserve">61151022</t>
  </si>
  <si>
    <t xml:space="preserve">29/01/2025</t>
  </si>
  <si>
    <t xml:space="preserve">2934</t>
  </si>
  <si>
    <t xml:space="preserve">ACEM DENVER STEAK CONG CARAPRETA</t>
  </si>
  <si>
    <t xml:space="preserve">9000000376</t>
  </si>
  <si>
    <t xml:space="preserve">30/01/2025</t>
  </si>
  <si>
    <t xml:space="preserve">2935</t>
  </si>
  <si>
    <t xml:space="preserve">COSTELA CORDEIRO RIPA C/ OSSO CARAPRETA</t>
  </si>
  <si>
    <t xml:space="preserve">2936</t>
  </si>
  <si>
    <t xml:space="preserve">FILE MIGNON SUINO CONG NUTRIBRAS</t>
  </si>
  <si>
    <t xml:space="preserve">FRIGORIFICO NUTRIBRAS S.A</t>
  </si>
  <si>
    <t xml:space="preserve">1202000</t>
  </si>
  <si>
    <t xml:space="preserve">2937</t>
  </si>
  <si>
    <t xml:space="preserve">LINGUICA TOSCANA CONG NUTRIBRAS</t>
  </si>
  <si>
    <t xml:space="preserve">1401200</t>
  </si>
  <si>
    <t xml:space="preserve">2938</t>
  </si>
  <si>
    <t xml:space="preserve">MUSCULO TRASEIR MOLE E DURO MINERVA PULL</t>
  </si>
  <si>
    <t xml:space="preserve">03/02/2025</t>
  </si>
  <si>
    <t xml:space="preserve">2939</t>
  </si>
  <si>
    <t xml:space="preserve">LAGARTO BOV CONG MINERVA PULL</t>
  </si>
  <si>
    <t xml:space="preserve">2940</t>
  </si>
  <si>
    <t xml:space="preserve">MEDALHAO PEITO PERU CONG SADIA 2 KG</t>
  </si>
  <si>
    <t xml:space="preserve">06/02/2025</t>
  </si>
  <si>
    <t xml:space="preserve">2941</t>
  </si>
  <si>
    <t xml:space="preserve">CLICHE PERSONALIZADO</t>
  </si>
  <si>
    <t xml:space="preserve">1008</t>
  </si>
  <si>
    <t xml:space="preserve">M4 FITAS ADESIVAS PERSONALIZADA LTDA</t>
  </si>
  <si>
    <t xml:space="preserve">84425000.</t>
  </si>
  <si>
    <t xml:space="preserve">CLICHES BLOCOS CILINDROS E OUTROS ELEMENTOS DE IMPRESSAO</t>
  </si>
  <si>
    <t xml:space="preserve">84425000</t>
  </si>
  <si>
    <t xml:space="preserve">2942</t>
  </si>
  <si>
    <t xml:space="preserve">CARNE DO SOL COXAO DURO MANTA SAB.SERTAO</t>
  </si>
  <si>
    <t xml:space="preserve">CX +/-15 KG</t>
  </si>
  <si>
    <t xml:space="preserve">2020009</t>
  </si>
  <si>
    <t xml:space="preserve">07/02/2025</t>
  </si>
  <si>
    <t xml:space="preserve">2943</t>
  </si>
  <si>
    <t xml:space="preserve">CARNE DO SOL COXAO DURO MANTA DESSAL</t>
  </si>
  <si>
    <t xml:space="preserve">5020015</t>
  </si>
  <si>
    <t xml:space="preserve">2944</t>
  </si>
  <si>
    <t xml:space="preserve">PICANHA TIPO B ARG CONG VIREYES</t>
  </si>
  <si>
    <t xml:space="preserve">10/02/2025</t>
  </si>
  <si>
    <t xml:space="preserve">2945</t>
  </si>
  <si>
    <t xml:space="preserve">12/02/2025</t>
  </si>
  <si>
    <t xml:space="preserve">2946</t>
  </si>
  <si>
    <t xml:space="preserve">CARNE MOIDA TUBETE 0,500G KIKARNE</t>
  </si>
  <si>
    <t xml:space="preserve">90905</t>
  </si>
  <si>
    <t xml:space="preserve">17/02/2025</t>
  </si>
  <si>
    <t xml:space="preserve">2947</t>
  </si>
  <si>
    <t xml:space="preserve">CARNE MOIDA MUSCULO 1 KG DUBOI</t>
  </si>
  <si>
    <t xml:space="preserve">2948</t>
  </si>
  <si>
    <t xml:space="preserve">PERNIL SUINO CONG C/OSSO GRAN CAMPEIRO</t>
  </si>
  <si>
    <t xml:space="preserve">200013</t>
  </si>
  <si>
    <t xml:space="preserve">2949</t>
  </si>
  <si>
    <t xml:space="preserve">PANCETA EM TIRAS CONG GRAN CAMPEIRO</t>
  </si>
  <si>
    <t xml:space="preserve">200195</t>
  </si>
  <si>
    <t xml:space="preserve">2950</t>
  </si>
  <si>
    <t xml:space="preserve">TOMAHAWK SUINO CONG GRAN CAMPEIRO</t>
  </si>
  <si>
    <t xml:space="preserve">200187</t>
  </si>
  <si>
    <t xml:space="preserve">2951</t>
  </si>
  <si>
    <t xml:space="preserve">PRIME RIB SUINO CONG GRAND CAMPEIRO</t>
  </si>
  <si>
    <t xml:space="preserve">200189</t>
  </si>
  <si>
    <t xml:space="preserve">2952</t>
  </si>
  <si>
    <t xml:space="preserve">COXAO DURO CONG NUTRIAL</t>
  </si>
  <si>
    <t xml:space="preserve">21/02/2025</t>
  </si>
  <si>
    <t xml:space="preserve">2953</t>
  </si>
  <si>
    <t xml:space="preserve">LOMBINHO BOV CONG FRIVASA</t>
  </si>
  <si>
    <t xml:space="preserve">2954</t>
  </si>
  <si>
    <t xml:space="preserve">FILE MIGNON S/CORDAO 3/4  CONG VALENCIO</t>
  </si>
  <si>
    <t xml:space="preserve">24/02/2025</t>
  </si>
  <si>
    <t xml:space="preserve">2955</t>
  </si>
  <si>
    <t xml:space="preserve">CHASSI</t>
  </si>
  <si>
    <t xml:space="preserve">25/02/2025</t>
  </si>
  <si>
    <t xml:space="preserve">2956</t>
  </si>
  <si>
    <t xml:space="preserve">MAMINHA TODAHORA CONG PLENA ALIMENTOS</t>
  </si>
  <si>
    <t xml:space="preserve">221202</t>
  </si>
  <si>
    <t xml:space="preserve">2957</t>
  </si>
  <si>
    <t xml:space="preserve">ALCATRA C/ MAMINHA CONG VALENCIO</t>
  </si>
  <si>
    <t xml:space="preserve">30050</t>
  </si>
  <si>
    <t xml:space="preserve">26/02/2025</t>
  </si>
  <si>
    <t xml:space="preserve">2958</t>
  </si>
  <si>
    <t xml:space="preserve">MAMINHA ARG CONG FINEXCOR</t>
  </si>
  <si>
    <t xml:space="preserve">25219070</t>
  </si>
  <si>
    <t xml:space="preserve">01/03/2025</t>
  </si>
  <si>
    <t xml:space="preserve">2959</t>
  </si>
  <si>
    <t xml:space="preserve">CORACAO FRANGO BANDEJA CONG JAGUAR 12KG</t>
  </si>
  <si>
    <t xml:space="preserve">05/03/2025</t>
  </si>
  <si>
    <t xml:space="preserve">2960</t>
  </si>
  <si>
    <t xml:space="preserve">COXA/SOBRECOXA COM DORSO PCT JAGUAR</t>
  </si>
  <si>
    <t xml:space="preserve">2961</t>
  </si>
  <si>
    <t xml:space="preserve">FILE DE PEITO - MEIO PEITO PCT JAGUAR</t>
  </si>
  <si>
    <t xml:space="preserve">2962</t>
  </si>
  <si>
    <t xml:space="preserve">MAMINHA CONG VALENCIO</t>
  </si>
  <si>
    <t xml:space="preserve">2963</t>
  </si>
  <si>
    <t xml:space="preserve">COSTELA MINGA CONG PUL MINERVA</t>
  </si>
  <si>
    <t xml:space="preserve">2964</t>
  </si>
  <si>
    <t xml:space="preserve">FRALDA BOV CONG PUL MINERVA</t>
  </si>
  <si>
    <t xml:space="preserve">2965</t>
  </si>
  <si>
    <t xml:space="preserve">RAQUETE SHOULDER CONG CABANA LAS LILAS</t>
  </si>
  <si>
    <t xml:space="preserve">2966</t>
  </si>
  <si>
    <t xml:space="preserve">LOMBINHO BOV CONG EL TORO</t>
  </si>
  <si>
    <t xml:space="preserve">06/03/2025</t>
  </si>
  <si>
    <t xml:space="preserve">2967</t>
  </si>
  <si>
    <t xml:space="preserve">ALCATRA C/ MAMINHA RESF FRIBAL</t>
  </si>
  <si>
    <t xml:space="preserve">2968</t>
  </si>
  <si>
    <t xml:space="preserve">CUPIM TIPO B CONG EL TORO</t>
  </si>
  <si>
    <t xml:space="preserve">2969</t>
  </si>
  <si>
    <t xml:space="preserve">FRALDINHA DIAFRAGMA CONG EL TORO</t>
  </si>
  <si>
    <t xml:space="preserve">2971</t>
  </si>
  <si>
    <t xml:space="preserve">CARNE MOIDA BOVINA CONG ALFAMA PCT 2,5KG</t>
  </si>
  <si>
    <t xml:space="preserve">10/03/2025</t>
  </si>
  <si>
    <t xml:space="preserve">2972</t>
  </si>
  <si>
    <t xml:space="preserve">LUVA</t>
  </si>
  <si>
    <t xml:space="preserve">401.519.001.147</t>
  </si>
  <si>
    <t xml:space="preserve">40151900</t>
  </si>
  <si>
    <t xml:space="preserve">12/03/2025</t>
  </si>
  <si>
    <t xml:space="preserve">2973</t>
  </si>
  <si>
    <t xml:space="preserve">LINGUIÇA SUINA CONG PAMPLONA</t>
  </si>
  <si>
    <t xml:space="preserve">7,89672E+12</t>
  </si>
  <si>
    <t xml:space="preserve">14/03/2025</t>
  </si>
  <si>
    <t xml:space="preserve">2975</t>
  </si>
  <si>
    <t xml:space="preserve">FITRO SECADOR</t>
  </si>
  <si>
    <t xml:space="preserve">84295199.</t>
  </si>
  <si>
    <t xml:space="preserve">84295199</t>
  </si>
  <si>
    <t xml:space="preserve">20/03/2025</t>
  </si>
  <si>
    <t xml:space="preserve">2977</t>
  </si>
  <si>
    <t xml:space="preserve">GAS LIQUEFEITO</t>
  </si>
  <si>
    <t xml:space="preserve">2978</t>
  </si>
  <si>
    <t xml:space="preserve">RELE</t>
  </si>
  <si>
    <t xml:space="preserve">2979</t>
  </si>
  <si>
    <t xml:space="preserve">RESPIRADOR SEM VALVULA ( MASCARA)</t>
  </si>
  <si>
    <t xml:space="preserve">63079010</t>
  </si>
  <si>
    <t xml:space="preserve">24/03/2025</t>
  </si>
  <si>
    <t xml:space="preserve">2980</t>
  </si>
  <si>
    <t xml:space="preserve">MOLHO PIZZA ST UP STELLA DORO CX 8 UND</t>
  </si>
  <si>
    <t xml:space="preserve">1033</t>
  </si>
  <si>
    <t xml:space="preserve">NORDESTE MAIS ALIMENTOS LTDA</t>
  </si>
  <si>
    <t xml:space="preserve">PIZZA</t>
  </si>
  <si>
    <t xml:space="preserve">CX 13,6 KG</t>
  </si>
  <si>
    <t xml:space="preserve">21032090.</t>
  </si>
  <si>
    <t xml:space="preserve">OUTROS "KETCHUP" E MOLHOS DE TOMATE,PREPARADOS</t>
  </si>
  <si>
    <t xml:space="preserve">21032090</t>
  </si>
  <si>
    <t xml:space="preserve">7,89893E+12</t>
  </si>
  <si>
    <t xml:space="preserve">26/03/2025</t>
  </si>
  <si>
    <t xml:space="preserve">2981</t>
  </si>
  <si>
    <t xml:space="preserve">MOLHO EXTRATODORO STELLA DORO CX 8 UND</t>
  </si>
  <si>
    <t xml:space="preserve">TOMATE</t>
  </si>
  <si>
    <t xml:space="preserve">20029000.</t>
  </si>
  <si>
    <t xml:space="preserve">PREPARAÇÕES DE PRODUTOS HORTÍCOLAS, DE FRUTAS OU DE OUTRAS PARTES DE PLANTAS - TOMATES PREPARADOS OU CONSERVADOS, EXCETO EM VINAGRE OU EM ÁCIDO ACÉTICO - OUTROS - - OUTROS</t>
  </si>
  <si>
    <t xml:space="preserve">20029000</t>
  </si>
  <si>
    <t xml:space="preserve">2982</t>
  </si>
  <si>
    <t xml:space="preserve">MOLHO REFOGADO ST UP STELLA DORO CX 8 UN</t>
  </si>
  <si>
    <t xml:space="preserve">2983</t>
  </si>
  <si>
    <t xml:space="preserve">CATCHUP SACHET STELLA DORO CX 144X7G</t>
  </si>
  <si>
    <t xml:space="preserve">CATCHUP</t>
  </si>
  <si>
    <t xml:space="preserve">CX 1,008 KG</t>
  </si>
  <si>
    <t xml:space="preserve">21032010.</t>
  </si>
  <si>
    <t xml:space="preserve">KETCHUP E OUTROS MOLHOS DE TOMATE,EMBAL.IMEDIAT.P&lt;=1KG</t>
  </si>
  <si>
    <t xml:space="preserve">21032010</t>
  </si>
  <si>
    <t xml:space="preserve">7,8989E+12</t>
  </si>
  <si>
    <t xml:space="preserve">2984</t>
  </si>
  <si>
    <t xml:space="preserve">MAIONESE SACHET STELLA DORO CX 144X7G</t>
  </si>
  <si>
    <t xml:space="preserve">MAIONESE</t>
  </si>
  <si>
    <t xml:space="preserve">21039011.</t>
  </si>
  <si>
    <t xml:space="preserve">MAIONESE EM EMBALAGENS IMEDIATAS,PESO&lt;=1KG</t>
  </si>
  <si>
    <t xml:space="preserve">21039011</t>
  </si>
  <si>
    <t xml:space="preserve">2985</t>
  </si>
  <si>
    <t xml:space="preserve">PICANHA PUL PRO CONG</t>
  </si>
  <si>
    <t xml:space="preserve">2986</t>
  </si>
  <si>
    <t xml:space="preserve">CAMARA DE VIDEO</t>
  </si>
  <si>
    <t xml:space="preserve">28/03/2025</t>
  </si>
  <si>
    <t xml:space="preserve">2987</t>
  </si>
  <si>
    <t xml:space="preserve">CAPA DO BANCO</t>
  </si>
  <si>
    <t xml:space="preserve">C FRANCIMAR VIEIRA FEITOSA LTDA</t>
  </si>
  <si>
    <t xml:space="preserve">94012000.</t>
  </si>
  <si>
    <t xml:space="preserve">ASSENTOS PARA VEICULOS AUTOMOVEIS</t>
  </si>
  <si>
    <t xml:space="preserve">94012000</t>
  </si>
  <si>
    <t xml:space="preserve">31/03/2025</t>
  </si>
  <si>
    <t xml:space="preserve">2988</t>
  </si>
  <si>
    <t xml:space="preserve">DESCANSO LATERAL</t>
  </si>
  <si>
    <t xml:space="preserve">87141000.</t>
  </si>
  <si>
    <t xml:space="preserve">PEÇAS PLÁSTICAS MOLDADAS POR INJEÇÃO</t>
  </si>
  <si>
    <t xml:space="preserve">87141000</t>
  </si>
  <si>
    <t xml:space="preserve">2989</t>
  </si>
  <si>
    <t xml:space="preserve">ESTRIBO</t>
  </si>
  <si>
    <t xml:space="preserve">2990</t>
  </si>
  <si>
    <t xml:space="preserve">CONEC RJ45</t>
  </si>
  <si>
    <t xml:space="preserve">2991</t>
  </si>
  <si>
    <t xml:space="preserve">LAGARTO BOV CONG VALENCIO</t>
  </si>
  <si>
    <t xml:space="preserve">02/04/2025</t>
  </si>
  <si>
    <t xml:space="preserve">2992</t>
  </si>
  <si>
    <t xml:space="preserve">CONTRA FILE SUINO TEMPERADO CG PAMPLONA</t>
  </si>
  <si>
    <t xml:space="preserve">CONTRA FILE SUINO</t>
  </si>
  <si>
    <t xml:space="preserve">03/04/2025</t>
  </si>
  <si>
    <t xml:space="preserve">2993</t>
  </si>
  <si>
    <t xml:space="preserve">REPARO DA PINSE DE FREIO</t>
  </si>
  <si>
    <t xml:space="preserve">1039</t>
  </si>
  <si>
    <t xml:space="preserve">KADAH-IMPORTACAO, EXPORTACAO E COMERCIO LTDA</t>
  </si>
  <si>
    <t xml:space="preserve">2994</t>
  </si>
  <si>
    <t xml:space="preserve">PINO GUIA PINCA FREIO HR C/ COIFA</t>
  </si>
  <si>
    <t xml:space="preserve">2995</t>
  </si>
  <si>
    <t xml:space="preserve">DISCO DE FREIO</t>
  </si>
  <si>
    <t xml:space="preserve">2996</t>
  </si>
  <si>
    <t xml:space="preserve">CALCO DE PASTILHA</t>
  </si>
  <si>
    <t xml:space="preserve">2997</t>
  </si>
  <si>
    <t xml:space="preserve">GRAFITE 2B 0,7 BIG TREE CIS</t>
  </si>
  <si>
    <t xml:space="preserve">96092000.</t>
  </si>
  <si>
    <t xml:space="preserve">MINAS P/LAPIS/LAPISEIRAS</t>
  </si>
  <si>
    <t xml:space="preserve">96092000</t>
  </si>
  <si>
    <t xml:space="preserve">2998</t>
  </si>
  <si>
    <t xml:space="preserve">RETENTOR RODA</t>
  </si>
  <si>
    <t xml:space="preserve">2999</t>
  </si>
  <si>
    <t xml:space="preserve">KIT ARRUELAS EIXO</t>
  </si>
  <si>
    <t xml:space="preserve">3000</t>
  </si>
  <si>
    <t xml:space="preserve">ARANHA TRAVA PORCAS</t>
  </si>
  <si>
    <t xml:space="preserve">3001</t>
  </si>
  <si>
    <t xml:space="preserve">EIXO S TRAS DIR DELIVERY</t>
  </si>
  <si>
    <t xml:space="preserve">3002</t>
  </si>
  <si>
    <t xml:space="preserve">ALCATRA SUINA TEMPERADA CONG PAMPLONA</t>
  </si>
  <si>
    <t xml:space="preserve">3003</t>
  </si>
  <si>
    <t xml:space="preserve">PANCETA SUINA TEMPERADA CONG PAMPLONA</t>
  </si>
  <si>
    <t xml:space="preserve">3004</t>
  </si>
  <si>
    <t xml:space="preserve">REPARO EIXO S VOLKS MASTER MENOR</t>
  </si>
  <si>
    <t xml:space="preserve">3005</t>
  </si>
  <si>
    <t xml:space="preserve">REPARO VALVULA DE 4 CIRCUITO MODERNA</t>
  </si>
  <si>
    <t xml:space="preserve">3006</t>
  </si>
  <si>
    <t xml:space="preserve">PINO FORQUILHA</t>
  </si>
  <si>
    <t xml:space="preserve">3007</t>
  </si>
  <si>
    <t xml:space="preserve">MANCAL AUXILIAR EIXO</t>
  </si>
  <si>
    <t xml:space="preserve">3008</t>
  </si>
  <si>
    <t xml:space="preserve">PALHETAS PARAB</t>
  </si>
  <si>
    <t xml:space="preserve">04/04/2025</t>
  </si>
  <si>
    <t xml:space="preserve">3009</t>
  </si>
  <si>
    <t xml:space="preserve">PONT TRANSM DESL</t>
  </si>
  <si>
    <t xml:space="preserve">3010</t>
  </si>
  <si>
    <t xml:space="preserve">BORRACHA MANCA</t>
  </si>
  <si>
    <t xml:space="preserve">3011</t>
  </si>
  <si>
    <t xml:space="preserve">CUBO RODA</t>
  </si>
  <si>
    <t xml:space="preserve">3012</t>
  </si>
  <si>
    <t xml:space="preserve">MON GAMER 24 75HZ FHD GOLDENTEC</t>
  </si>
  <si>
    <t xml:space="preserve">TECNO INDÚSTRIA E COMÉRCIO DE COMPUTADORES LTDA</t>
  </si>
  <si>
    <t xml:space="preserve">85285200.</t>
  </si>
  <si>
    <t xml:space="preserve">MÁQUINAS, APARELHOS E MATERIAIS ELÉTRICOS</t>
  </si>
  <si>
    <t xml:space="preserve">85285200</t>
  </si>
  <si>
    <t xml:space="preserve">3013</t>
  </si>
  <si>
    <t xml:space="preserve">FILE DE POLACA DO ALASCA INTERF MINERVA</t>
  </si>
  <si>
    <t xml:space="preserve">03049400.</t>
  </si>
  <si>
    <t xml:space="preserve">PEIXES E CRUSTÁCEOS, MOLUSCOS E OS OUTROS INVERTEBRADOS AQUÁTICOS - FILÉS DE PEIXES E OUTRA CARNE DE PEIXES (MESMO PICADA), FRESCOS, REFRIGERADOS OU CONGELADOS - OUTROS: - POLACA-DO-ALASCA (ESCAMUDO-DO-ALASCA*) (THERAGRA CHALCOGRAMMA)</t>
  </si>
  <si>
    <t xml:space="preserve">3049400</t>
  </si>
  <si>
    <t xml:space="preserve">08/04/2025</t>
  </si>
  <si>
    <t xml:space="preserve">3014</t>
  </si>
  <si>
    <t xml:space="preserve">NO BREAK TS SHARA SEN 3200VA AUT BIV</t>
  </si>
  <si>
    <t xml:space="preserve">3015</t>
  </si>
  <si>
    <t xml:space="preserve">MILHO VERDE LATA STELLA DORO 6X1,7 KG</t>
  </si>
  <si>
    <t xml:space="preserve">MINAS MAIS ALIMENTOS LTDA</t>
  </si>
  <si>
    <t xml:space="preserve">CX 10,2 KG</t>
  </si>
  <si>
    <t xml:space="preserve">20058000.</t>
  </si>
  <si>
    <t xml:space="preserve">MILHO DOCE,PREPARADO OU CONSERVADO,NAO CONGELADO</t>
  </si>
  <si>
    <t xml:space="preserve">20058000</t>
  </si>
  <si>
    <t xml:space="preserve">3016</t>
  </si>
  <si>
    <t xml:space="preserve">ERVILHA GRAOS ST STELA DORO 6X1,7 KG</t>
  </si>
  <si>
    <t xml:space="preserve">20054000.</t>
  </si>
  <si>
    <t xml:space="preserve">ERVILHAS PREPARADAS OU CONSERVADAS,NAO CONGELADAS</t>
  </si>
  <si>
    <t xml:space="preserve">20054000</t>
  </si>
  <si>
    <t xml:space="preserve">3017</t>
  </si>
  <si>
    <t xml:space="preserve">MILHO ERVILHA DUETO STELLA DORO 6X1,7 KG</t>
  </si>
  <si>
    <t xml:space="preserve">20059900.</t>
  </si>
  <si>
    <t xml:space="preserve">20059900</t>
  </si>
  <si>
    <t xml:space="preserve">3018</t>
  </si>
  <si>
    <t xml:space="preserve">MILHO VERDE LATA STELLA DORO 24X170G</t>
  </si>
  <si>
    <t xml:space="preserve">CX 4,08 KG</t>
  </si>
  <si>
    <t xml:space="preserve">3019</t>
  </si>
  <si>
    <t xml:space="preserve">MILHO VERDE ST STELLA DORO 32X170G</t>
  </si>
  <si>
    <t xml:space="preserve">CX 5,44 KG</t>
  </si>
  <si>
    <t xml:space="preserve">3020</t>
  </si>
  <si>
    <t xml:space="preserve">MILHO VERDE ST UP STELLA DORO 6X1,7 KG</t>
  </si>
  <si>
    <t xml:space="preserve">3021</t>
  </si>
  <si>
    <t xml:space="preserve">3022</t>
  </si>
  <si>
    <t xml:space="preserve">KIT BATENT AMORT</t>
  </si>
  <si>
    <t xml:space="preserve">948</t>
  </si>
  <si>
    <t xml:space="preserve">A&amp;C COMERCIO DE BATERIAS LTDA</t>
  </si>
  <si>
    <t xml:space="preserve">09/04/2025</t>
  </si>
  <si>
    <t xml:space="preserve">3023</t>
  </si>
  <si>
    <t xml:space="preserve">BRACO OSCILANTE</t>
  </si>
  <si>
    <t xml:space="preserve">3024</t>
  </si>
  <si>
    <t xml:space="preserve">BUCHA DO TIRANTE</t>
  </si>
  <si>
    <t xml:space="preserve">3025</t>
  </si>
  <si>
    <t xml:space="preserve">SAPATA DE FREIO</t>
  </si>
  <si>
    <t xml:space="preserve">3026</t>
  </si>
  <si>
    <t xml:space="preserve">MOLA HELICOIDAL</t>
  </si>
  <si>
    <t xml:space="preserve">3027</t>
  </si>
  <si>
    <t xml:space="preserve">BORRA SILENC</t>
  </si>
  <si>
    <t xml:space="preserve">3028</t>
  </si>
  <si>
    <t xml:space="preserve">COXINHA DA ASA IN NATURA CONG AVE NOVA</t>
  </si>
  <si>
    <t xml:space="preserve">3029</t>
  </si>
  <si>
    <t xml:space="preserve">SOBRECOXA IN NATURA CONG AVE NOVA</t>
  </si>
  <si>
    <t xml:space="preserve">3030</t>
  </si>
  <si>
    <t xml:space="preserve">COXA IN NATURA CONG AVE NOVA</t>
  </si>
  <si>
    <t xml:space="preserve">3032</t>
  </si>
  <si>
    <t xml:space="preserve">FIGADO BOV CONG NUTRIAL</t>
  </si>
  <si>
    <t xml:space="preserve">11/04/2025</t>
  </si>
  <si>
    <t xml:space="preserve">3033</t>
  </si>
  <si>
    <t xml:space="preserve">FILE COXA SOBRECOXA CONG PERDIGAO 15 KG</t>
  </si>
  <si>
    <t xml:space="preserve">DSB DISTRIBUIDORA SUPER BARATAO LTDA</t>
  </si>
  <si>
    <t xml:space="preserve">14/04/2025</t>
  </si>
  <si>
    <t xml:space="preserve">3034</t>
  </si>
  <si>
    <t xml:space="preserve">SOBREPALETA CONG IMPERIO</t>
  </si>
  <si>
    <t xml:space="preserve">FIAMMA INDUSTRIA E COMERCIO DE ALIMENTOS LTDA</t>
  </si>
  <si>
    <t xml:space="preserve">23/04/2025</t>
  </si>
  <si>
    <t xml:space="preserve">3035</t>
  </si>
  <si>
    <t xml:space="preserve">COSTELA SUINA CONG IMPERIO</t>
  </si>
  <si>
    <t xml:space="preserve">24/04/2025</t>
  </si>
  <si>
    <t xml:space="preserve">3036</t>
  </si>
  <si>
    <t xml:space="preserve">PICANHA SUINA TEMPERADA IMPERIO</t>
  </si>
  <si>
    <t xml:space="preserve">2031900</t>
  </si>
  <si>
    <t xml:space="preserve">3037</t>
  </si>
  <si>
    <t xml:space="preserve">LOMBO SUINO TEMPERADO CONG IMPERIO</t>
  </si>
  <si>
    <t xml:space="preserve">3038</t>
  </si>
  <si>
    <t xml:space="preserve">BACON EM MANTA DEFUMADO IMPERIO</t>
  </si>
  <si>
    <t xml:space="preserve">3039</t>
  </si>
  <si>
    <t xml:space="preserve">LINGUICA CALABRESA DEFUMADA IMPERIO</t>
  </si>
  <si>
    <t xml:space="preserve">3040</t>
  </si>
  <si>
    <t xml:space="preserve">COXINHA DA ASA MOLHO MOSTARDA NABRASA</t>
  </si>
  <si>
    <t xml:space="preserve">25/04/2025</t>
  </si>
  <si>
    <t xml:space="preserve">3041</t>
  </si>
  <si>
    <t xml:space="preserve">CIRCUITO MODULO DE POTENCIA</t>
  </si>
  <si>
    <t xml:space="preserve">1041</t>
  </si>
  <si>
    <t xml:space="preserve">SMARTUPS SOLUCOES E SERVICOS LTDA - ME</t>
  </si>
  <si>
    <t xml:space="preserve">02/05/2025</t>
  </si>
  <si>
    <t xml:space="preserve">3042</t>
  </si>
  <si>
    <t xml:space="preserve">CABINE BLINDADA</t>
  </si>
  <si>
    <t xml:space="preserve">NEW TECH E SERVICOS DE BLINDAGEM LTDA</t>
  </si>
  <si>
    <t xml:space="preserve">3043</t>
  </si>
  <si>
    <t xml:space="preserve">BMW</t>
  </si>
  <si>
    <t xml:space="preserve">3044</t>
  </si>
  <si>
    <t xml:space="preserve">TAPA DE CUADRIL URUGUAY</t>
  </si>
  <si>
    <t xml:space="preserve">CX +- 15KG</t>
  </si>
  <si>
    <t xml:space="preserve">3045</t>
  </si>
  <si>
    <t xml:space="preserve">CARNE CONG BOV  CONTRA FILE</t>
  </si>
  <si>
    <t xml:space="preserve">CX +-15</t>
  </si>
  <si>
    <t xml:space="preserve">3046</t>
  </si>
  <si>
    <t xml:space="preserve">SALSICHA HOT DOG CONG FRIGOESTRELA 18 KG</t>
  </si>
  <si>
    <t xml:space="preserve">3047</t>
  </si>
  <si>
    <t xml:space="preserve">BIFE CHORIZO CABANA LAS LILAS</t>
  </si>
  <si>
    <t xml:space="preserve">06/05/2025</t>
  </si>
  <si>
    <t xml:space="preserve">3048</t>
  </si>
  <si>
    <t xml:space="preserve">PICANHA PUL URUGUAIA B 1,5 KG ABAIXO</t>
  </si>
  <si>
    <t xml:space="preserve">3049</t>
  </si>
  <si>
    <t xml:space="preserve">PICANHA PUL URUGUAIA B 1,5 KG ACIMA</t>
  </si>
  <si>
    <t xml:space="preserve">3050</t>
  </si>
  <si>
    <t xml:space="preserve">PICANHA A PUL SELECTION URU 1,5KG ABAIXO</t>
  </si>
  <si>
    <t xml:space="preserve">3051</t>
  </si>
  <si>
    <t xml:space="preserve">MAMINHA URU PUL SELECTION</t>
  </si>
  <si>
    <t xml:space="preserve">3052</t>
  </si>
  <si>
    <t xml:space="preserve">CONTRA FILE PUL PRO</t>
  </si>
  <si>
    <t xml:space="preserve">3053</t>
  </si>
  <si>
    <t xml:space="preserve">COXAO MOLE CONG MINERVA</t>
  </si>
  <si>
    <t xml:space="preserve">3054</t>
  </si>
  <si>
    <t xml:space="preserve">FIGADO BOV CONG MINERVA</t>
  </si>
  <si>
    <t xml:space="preserve">3055</t>
  </si>
  <si>
    <t xml:space="preserve">FILEZINHO SASSAMI PERDIGAO PCT 2 KG CX12</t>
  </si>
  <si>
    <t xml:space="preserve">3056</t>
  </si>
  <si>
    <t xml:space="preserve">TRASEIRO RESF VACA VALENCIO</t>
  </si>
  <si>
    <t xml:space="preserve">02011000.</t>
  </si>
  <si>
    <t xml:space="preserve">CARCACAS E MEIAS CARCACAS DE BOVINO,FRESCAS OU REFRIGER</t>
  </si>
  <si>
    <t xml:space="preserve">2011000</t>
  </si>
  <si>
    <t xml:space="preserve">12/05/2025</t>
  </si>
  <si>
    <t xml:space="preserve">3057</t>
  </si>
  <si>
    <t xml:space="preserve">PALETA SUINA S/PELE S/OSSO CG RAINHA PAZ</t>
  </si>
  <si>
    <t xml:space="preserve">FRIGORIFICO RAINHA DA PAZ LTDA EM RECUPERACAO JUDICIAL</t>
  </si>
  <si>
    <t xml:space="preserve">SC +/- 20 KG</t>
  </si>
  <si>
    <t xml:space="preserve">16/05/2025</t>
  </si>
  <si>
    <t xml:space="preserve">3058</t>
  </si>
  <si>
    <t xml:space="preserve">SOBREPALETA CONG RAINHA DA PAZ</t>
  </si>
  <si>
    <t xml:space="preserve">02031200.</t>
  </si>
  <si>
    <t xml:space="preserve">PERNAS,PAS,ETC.NAO DESOSSAD.DE SUINO,FRESCOS OU REFRIG.</t>
  </si>
  <si>
    <t xml:space="preserve">2031200</t>
  </si>
  <si>
    <t xml:space="preserve">3059</t>
  </si>
  <si>
    <t xml:space="preserve">COSTELA SUINA CONG RAINHA DA PAZ</t>
  </si>
  <si>
    <t xml:space="preserve">3060</t>
  </si>
  <si>
    <t xml:space="preserve">BARRIGA SUINA COM PELE CG RAINHA DA PAZ</t>
  </si>
  <si>
    <t xml:space="preserve">3061</t>
  </si>
  <si>
    <t xml:space="preserve">ACEM SHORT RIB C/OSSO CONG BLACK FRIBOI</t>
  </si>
  <si>
    <t xml:space="preserve">3062</t>
  </si>
  <si>
    <t xml:space="preserve">FILE MIGNON BOV CONG MINERVA</t>
  </si>
  <si>
    <t xml:space="preserve">21/05/2025</t>
  </si>
  <si>
    <t xml:space="preserve">3063</t>
  </si>
  <si>
    <t xml:space="preserve">QUEIJO REINO CRY LATICINIOS TIROLEZ 1,8K</t>
  </si>
  <si>
    <t xml:space="preserve">LATICINIOS TIROLEZ LTDA</t>
  </si>
  <si>
    <t xml:space="preserve">29/05/2025</t>
  </si>
  <si>
    <t xml:space="preserve">3064</t>
  </si>
  <si>
    <t xml:space="preserve">QUEIJO PARMESAO LATICINIOS TIROLEZ 7,0KG</t>
  </si>
  <si>
    <t xml:space="preserve">04069010.</t>
  </si>
  <si>
    <t xml:space="preserve">QUEIJOS CONT.TEOR DE UMIDADE&lt;36%,EM PESO (MASSA DURA)</t>
  </si>
  <si>
    <t xml:space="preserve">4069010</t>
  </si>
  <si>
    <t xml:space="preserve">3065</t>
  </si>
  <si>
    <t xml:space="preserve">QUEIJO BRIE FORMA LATICINIO TIROLEZ 1 KG</t>
  </si>
  <si>
    <t xml:space="preserve">CX +/- 2 KG</t>
  </si>
  <si>
    <t xml:space="preserve">3066</t>
  </si>
  <si>
    <t xml:space="preserve">QUEIJO AZUL LATICIONOS TIROLEZ 3KG</t>
  </si>
  <si>
    <t xml:space="preserve">3067</t>
  </si>
  <si>
    <t xml:space="preserve">QUEIJO REQUEIJAO BISNAGA TIROLEZ 1,5KG</t>
  </si>
  <si>
    <t xml:space="preserve">BSNG 1,5 KG</t>
  </si>
  <si>
    <t xml:space="preserve">3068</t>
  </si>
  <si>
    <t xml:space="preserve">FRUTAS VERMELHAS CONG EASYCHEF 10X1,01</t>
  </si>
  <si>
    <t xml:space="preserve">FRUTAS VERMELHAS</t>
  </si>
  <si>
    <t xml:space="preserve">CX 10,1 KG</t>
  </si>
  <si>
    <t xml:space="preserve">08119000.</t>
  </si>
  <si>
    <t xml:space="preserve">OUTRAS FRUTAS CONGELAD.N/COZIDAS,COZIDAS EM AGUA/VAPOR</t>
  </si>
  <si>
    <t xml:space="preserve">8119000</t>
  </si>
  <si>
    <t xml:space="preserve">04/06/2025</t>
  </si>
  <si>
    <t xml:space="preserve">3069</t>
  </si>
  <si>
    <t xml:space="preserve">ONION RINGS EASYCHEF 10X1,1 KG</t>
  </si>
  <si>
    <t xml:space="preserve">ONION RINGS</t>
  </si>
  <si>
    <t xml:space="preserve">20049000.</t>
  </si>
  <si>
    <t xml:space="preserve">OUTS.PRODS.HORTS.PREPAR/CONSERV.CONG.EXC.EM VINAGRE,ETC</t>
  </si>
  <si>
    <t xml:space="preserve">20049000</t>
  </si>
  <si>
    <t xml:space="preserve">3070</t>
  </si>
  <si>
    <t xml:space="preserve">MORANGO INTEIRO CONG EASYCHEF 20X300G</t>
  </si>
  <si>
    <t xml:space="preserve">08111000.</t>
  </si>
  <si>
    <t xml:space="preserve">MORANGOS CONGELADOS,NAO COZIDOS/COZIDOS EM AGUA/VAPOR</t>
  </si>
  <si>
    <t xml:space="preserve">8111000</t>
  </si>
  <si>
    <t xml:space="preserve">3071</t>
  </si>
  <si>
    <t xml:space="preserve">CEBOLA PICADA CONG EASYCHEF 10X1,01 KG</t>
  </si>
  <si>
    <t xml:space="preserve">CEBOLAS</t>
  </si>
  <si>
    <t xml:space="preserve">3072</t>
  </si>
  <si>
    <t xml:space="preserve">CEBOLA PICADA CONG EASYCHEF 20X300G</t>
  </si>
  <si>
    <t xml:space="preserve">3073</t>
  </si>
  <si>
    <t xml:space="preserve">FRUTAS VERMELHAS CONG EASYCHEF 20X300G</t>
  </si>
  <si>
    <t xml:space="preserve">3074</t>
  </si>
  <si>
    <t xml:space="preserve">LOMBINHO BOV CONG MINERVA</t>
  </si>
  <si>
    <t xml:space="preserve">05/06/2025</t>
  </si>
  <si>
    <t xml:space="preserve">3075</t>
  </si>
  <si>
    <t xml:space="preserve">FRALDINHA DIAFRAGMA CONG MINERVA</t>
  </si>
  <si>
    <t xml:space="preserve">3076</t>
  </si>
  <si>
    <t xml:space="preserve">MOLHO REFOGADO ST UP STELLA DORO 32X300G</t>
  </si>
  <si>
    <t xml:space="preserve">06/06/2025</t>
  </si>
  <si>
    <t xml:space="preserve">3077</t>
  </si>
  <si>
    <t xml:space="preserve">MOLHO PIZZA ST UP STELLA DORO 32X300G</t>
  </si>
  <si>
    <t xml:space="preserve">3078</t>
  </si>
  <si>
    <t xml:space="preserve">MOLHO PIZZA ST UP SALSARETTI 32X300G</t>
  </si>
  <si>
    <t xml:space="preserve">1063</t>
  </si>
  <si>
    <t xml:space="preserve">STELLA DORO ALIMENTOS LTDA</t>
  </si>
  <si>
    <t xml:space="preserve">12/06/2025</t>
  </si>
  <si>
    <t xml:space="preserve">3079</t>
  </si>
  <si>
    <t xml:space="preserve">MOLHO EXTRATO SALSARETTI 32X300G</t>
  </si>
  <si>
    <t xml:space="preserve">3080</t>
  </si>
  <si>
    <t xml:space="preserve">MOLHO EXTRATO ST UP SALSARETTI 6X1,7KG</t>
  </si>
  <si>
    <t xml:space="preserve">3081</t>
  </si>
  <si>
    <t xml:space="preserve">MOLHO TRAD ST UP SALSARETTI 36X300G</t>
  </si>
  <si>
    <t xml:space="preserve">21032010..</t>
  </si>
  <si>
    <t xml:space="preserve">PREPARAÇÕES ALIMENTÍCIAS DIVERSAS - PREPARAÇÕES PARA MOLHOS E MOLHOS PREPARADOS; CONDIMENTOS E TEMPEROS COMPOSTOS; FARINHA DE MOSTARDA E MOSTARDA PREPARADA - KETCHUP E OUTROS MOLHOS DE TOMATE - EM EMBALAGENS IMEDIATAS DE CONTEÚDO INFERIOR OU IGUAL A 1 KG"</t>
  </si>
  <si>
    <t xml:space="preserve">3082</t>
  </si>
  <si>
    <t xml:space="preserve">CATCHUP TRAD SALSARETTI 15X380G</t>
  </si>
  <si>
    <t xml:space="preserve">CX 5,7 KG</t>
  </si>
  <si>
    <t xml:space="preserve">3083</t>
  </si>
  <si>
    <t xml:space="preserve">ERVILHA GRAOS LATA STELLA DORO 24X170G</t>
  </si>
  <si>
    <t xml:space="preserve">16/06/2025</t>
  </si>
  <si>
    <t xml:space="preserve">3084</t>
  </si>
  <si>
    <t xml:space="preserve">ERVILHA GRAOS ST UP STELLA DORO 32X170G</t>
  </si>
  <si>
    <t xml:space="preserve">3085</t>
  </si>
  <si>
    <t xml:space="preserve">TOMATE PELADO LATA SALSARETTI 12X400G</t>
  </si>
  <si>
    <t xml:space="preserve">LEGUMES</t>
  </si>
  <si>
    <t xml:space="preserve">TOMATES</t>
  </si>
  <si>
    <t xml:space="preserve">20021000.</t>
  </si>
  <si>
    <t xml:space="preserve">TOMATES INTEIROS OU PEDACOS,PREPARADOS OU CONSERVADOS</t>
  </si>
  <si>
    <t xml:space="preserve">20021000</t>
  </si>
  <si>
    <t xml:space="preserve">3086</t>
  </si>
  <si>
    <t xml:space="preserve">17/06/2025</t>
  </si>
  <si>
    <t xml:space="preserve">3087</t>
  </si>
  <si>
    <t xml:space="preserve">TOMATE PELADO LATA SALSARETTI 6X2,5KG</t>
  </si>
  <si>
    <t xml:space="preserve">3088</t>
  </si>
  <si>
    <t xml:space="preserve">PEITO FRANGO INDIVIDUAL CONG COGRAN 20KG</t>
  </si>
  <si>
    <t xml:space="preserve">18/06/2025</t>
  </si>
  <si>
    <t xml:space="preserve">3089</t>
  </si>
  <si>
    <t xml:space="preserve">CJ TUBULACAO ESCAPAMENTO</t>
  </si>
  <si>
    <t xml:space="preserve">87089200.</t>
  </si>
  <si>
    <t xml:space="preserve">SILENCIOSOS E TUBOS DE ESCAPE P/TRATORES/VEIC.AUTOMOV.</t>
  </si>
  <si>
    <t xml:space="preserve">87089200</t>
  </si>
  <si>
    <t xml:space="preserve">3090</t>
  </si>
  <si>
    <t xml:space="preserve">CJ VEDACAO METALICA</t>
  </si>
  <si>
    <t xml:space="preserve">68151900.</t>
  </si>
  <si>
    <t xml:space="preserve">OBRAS DE PEDRA, GESSO, CIMENTO, AMIANTO, MICA OU DE MATÉRIAS SEMELHANTES - OBRAS DE PEDRA OU DE OUTRAS MATÉRIAS MINERAIS (INCLUINDO AS FIBRAS DE CARBONO, AS OBRAS DESTAS MATÉRIAS E AS DE TURFA), NÃO ESPECIFICADAS NEM COMPREENDIDAS NOUTRAS POSIÇÕES. - OBRAS DE GRAFITA OU DE OUTROS CARBONOS, PARA USOS NÃO ELÉTRICOS - -- OUTRAS</t>
  </si>
  <si>
    <t xml:space="preserve">68151900</t>
  </si>
  <si>
    <t xml:space="preserve">3091</t>
  </si>
  <si>
    <t xml:space="preserve">POLPA DE ALHO NATURAL ALIMENPRO BD 3 KG</t>
  </si>
  <si>
    <t xml:space="preserve">ALIMEMPRO PRODUTOS PROCESSADOS LTDA ME</t>
  </si>
  <si>
    <t xml:space="preserve">POLPA ALHO</t>
  </si>
  <si>
    <t xml:space="preserve">07129090.</t>
  </si>
  <si>
    <t xml:space="preserve">OUTS.PRODS.HORTS/MISTURAS,SECOS,INCL.PEDACOS,FATIAS,ETC</t>
  </si>
  <si>
    <t xml:space="preserve">7129090</t>
  </si>
  <si>
    <t xml:space="preserve">30/06/2025</t>
  </si>
  <si>
    <t xml:space="preserve">3092</t>
  </si>
  <si>
    <t xml:space="preserve">COXAO MOLE CONG GOLDBEEF</t>
  </si>
  <si>
    <t xml:space="preserve">3093</t>
  </si>
  <si>
    <t xml:space="preserve">CORACAO DA PALETA WAGYU CONG CARAPRETA</t>
  </si>
  <si>
    <t xml:space="preserve">CORACAO DA PALETA</t>
  </si>
  <si>
    <t xml:space="preserve">01/07/2025</t>
  </si>
  <si>
    <t xml:space="preserve">3094</t>
  </si>
  <si>
    <t xml:space="preserve">PALETA DE CORDEIRO 1,5 A 1,99 KG CARAPRE</t>
  </si>
  <si>
    <t xml:space="preserve">7,89868E+12</t>
  </si>
  <si>
    <t xml:space="preserve">3095</t>
  </si>
  <si>
    <t xml:space="preserve">PATINHO ANGUS CONG CARAPRETA</t>
  </si>
  <si>
    <t xml:space="preserve">3096</t>
  </si>
  <si>
    <t xml:space="preserve">ACEM COWBOY CONG CARAPRETA</t>
  </si>
  <si>
    <t xml:space="preserve">3097</t>
  </si>
  <si>
    <t xml:space="preserve">CREME LEITE LEVE UHT MOCOCA 27X200G</t>
  </si>
  <si>
    <t xml:space="preserve">MOCOCA S/A PRODUTOS ALIMENTICIOS</t>
  </si>
  <si>
    <t xml:space="preserve">LATICINIOS</t>
  </si>
  <si>
    <t xml:space="preserve">CREME DE LEITE</t>
  </si>
  <si>
    <t xml:space="preserve">CX 5,4 KG</t>
  </si>
  <si>
    <t xml:space="preserve">04015021.</t>
  </si>
  <si>
    <t xml:space="preserve">LEITE E LATICÍNIOS; OVOS DE AVES; MEL NATURAL; PRODUTOS COMESTÍVEIS DE ORIGEM ANIMAL, NÃO ESPECIFICADOS NEM COMPREENDIDOS EM OUTROS CAPÍTULOS - LEITE E CREME DE¿ LEITE, NÃO CONCENTRADOS NEM ADICIONADOS DE AÇÚCAR OU DE OUTROS EDULCORANTES - COM UM TEOR, EM PESO, DE MATÉRIAS GORDAS, SUPERIOR A 10 % - CREME DE LEITE - UHT (ULTRA HIGH TEMPERATURE)</t>
  </si>
  <si>
    <t xml:space="preserve">4015021</t>
  </si>
  <si>
    <t xml:space="preserve">7,89103E+12</t>
  </si>
  <si>
    <t xml:space="preserve">03/07/2025</t>
  </si>
  <si>
    <t xml:space="preserve">3098</t>
  </si>
  <si>
    <t xml:space="preserve">MISTURA LACT. COND SORO MOCOCA 27X395G</t>
  </si>
  <si>
    <t xml:space="preserve">MISTURA LACTEA</t>
  </si>
  <si>
    <t xml:space="preserve">CX 10,665 KG</t>
  </si>
  <si>
    <t xml:space="preserve">19019090.</t>
  </si>
  <si>
    <t xml:space="preserve">OUTRAS PREPARACOES ALIMENT.DE FARINHAS,ETC.CACAU&lt;40%</t>
  </si>
  <si>
    <t xml:space="preserve">19019090</t>
  </si>
  <si>
    <t xml:space="preserve">3099</t>
  </si>
  <si>
    <t xml:space="preserve">MISTURA LACT COND SORO MOCOCA BAG 4X2,5</t>
  </si>
  <si>
    <t xml:space="preserve">3100</t>
  </si>
  <si>
    <t xml:space="preserve">MISTURA CREME DE LEITE MOCOCA  27X200G</t>
  </si>
  <si>
    <t xml:space="preserve">3101</t>
  </si>
  <si>
    <t xml:space="preserve">PROG HOR DIG DIA/SEM 34 PROG ON/OFF 220V</t>
  </si>
  <si>
    <t xml:space="preserve">08/07/2025</t>
  </si>
  <si>
    <t xml:space="preserve">3102</t>
  </si>
  <si>
    <t xml:space="preserve">COLETE REFLETIVO</t>
  </si>
  <si>
    <t xml:space="preserve">63079090.</t>
  </si>
  <si>
    <t xml:space="preserve">63079090</t>
  </si>
  <si>
    <t xml:space="preserve">14/07/2025</t>
  </si>
  <si>
    <t xml:space="preserve">3103</t>
  </si>
  <si>
    <t xml:space="preserve">CAPACETE</t>
  </si>
  <si>
    <t xml:space="preserve">65069100.</t>
  </si>
  <si>
    <t xml:space="preserve">DE BORRACHA OU DE PLASTICO</t>
  </si>
  <si>
    <t xml:space="preserve">65069100</t>
  </si>
  <si>
    <t xml:space="preserve">3104</t>
  </si>
  <si>
    <t xml:space="preserve">DIANTEIRO RESF MAFRINORTE</t>
  </si>
  <si>
    <t xml:space="preserve">17/07/2025</t>
  </si>
  <si>
    <t xml:space="preserve">3105</t>
  </si>
  <si>
    <t xml:space="preserve">AZEITE DE DENDE MARIZA 12X900ML</t>
  </si>
  <si>
    <t xml:space="preserve">MARIZA INDUSTRIA E COMERCIO DE ALIMENTOS LTDA</t>
  </si>
  <si>
    <t xml:space="preserve">AZEITES</t>
  </si>
  <si>
    <t xml:space="preserve">AZEITE DE DENDE</t>
  </si>
  <si>
    <t xml:space="preserve">7,89637E+12</t>
  </si>
  <si>
    <t xml:space="preserve">22/07/2025</t>
  </si>
  <si>
    <t xml:space="preserve">3106</t>
  </si>
  <si>
    <t xml:space="preserve">AZEITONA VERDE PIZZA MARIZA 4X2KG</t>
  </si>
  <si>
    <t xml:space="preserve">AZEITONAS</t>
  </si>
  <si>
    <t xml:space="preserve">AZEITONAS VERDES</t>
  </si>
  <si>
    <t xml:space="preserve">20057000.</t>
  </si>
  <si>
    <t xml:space="preserve">AZEITONAS PREPARADAS/CONSERV.N/CONG.EXC.EM VINAGRE,ETC.</t>
  </si>
  <si>
    <t xml:space="preserve">20057000</t>
  </si>
  <si>
    <t xml:space="preserve">3107</t>
  </si>
  <si>
    <t xml:space="preserve">FERMENTO QUIMICO MARIZA 16X100GR</t>
  </si>
  <si>
    <t xml:space="preserve">FERMENTOS</t>
  </si>
  <si>
    <t xml:space="preserve">FERMENTO QUIMICO</t>
  </si>
  <si>
    <t xml:space="preserve">CX 1,6 KG</t>
  </si>
  <si>
    <t xml:space="preserve">21023000.</t>
  </si>
  <si>
    <t xml:space="preserve">POS PARA LEVEDAR,PREPARADOS</t>
  </si>
  <si>
    <t xml:space="preserve">21023000</t>
  </si>
  <si>
    <t xml:space="preserve">3108</t>
  </si>
  <si>
    <t xml:space="preserve">AMACIANTE DE CARNE MARIZA 12X1,01KG</t>
  </si>
  <si>
    <t xml:space="preserve">AMACIANTE DE CARNE</t>
  </si>
  <si>
    <t xml:space="preserve">CX 12,12 KG</t>
  </si>
  <si>
    <t xml:space="preserve">21039029.</t>
  </si>
  <si>
    <t xml:space="preserve">OUTROS CONDIMENTOS E TEMPEROS,COMPOSTOS</t>
  </si>
  <si>
    <t xml:space="preserve">21039029</t>
  </si>
  <si>
    <t xml:space="preserve">3109</t>
  </si>
  <si>
    <t xml:space="preserve">CALDO EM PO GALINHA MARIZA 12X1,01KG</t>
  </si>
  <si>
    <t xml:space="preserve">CALDO EM PO GALINHA</t>
  </si>
  <si>
    <t xml:space="preserve">21041019.</t>
  </si>
  <si>
    <t xml:space="preserve">OUTRAS PREPARACOES PARA CALDOS E SOPAS</t>
  </si>
  <si>
    <t xml:space="preserve">21041019</t>
  </si>
  <si>
    <t xml:space="preserve">3110</t>
  </si>
  <si>
    <t xml:space="preserve">FARINHA DE ROSCA MARIZA 6X1,01KG</t>
  </si>
  <si>
    <t xml:space="preserve">FARINHAS</t>
  </si>
  <si>
    <t xml:space="preserve">FARINHA DE ROSCA</t>
  </si>
  <si>
    <t xml:space="preserve">CX 6,06 KG</t>
  </si>
  <si>
    <t xml:space="preserve">3111</t>
  </si>
  <si>
    <t xml:space="preserve">PERFURADOR METAL</t>
  </si>
  <si>
    <t xml:space="preserve">84729040</t>
  </si>
  <si>
    <t xml:space="preserve">25/07/2025</t>
  </si>
  <si>
    <t xml:space="preserve">3112</t>
  </si>
  <si>
    <t xml:space="preserve">CATCHUP BOMBONA STELLA DORO 4X3,5 KG</t>
  </si>
  <si>
    <t xml:space="preserve">3,5 KG</t>
  </si>
  <si>
    <t xml:space="preserve">28/07/2025</t>
  </si>
  <si>
    <t xml:space="preserve">3113</t>
  </si>
  <si>
    <t xml:space="preserve">BOLO TRADICIONAL</t>
  </si>
  <si>
    <t xml:space="preserve">COSTA MENDES DELICATESSEN PANIFICACAO E CONFEITARIA LTDA</t>
  </si>
  <si>
    <t xml:space="preserve">29/07/2025</t>
  </si>
  <si>
    <t xml:space="preserve">3114</t>
  </si>
  <si>
    <t xml:space="preserve">CENTO DE SALGADOS</t>
  </si>
  <si>
    <t xml:space="preserve">3115</t>
  </si>
  <si>
    <t xml:space="preserve">PAO RECHEADO</t>
  </si>
  <si>
    <t xml:space="preserve">3116</t>
  </si>
  <si>
    <t xml:space="preserve">SUCO DE FRUTAS</t>
  </si>
  <si>
    <t xml:space="preserve">20097100.</t>
  </si>
  <si>
    <t xml:space="preserve">COM VALOR BRIX NAO SUPERIOR A 20</t>
  </si>
  <si>
    <t xml:space="preserve">20097100</t>
  </si>
  <si>
    <t xml:space="preserve">3117</t>
  </si>
  <si>
    <t xml:space="preserve">PROTETOR ELETRICO</t>
  </si>
  <si>
    <t xml:space="preserve">30/07/2025</t>
  </si>
  <si>
    <t xml:space="preserve">3118</t>
  </si>
  <si>
    <t xml:space="preserve">CAMERA DOME</t>
  </si>
  <si>
    <t xml:space="preserve">85258029.</t>
  </si>
  <si>
    <t xml:space="preserve">85258029</t>
  </si>
  <si>
    <t xml:space="preserve">3119</t>
  </si>
  <si>
    <t xml:space="preserve">TOMATE PELADO INTEIRO OLE 6X2,5 KG</t>
  </si>
  <si>
    <t xml:space="preserve">ANGELO AURICCHIO COMPANHIA LTDA</t>
  </si>
  <si>
    <t xml:space="preserve">3120</t>
  </si>
  <si>
    <t xml:space="preserve">PESSEGO EM CALDA METADE OLE 12X450 GR</t>
  </si>
  <si>
    <t xml:space="preserve">PESSEGOS</t>
  </si>
  <si>
    <t xml:space="preserve">20087010.</t>
  </si>
  <si>
    <t xml:space="preserve">PESSEGOS PREPARS/CONSERV.EM AGUA EDULCORADA,INCL.XAROPE</t>
  </si>
  <si>
    <t xml:space="preserve">20087010</t>
  </si>
  <si>
    <t xml:space="preserve">3121</t>
  </si>
  <si>
    <t xml:space="preserve">FIGOS EM CALDA INTEIRO OLE 12X400 GR</t>
  </si>
  <si>
    <t xml:space="preserve">FIGOS</t>
  </si>
  <si>
    <t xml:space="preserve">20089900.</t>
  </si>
  <si>
    <t xml:space="preserve">OUTS.FRUTAS,PARTES DE PLANTAS,PREPARS/CONSERVS.OUT.MODO</t>
  </si>
  <si>
    <t xml:space="preserve">20089900</t>
  </si>
  <si>
    <t xml:space="preserve">3122</t>
  </si>
  <si>
    <t xml:space="preserve">ABACAXI EM CALDA RODELAS OLE 12X400 GR</t>
  </si>
  <si>
    <t xml:space="preserve">ABACAXI</t>
  </si>
  <si>
    <t xml:space="preserve">20082090.</t>
  </si>
  <si>
    <t xml:space="preserve">ABACAXIS PREPARADOS OU CONSERV.DE OUTRO MODO</t>
  </si>
  <si>
    <t xml:space="preserve">20082090</t>
  </si>
  <si>
    <t xml:space="preserve">3123</t>
  </si>
  <si>
    <t xml:space="preserve">LINGUIÇA TIPO CALABRESA FRIELLA 2,5KG</t>
  </si>
  <si>
    <t xml:space="preserve">FRIGORIFICO FRIELLA LTDA</t>
  </si>
  <si>
    <t xml:space="preserve">01/08/2025</t>
  </si>
  <si>
    <t xml:space="preserve">3124</t>
  </si>
  <si>
    <t xml:space="preserve">LINGUIÇA SUINA FRIELLA 5 KG</t>
  </si>
  <si>
    <t xml:space="preserve">3125</t>
  </si>
  <si>
    <t xml:space="preserve">PICANHA SUINA TEMPERADA FRIELLA</t>
  </si>
  <si>
    <t xml:space="preserve">3126</t>
  </si>
  <si>
    <t xml:space="preserve">CONTRAFILE CHORIZO 4,5-5,49 KG CARAPRETA</t>
  </si>
  <si>
    <t xml:space="preserve">3127</t>
  </si>
  <si>
    <t xml:space="preserve">FILE COST STEAK ANCHO 280-320G CARAPRETA</t>
  </si>
  <si>
    <t xml:space="preserve">3128</t>
  </si>
  <si>
    <t xml:space="preserve">FILE DE COSTELA ANCHO 3,5KG UP CARAPRETA</t>
  </si>
  <si>
    <t xml:space="preserve">3129</t>
  </si>
  <si>
    <t xml:space="preserve">FILE MIGNON BOV CONG 5 UP DO CHEF FRIBOI</t>
  </si>
  <si>
    <t xml:space="preserve">04/08/2025</t>
  </si>
  <si>
    <t xml:space="preserve">3130</t>
  </si>
  <si>
    <t xml:space="preserve">FILME STRETCH</t>
  </si>
  <si>
    <t xml:space="preserve">39201099.</t>
  </si>
  <si>
    <t xml:space="preserve">39201099</t>
  </si>
  <si>
    <t xml:space="preserve">06/08/2025</t>
  </si>
  <si>
    <t xml:space="preserve">3131</t>
  </si>
  <si>
    <t xml:space="preserve">INSETICIDA AEROSOL</t>
  </si>
  <si>
    <t xml:space="preserve">38089119.</t>
  </si>
  <si>
    <t xml:space="preserve">38089119</t>
  </si>
  <si>
    <t xml:space="preserve">08/08/2025</t>
  </si>
  <si>
    <t xml:space="preserve">3132</t>
  </si>
  <si>
    <t xml:space="preserve">PEITO BOV CONG MINERVA</t>
  </si>
  <si>
    <t xml:space="preserve">11/08/2025</t>
  </si>
  <si>
    <t xml:space="preserve">3133</t>
  </si>
  <si>
    <t xml:space="preserve">PATINHO BOV CONG MINERVA PUL</t>
  </si>
  <si>
    <t xml:space="preserve">3134</t>
  </si>
  <si>
    <t xml:space="preserve">ACEM BOV CONG MINERVA</t>
  </si>
  <si>
    <t xml:space="preserve">3135</t>
  </si>
  <si>
    <t xml:space="preserve">PALETA BOV CONG MINERVA PUL</t>
  </si>
  <si>
    <t xml:space="preserve">3136</t>
  </si>
  <si>
    <t xml:space="preserve">PICANHA ARG TIPO A PESADA RIO PLATENSE</t>
  </si>
  <si>
    <t xml:space="preserve">12/08/2025</t>
  </si>
  <si>
    <t xml:space="preserve">3137</t>
  </si>
  <si>
    <t xml:space="preserve">PICANHA ARG TIPO A MEDIA RIO PLATENSE</t>
  </si>
  <si>
    <t xml:space="preserve">3138</t>
  </si>
  <si>
    <t xml:space="preserve">PICANHA ARG TIPO A LEVE RIO PLATENSE</t>
  </si>
  <si>
    <t xml:space="preserve">3139</t>
  </si>
  <si>
    <t xml:space="preserve">AMEIXA EM CALDA INTEIRAS OLE 12X400 GR</t>
  </si>
  <si>
    <t xml:space="preserve">AMEIXA</t>
  </si>
  <si>
    <t xml:space="preserve">13/08/2025</t>
  </si>
  <si>
    <t xml:space="preserve">3140</t>
  </si>
  <si>
    <t xml:space="preserve">AMEIXA SECAS INTEIRAS OLE 12X500 GR</t>
  </si>
  <si>
    <t xml:space="preserve">20060000.</t>
  </si>
  <si>
    <t xml:space="preserve">PRODS.HORTICOLAS,FRUTAS E CASCAS,ETC.CONSERVS.EM ACUCAR</t>
  </si>
  <si>
    <t xml:space="preserve">20060000</t>
  </si>
  <si>
    <t xml:space="preserve">3141</t>
  </si>
  <si>
    <t xml:space="preserve">REVESTIMENTO DIRECAO</t>
  </si>
  <si>
    <t xml:space="preserve">KAUAN SILVA COSTA</t>
  </si>
  <si>
    <t xml:space="preserve">14/08/2025</t>
  </si>
  <si>
    <t xml:space="preserve">3142</t>
  </si>
  <si>
    <t xml:space="preserve">BASE CABINE</t>
  </si>
  <si>
    <t xml:space="preserve">3143</t>
  </si>
  <si>
    <t xml:space="preserve">ISOL ROLD 72X72 MM</t>
  </si>
  <si>
    <t xml:space="preserve">85462000.</t>
  </si>
  <si>
    <t xml:space="preserve">ISOLADORES DE CERAMICA P/USO ELETRICO</t>
  </si>
  <si>
    <t xml:space="preserve">85462000</t>
  </si>
  <si>
    <t xml:space="preserve">3144</t>
  </si>
  <si>
    <t xml:space="preserve">ARMACAO REX PESADA 4X4</t>
  </si>
  <si>
    <t xml:space="preserve">3145</t>
  </si>
  <si>
    <t xml:space="preserve">CAPACETE ALUM P/ ELETROD</t>
  </si>
  <si>
    <t xml:space="preserve">3146</t>
  </si>
  <si>
    <t xml:space="preserve">FITA AÇO INOX</t>
  </si>
  <si>
    <t xml:space="preserve">72202090.</t>
  </si>
  <si>
    <t xml:space="preserve">72202090</t>
  </si>
  <si>
    <t xml:space="preserve">3147</t>
  </si>
  <si>
    <t xml:space="preserve">ALCA PREF ALUM</t>
  </si>
  <si>
    <t xml:space="preserve">3148</t>
  </si>
  <si>
    <t xml:space="preserve">TERMINAL COMPRESSAO</t>
  </si>
  <si>
    <t xml:space="preserve">CACTUS COMERCIO E SERVICO DE MATERIAL ELETRICO LTDA</t>
  </si>
  <si>
    <t xml:space="preserve">85359000</t>
  </si>
  <si>
    <t xml:space="preserve">3149</t>
  </si>
  <si>
    <t xml:space="preserve">BOLINHO CARNE DE SOL C/ REQUEIJAO ALFAMA</t>
  </si>
  <si>
    <t xml:space="preserve">BOLINHO</t>
  </si>
  <si>
    <t xml:space="preserve">CX 3,15 KG</t>
  </si>
  <si>
    <t xml:space="preserve">19/08/2025</t>
  </si>
  <si>
    <t xml:space="preserve">3150</t>
  </si>
  <si>
    <t xml:space="preserve">COXINHA DE COSTELA C/ REQUEIJAO ALFAMA</t>
  </si>
  <si>
    <t xml:space="preserve">COXINHAS</t>
  </si>
  <si>
    <t xml:space="preserve">3151</t>
  </si>
  <si>
    <t xml:space="preserve">OLEO DE ALGODAO ELOGIATA BALDE 15,8 LT</t>
  </si>
  <si>
    <t xml:space="preserve">ICOFORT AGROINDUSTRIAL S/A</t>
  </si>
  <si>
    <t xml:space="preserve">OLEO DE ALGODAO</t>
  </si>
  <si>
    <t xml:space="preserve">15,8 L</t>
  </si>
  <si>
    <t xml:space="preserve">15122910.</t>
  </si>
  <si>
    <t xml:space="preserve">OLEO DE ALGODAO,REFINADO</t>
  </si>
  <si>
    <t xml:space="preserve">15122910</t>
  </si>
  <si>
    <t xml:space="preserve">22/08/2025</t>
  </si>
  <si>
    <t xml:space="preserve">3152</t>
  </si>
  <si>
    <t xml:space="preserve">OLEO DE ALGODAO ELOGIATA 5,1 LITROS</t>
  </si>
  <si>
    <t xml:space="preserve">5,1 L</t>
  </si>
  <si>
    <t xml:space="preserve">3153</t>
  </si>
  <si>
    <t xml:space="preserve">ETIQUETA PIMACO</t>
  </si>
  <si>
    <t xml:space="preserve">48219000.</t>
  </si>
  <si>
    <t xml:space="preserve">48219000</t>
  </si>
  <si>
    <t xml:space="preserve">26/08/2025</t>
  </si>
  <si>
    <t xml:space="preserve">3154</t>
  </si>
  <si>
    <t xml:space="preserve">PRENDEDOR BINDER</t>
  </si>
  <si>
    <t xml:space="preserve">3155</t>
  </si>
  <si>
    <t xml:space="preserve">GORDURA DE PALMA ELOGIATA BALDE 14,5 KG</t>
  </si>
  <si>
    <t xml:space="preserve">OLEO DE PALMA</t>
  </si>
  <si>
    <t xml:space="preserve">14,5 KG</t>
  </si>
  <si>
    <t xml:space="preserve">3156</t>
  </si>
  <si>
    <t xml:space="preserve">TAMPAO CEGO C/ CORRENTE</t>
  </si>
  <si>
    <t xml:space="preserve">MECREL COMERCIO DE EQUIPAMENTOS CONTRA INCENDIO LTDA</t>
  </si>
  <si>
    <t xml:space="preserve">74122000</t>
  </si>
  <si>
    <t xml:space="preserve">28/08/2025</t>
  </si>
  <si>
    <t xml:space="preserve">3157</t>
  </si>
  <si>
    <t xml:space="preserve">BATERIA MOTO</t>
  </si>
  <si>
    <t xml:space="preserve">85071010.</t>
  </si>
  <si>
    <t xml:space="preserve">DE CAPACIDADE INFERIOR OU IGUAL A 20 AH E TENSÃO INFERIOR OU IGUAL A 12 V</t>
  </si>
  <si>
    <t xml:space="preserve">85071010</t>
  </si>
  <si>
    <t xml:space="preserve">29/08/2025</t>
  </si>
  <si>
    <t xml:space="preserve">3158</t>
  </si>
  <si>
    <t xml:space="preserve">MARCADOR P/ QUADRO</t>
  </si>
  <si>
    <t xml:space="preserve">1030</t>
  </si>
  <si>
    <t xml:space="preserve">REAL CLEAN DISTRIBUIDORA LTDA</t>
  </si>
  <si>
    <t xml:space="preserve">96082000</t>
  </si>
  <si>
    <t xml:space="preserve">10/09/2025</t>
  </si>
  <si>
    <t xml:space="preserve">3161</t>
  </si>
  <si>
    <t xml:space="preserve">AVENTAL TRUCK PETERBILT</t>
  </si>
  <si>
    <t xml:space="preserve">LPC COMPANY LTDA</t>
  </si>
  <si>
    <t xml:space="preserve">62023000.</t>
  </si>
  <si>
    <t xml:space="preserve">62023000</t>
  </si>
  <si>
    <t xml:space="preserve">12/09/2025</t>
  </si>
  <si>
    <t xml:space="preserve">3162</t>
  </si>
  <si>
    <t xml:space="preserve">PORTA VINHO PRESENTE</t>
  </si>
  <si>
    <t xml:space="preserve">42022100.</t>
  </si>
  <si>
    <t xml:space="preserve">COM A SUPERFICIE EXTERIOR DE COURO NATURAL OU RECONSTITUIDO,</t>
  </si>
  <si>
    <t xml:space="preserve">42022100</t>
  </si>
  <si>
    <t xml:space="preserve">3163</t>
  </si>
  <si>
    <t xml:space="preserve">AVENTAL MONTANA</t>
  </si>
  <si>
    <t xml:space="preserve">42034000.</t>
  </si>
  <si>
    <t xml:space="preserve">OUTROS ACESSORIOS DE VESTUARIO</t>
  </si>
  <si>
    <t xml:space="preserve">42034000</t>
  </si>
  <si>
    <t xml:space="preserve">3164</t>
  </si>
  <si>
    <t xml:space="preserve">CARNE MOIDA PATINHO 1 KG DUBOI</t>
  </si>
  <si>
    <t xml:space="preserve">3165</t>
  </si>
  <si>
    <t xml:space="preserve">COXAO DURO CONG GOLDBEEF</t>
  </si>
  <si>
    <t xml:space="preserve">17/09/2025</t>
  </si>
  <si>
    <t xml:space="preserve">3166</t>
  </si>
  <si>
    <t xml:space="preserve">ACUCAR CRISTAL MARIZA SACHE 300X5G</t>
  </si>
  <si>
    <t xml:space="preserve">ACUCAR</t>
  </si>
  <si>
    <t xml:space="preserve">CRISTAL</t>
  </si>
  <si>
    <t xml:space="preserve">CX 1,5 KG</t>
  </si>
  <si>
    <t xml:space="preserve">17019900.</t>
  </si>
  <si>
    <t xml:space="preserve">OUTS.ACUCARES DE CANA,BETERRABA,SACAROSE QUIM.PURA,SOL.</t>
  </si>
  <si>
    <t xml:space="preserve">17019900</t>
  </si>
  <si>
    <t xml:space="preserve">23/09/2025</t>
  </si>
  <si>
    <t xml:space="preserve">3167</t>
  </si>
  <si>
    <t xml:space="preserve">ALCAPARRAS MARIZA 2KG</t>
  </si>
  <si>
    <t xml:space="preserve">ALCAPARRAS</t>
  </si>
  <si>
    <t xml:space="preserve">BD 2 KG</t>
  </si>
  <si>
    <t xml:space="preserve">3168</t>
  </si>
  <si>
    <t xml:space="preserve">AZEITE OLIVA EXT VIRGEM MARIZ 300X4ML</t>
  </si>
  <si>
    <t xml:space="preserve">AZEITE DE OLIVA</t>
  </si>
  <si>
    <t xml:space="preserve">CX 1,2 KG</t>
  </si>
  <si>
    <t xml:space="preserve">15099090.</t>
  </si>
  <si>
    <t xml:space="preserve">OUTROS AZEITES DE OLIVA</t>
  </si>
  <si>
    <t xml:space="preserve">15099090</t>
  </si>
  <si>
    <t xml:space="preserve">3169</t>
  </si>
  <si>
    <t xml:space="preserve">AZEITONA VERDE FATIADA MARIZA 4X2KG</t>
  </si>
  <si>
    <t xml:space="preserve">BD 2KG</t>
  </si>
  <si>
    <t xml:space="preserve">3170</t>
  </si>
  <si>
    <t xml:space="preserve">AZEITONA VERDE INTEIRA MARIZA 4X2KG</t>
  </si>
  <si>
    <t xml:space="preserve">3171</t>
  </si>
  <si>
    <t xml:space="preserve">PIMENTA BIQUINHO MARIZA 4X2KG</t>
  </si>
  <si>
    <t xml:space="preserve">PIMENTA</t>
  </si>
  <si>
    <t xml:space="preserve">BIQUINHO</t>
  </si>
  <si>
    <t xml:space="preserve">20019000.</t>
  </si>
  <si>
    <t xml:space="preserve">OUTS.PRODS.HORTS,ETC.PREPARS/CONSERV.VINAGRE,AC.ACETICO</t>
  </si>
  <si>
    <t xml:space="preserve">20019000</t>
  </si>
  <si>
    <t xml:space="preserve">3172</t>
  </si>
  <si>
    <t xml:space="preserve">FARINHA DE PANKO P/ EMPANAR 6X1,01KG</t>
  </si>
  <si>
    <t xml:space="preserve">FARINHA DE PANKO</t>
  </si>
  <si>
    <t xml:space="preserve">3173</t>
  </si>
  <si>
    <t xml:space="preserve">GORDURA DE PALMA MARIZA D´CHEF 14,5KG</t>
  </si>
  <si>
    <t xml:space="preserve">3174</t>
  </si>
  <si>
    <t xml:space="preserve">MOLHO SHOYU FRUTASUL 12X900ML</t>
  </si>
  <si>
    <t xml:space="preserve">21031010.</t>
  </si>
  <si>
    <t xml:space="preserve">MOLHOS DE SOJA,PREPARADOS,EMBALAGENS IMEDIATAS,P&lt;=1KG</t>
  </si>
  <si>
    <t xml:space="preserve">21031010</t>
  </si>
  <si>
    <t xml:space="preserve">3175</t>
  </si>
  <si>
    <t xml:space="preserve">MOLHO SHOYU MARIZA 300X4ML</t>
  </si>
  <si>
    <t xml:space="preserve">3176</t>
  </si>
  <si>
    <t xml:space="preserve">PALMITO PUPUNHA PICADO MARIZA 15X300G</t>
  </si>
  <si>
    <t xml:space="preserve">PALMITO</t>
  </si>
  <si>
    <t xml:space="preserve">20089100.</t>
  </si>
  <si>
    <t xml:space="preserve">PALMITOS PREPARADOS OU CONSERVADOS</t>
  </si>
  <si>
    <t xml:space="preserve">20089100</t>
  </si>
  <si>
    <t xml:space="preserve">3177</t>
  </si>
  <si>
    <t xml:space="preserve">REALCE SABOR MARIZA 6X1,01KG</t>
  </si>
  <si>
    <t xml:space="preserve">REALCE SABOR</t>
  </si>
  <si>
    <t xml:space="preserve">29224220.</t>
  </si>
  <si>
    <t xml:space="preserve">SAIS DO ACIDO GLUTAMICO</t>
  </si>
  <si>
    <t xml:space="preserve">29224220</t>
  </si>
  <si>
    <t xml:space="preserve">3178</t>
  </si>
  <si>
    <t xml:space="preserve">ADOCANTE PO C/ SUCRALOSE MARIZA 300 UNI</t>
  </si>
  <si>
    <t xml:space="preserve">ADOCANTES</t>
  </si>
  <si>
    <t xml:space="preserve">ADOCANTE EM PO</t>
  </si>
  <si>
    <t xml:space="preserve">CX 4,8 GR</t>
  </si>
  <si>
    <t xml:space="preserve">21069090.</t>
  </si>
  <si>
    <t xml:space="preserve">OUTRAS PREPARACOES ALIMENTICIAS</t>
  </si>
  <si>
    <t xml:space="preserve">21069090</t>
  </si>
  <si>
    <t xml:space="preserve">3179</t>
  </si>
  <si>
    <t xml:space="preserve">INSETICIDA GEL</t>
  </si>
  <si>
    <t xml:space="preserve">38085929.</t>
  </si>
  <si>
    <t xml:space="preserve">PRODUTOS DIVERSOS DAS INDÚSTRIAS QUÍMICAS - INSETICIDAS, RODENTICIDAS, FUNGICIDAS, REGULADORES DE CRESCIMENTO PARA PLANTAS, DESINFETANTES E PRODUTOS SEMELHANTES, APRESENTADOS EM FORMAS OU EMBALAGENS PARA VENDA A RETALHO OU COMO PREPARAÇÕES OU AINDA SOB A FORMA DE ARTIGOS, TAIS COMO FITAS, MECHAS E VELAS SULFURADAS E PAPEL MATA-MOSCAS. - OUTRAS</t>
  </si>
  <si>
    <t xml:space="preserve">38085929</t>
  </si>
  <si>
    <t xml:space="preserve">24/09/2025</t>
  </si>
  <si>
    <t xml:space="preserve">3180</t>
  </si>
  <si>
    <t xml:space="preserve">COXAO DURO BOV CONG CARABRANCA</t>
  </si>
  <si>
    <t xml:space="preserve">25/09/2025</t>
  </si>
  <si>
    <t xml:space="preserve">3181</t>
  </si>
  <si>
    <t xml:space="preserve">COXAO MOLE CONG CARABRANCA</t>
  </si>
  <si>
    <t xml:space="preserve">3182</t>
  </si>
  <si>
    <t xml:space="preserve">CONTRAFILE S/ NOIX CONG CARABRANCA</t>
  </si>
  <si>
    <t xml:space="preserve">3183</t>
  </si>
  <si>
    <t xml:space="preserve">CAPA DE FILE CONG CARABRANCA</t>
  </si>
  <si>
    <t xml:space="preserve">3184</t>
  </si>
  <si>
    <t xml:space="preserve">CONTRAFILE CHORIZ DIVIDIDO ARG CARAPRETA</t>
  </si>
  <si>
    <t xml:space="preserve">3185</t>
  </si>
  <si>
    <t xml:space="preserve">FILE DE COSTELA ANCHO ARG CONG CARAPRETA</t>
  </si>
  <si>
    <t xml:space="preserve">3186</t>
  </si>
  <si>
    <t xml:space="preserve">CUPIM BOV ARG CONG CARAPRETA</t>
  </si>
  <si>
    <t xml:space="preserve">3187</t>
  </si>
  <si>
    <t xml:space="preserve">PALETA DE CORDEIRO 1,3 A 1,8 KG CARAPRET</t>
  </si>
  <si>
    <t xml:space="preserve">3188</t>
  </si>
  <si>
    <t xml:space="preserve">PERNIL DE OVINO S/OSSO 2,5KG ABAIXO CARA</t>
  </si>
  <si>
    <t xml:space="preserve">02042300.</t>
  </si>
  <si>
    <t xml:space="preserve">CARNES DESOSSADAS DE OVINO,FRESCAS OU REFRIGERADAS</t>
  </si>
  <si>
    <t xml:space="preserve">2042300</t>
  </si>
  <si>
    <t xml:space="preserve">3189</t>
  </si>
  <si>
    <t xml:space="preserve">STINCO DE CORDEIRO CG CARAPRETA</t>
  </si>
  <si>
    <t xml:space="preserve">STINCO</t>
  </si>
  <si>
    <t xml:space="preserve">02043000.</t>
  </si>
  <si>
    <t xml:space="preserve">CARCACAS E MEIAS-CARCACAS DE CORDEIRO,CONGELADAS</t>
  </si>
  <si>
    <t xml:space="preserve">2043000</t>
  </si>
  <si>
    <t xml:space="preserve">3190</t>
  </si>
  <si>
    <t xml:space="preserve">PERNIL DE OVINO INTEIRO 1,5 A 1,9KG CARA</t>
  </si>
  <si>
    <t xml:space="preserve">02042200.</t>
  </si>
  <si>
    <t xml:space="preserve">OUTRAS PECAS NAO DESOSSADAS DE OVINO,FRESCAS OU REFRIG</t>
  </si>
  <si>
    <t xml:space="preserve">2042200</t>
  </si>
  <si>
    <t xml:space="preserve">3191</t>
  </si>
  <si>
    <t xml:space="preserve">COSTELA TRASEIRO MINGA CONG CARABRANCA</t>
  </si>
  <si>
    <t xml:space="preserve">3192</t>
  </si>
  <si>
    <t xml:space="preserve">COSTELA TRAS MINGA C/OSSO ARG CG CARAPRE</t>
  </si>
  <si>
    <t xml:space="preserve">3193</t>
  </si>
  <si>
    <t xml:space="preserve">CUPIM BOV CONG CARABRANCA</t>
  </si>
  <si>
    <t xml:space="preserve">3194</t>
  </si>
  <si>
    <t xml:space="preserve">COSTELA TRASEIRO JANELA CONG CARAPRETA</t>
  </si>
  <si>
    <t xml:space="preserve">3195</t>
  </si>
  <si>
    <t xml:space="preserve">CORACAO DA ALCATRA BABY BEEF DIV ARG CP</t>
  </si>
  <si>
    <t xml:space="preserve">3196</t>
  </si>
  <si>
    <t xml:space="preserve">HAMBURGUER BOV FIT 120G CARAPRETA</t>
  </si>
  <si>
    <t xml:space="preserve">3197</t>
  </si>
  <si>
    <t xml:space="preserve">CORDEIRO INTEIRO - AMOSTRA</t>
  </si>
  <si>
    <t xml:space="preserve">9000001248</t>
  </si>
  <si>
    <t xml:space="preserve">27/09/2025</t>
  </si>
  <si>
    <t xml:space="preserve">3199</t>
  </si>
  <si>
    <t xml:space="preserve">COLA P/ JUNTAS</t>
  </si>
  <si>
    <t xml:space="preserve">29/09/2025</t>
  </si>
  <si>
    <t xml:space="preserve">3200</t>
  </si>
  <si>
    <t xml:space="preserve">MANGUEIRA CUICA</t>
  </si>
  <si>
    <t xml:space="preserve">3201</t>
  </si>
  <si>
    <t xml:space="preserve">CROQUETE DE CUPIM ALFAMA 3X1,05 KG</t>
  </si>
  <si>
    <t xml:space="preserve">CROQUETES</t>
  </si>
  <si>
    <t xml:space="preserve">30/09/2025</t>
  </si>
  <si>
    <t xml:space="preserve">3202</t>
  </si>
  <si>
    <t xml:space="preserve">COXA SOBRECOXA CONG DA TERRA</t>
  </si>
  <si>
    <t xml:space="preserve">03/10/2025</t>
  </si>
  <si>
    <t xml:space="preserve">3203</t>
  </si>
  <si>
    <t xml:space="preserve">PERFEX</t>
  </si>
  <si>
    <t xml:space="preserve">56031290</t>
  </si>
  <si>
    <t xml:space="preserve">3204</t>
  </si>
  <si>
    <t xml:space="preserve">TV 43 AOC ROKU HD</t>
  </si>
  <si>
    <t xml:space="preserve">GRUPO CASAS BAHIA S.A.</t>
  </si>
  <si>
    <t xml:space="preserve">85287200</t>
  </si>
  <si>
    <t xml:space="preserve">08/10/2025</t>
  </si>
  <si>
    <t xml:space="preserve">3205</t>
  </si>
  <si>
    <t xml:space="preserve">BOBININHA 0,47MM</t>
  </si>
  <si>
    <t xml:space="preserve">ACO COMERCIAL LTDA</t>
  </si>
  <si>
    <t xml:space="preserve">72123000.</t>
  </si>
  <si>
    <t xml:space="preserve">GALVANIZADOS POR OUTRO PROCESSO</t>
  </si>
  <si>
    <t xml:space="preserve">72123000</t>
  </si>
  <si>
    <t xml:space="preserve">13/10/2025</t>
  </si>
  <si>
    <t xml:space="preserve">3206</t>
  </si>
  <si>
    <t xml:space="preserve">COXA SOBRECOXA CONG LAR</t>
  </si>
  <si>
    <t xml:space="preserve">3207</t>
  </si>
  <si>
    <t xml:space="preserve">EMPILHADEIRA INDUSTRIAL</t>
  </si>
  <si>
    <t xml:space="preserve">84271019.</t>
  </si>
  <si>
    <t xml:space="preserve">84271019</t>
  </si>
  <si>
    <t xml:space="preserve">16/10/2025</t>
  </si>
  <si>
    <t xml:space="preserve">3208</t>
  </si>
  <si>
    <t xml:space="preserve">MAQUINA PORTA MEC</t>
  </si>
  <si>
    <t xml:space="preserve">POLICAR TRUCK COMERCIO E SERVICO LTDA</t>
  </si>
  <si>
    <t xml:space="preserve">22/10/2025</t>
  </si>
  <si>
    <t xml:space="preserve">3209</t>
  </si>
  <si>
    <t xml:space="preserve">MOCOTO BOV CONG MINERVA</t>
  </si>
  <si>
    <t xml:space="preserve">23/10/2025</t>
  </si>
  <si>
    <t xml:space="preserve">3210</t>
  </si>
  <si>
    <t xml:space="preserve">FILE DE PEITO ENVELOPADO LAR</t>
  </si>
  <si>
    <t xml:space="preserve">3211</t>
  </si>
  <si>
    <t xml:space="preserve">PEITO BRISKET CONG GRAN CAMPEON</t>
  </si>
  <si>
    <t xml:space="preserve">1128</t>
  </si>
  <si>
    <t xml:space="preserve">PATAGONIA MEAT FOODSERVICE LTDA</t>
  </si>
  <si>
    <t xml:space="preserve">3212</t>
  </si>
  <si>
    <t xml:space="preserve">LINGUICA SUINA REZENDE PCT 5 KG</t>
  </si>
  <si>
    <t xml:space="preserve">24/10/2025</t>
  </si>
  <si>
    <t xml:space="preserve">3213</t>
  </si>
  <si>
    <t xml:space="preserve">LAPISEIRA TECNICA</t>
  </si>
  <si>
    <t xml:space="preserve">96084000.</t>
  </si>
  <si>
    <t xml:space="preserve">LAPISEIRAS</t>
  </si>
  <si>
    <t xml:space="preserve">96084000</t>
  </si>
  <si>
    <t xml:space="preserve">27/10/2025</t>
  </si>
  <si>
    <t xml:space="preserve">3215</t>
  </si>
  <si>
    <t xml:space="preserve">CAIXA CORRESP. DUPLA MOVEL</t>
  </si>
  <si>
    <t xml:space="preserve">3216</t>
  </si>
  <si>
    <t xml:space="preserve">LOMBO SUINO SEM OSSO CONG COOPAVEL</t>
  </si>
  <si>
    <t xml:space="preserve">29/10/2025</t>
  </si>
  <si>
    <t xml:space="preserve">3217</t>
  </si>
  <si>
    <t xml:space="preserve">LINGUIÇA MISTA CONG COOPAVEL</t>
  </si>
  <si>
    <t xml:space="preserve">3218</t>
  </si>
  <si>
    <t xml:space="preserve">FILE MIGNON SUINO CONG COOPAVEL</t>
  </si>
  <si>
    <t xml:space="preserve">CX 22 KG</t>
  </si>
  <si>
    <t xml:space="preserve">3219</t>
  </si>
  <si>
    <t xml:space="preserve">RELE AUXILIAR MOTOR</t>
  </si>
  <si>
    <t xml:space="preserve">3220</t>
  </si>
  <si>
    <t xml:space="preserve">ALONGADOR VALV PNEU</t>
  </si>
  <si>
    <t xml:space="preserve">84819090</t>
  </si>
  <si>
    <t xml:space="preserve">3221</t>
  </si>
  <si>
    <t xml:space="preserve">BATEDOR FX MOALS DIANT</t>
  </si>
  <si>
    <t xml:space="preserve">30/10/2025</t>
  </si>
  <si>
    <t xml:space="preserve">3222</t>
  </si>
  <si>
    <t xml:space="preserve">GUIA GRAMPOS MOLA DIANT MBB</t>
  </si>
  <si>
    <t xml:space="preserve">3223</t>
  </si>
  <si>
    <t xml:space="preserve">SUPORTE RETROVISOR</t>
  </si>
  <si>
    <t xml:space="preserve">83023000.</t>
  </si>
  <si>
    <t xml:space="preserve">OUTRAS GUARNICOES, FERRAGENS E ARTIGOS SEMELHANTES, PARA VEI</t>
  </si>
  <si>
    <t xml:space="preserve">83023000</t>
  </si>
  <si>
    <t xml:space="preserve">3224</t>
  </si>
  <si>
    <t xml:space="preserve">LINGUICA MISTA FRESCAL PERDIGAO PCT 5KG</t>
  </si>
  <si>
    <t xml:space="preserve">31/10/2025</t>
  </si>
  <si>
    <t xml:space="preserve">3225</t>
  </si>
  <si>
    <t xml:space="preserve">CUPIM BOV CONG FRIBAL</t>
  </si>
  <si>
    <t xml:space="preserve">3226</t>
  </si>
  <si>
    <t xml:space="preserve">FIGADO BOV CONG FRIBAL</t>
  </si>
  <si>
    <t xml:space="preserve">3227</t>
  </si>
  <si>
    <t xml:space="preserve">ACEM BOV CONG CARABRANCA</t>
  </si>
  <si>
    <t xml:space="preserve">03/11/2025</t>
  </si>
  <si>
    <t xml:space="preserve">3228</t>
  </si>
  <si>
    <t xml:space="preserve">PATINHO BOV CONG CARABRANCA</t>
  </si>
  <si>
    <t xml:space="preserve">3229</t>
  </si>
  <si>
    <t xml:space="preserve">FILE TILAPIA SEM PELE 500G ARG CARAPRETA</t>
  </si>
  <si>
    <t xml:space="preserve">03046100.</t>
  </si>
  <si>
    <t xml:space="preserve">3046100</t>
  </si>
  <si>
    <t xml:space="preserve">3230</t>
  </si>
  <si>
    <t xml:space="preserve">PEIXINHO CONG CARAPRETA</t>
  </si>
  <si>
    <t xml:space="preserve">181</t>
  </si>
  <si>
    <t xml:space="preserve">PEIXINHO</t>
  </si>
  <si>
    <t xml:space="preserve">3231</t>
  </si>
  <si>
    <t xml:space="preserve">BABY BEEF DIVIDIDO CONG CARAPRETA</t>
  </si>
  <si>
    <t xml:space="preserve">3232</t>
  </si>
  <si>
    <t xml:space="preserve">CORACAO DA ALCATRA BOMBOM CG CARAPRETA</t>
  </si>
  <si>
    <t xml:space="preserve">3233</t>
  </si>
  <si>
    <t xml:space="preserve">PESCOÇO NECK STEAK CONG CARAPRETA</t>
  </si>
  <si>
    <t xml:space="preserve">3234</t>
  </si>
  <si>
    <t xml:space="preserve">COXAO MOLE C/CAPA WAGYU CONG CARAPRETA</t>
  </si>
  <si>
    <t xml:space="preserve">3235</t>
  </si>
  <si>
    <t xml:space="preserve">CORACAO DA ALCATRA WAGYU CONG CARAPRETA</t>
  </si>
  <si>
    <t xml:space="preserve">3236</t>
  </si>
  <si>
    <t xml:space="preserve">PEITO BBQ CONG WAGYU CARAPRETA</t>
  </si>
  <si>
    <t xml:space="preserve">3237</t>
  </si>
  <si>
    <t xml:space="preserve">OSSOBUCO PORCIONADO WAGYU CG CARAPRETA</t>
  </si>
  <si>
    <t xml:space="preserve">OSSOBUCO</t>
  </si>
  <si>
    <t xml:space="preserve">3238</t>
  </si>
  <si>
    <t xml:space="preserve">COSTELA DIANTEIRO TIRAS CONG CARABRANCA</t>
  </si>
  <si>
    <t xml:space="preserve">3239</t>
  </si>
  <si>
    <t xml:space="preserve">PICANHA BOV CONG CARABRANCA</t>
  </si>
  <si>
    <t xml:space="preserve">3240</t>
  </si>
  <si>
    <t xml:space="preserve">COSTELA CORDEIRO RIPA SERRADA CARAPRETA</t>
  </si>
  <si>
    <t xml:space="preserve">3241</t>
  </si>
  <si>
    <t xml:space="preserve">PERNIL PORCIONADO CONG CARAPRETA</t>
  </si>
  <si>
    <t xml:space="preserve">3242</t>
  </si>
  <si>
    <t xml:space="preserve">PEITO BBQ CONG ANGUS CARAPRETA</t>
  </si>
  <si>
    <t xml:space="preserve">04/11/2025</t>
  </si>
  <si>
    <t xml:space="preserve">3243</t>
  </si>
  <si>
    <t xml:space="preserve">CALCA TERMICA</t>
  </si>
  <si>
    <t xml:space="preserve">64034000.</t>
  </si>
  <si>
    <t xml:space="preserve">OUTROS CALCADOS, COM BIQUEIRA PROTETORA DE METAL</t>
  </si>
  <si>
    <t xml:space="preserve">64034000</t>
  </si>
  <si>
    <t xml:space="preserve">11/11/2025</t>
  </si>
  <si>
    <t xml:space="preserve">3244</t>
  </si>
  <si>
    <t xml:space="preserve">FILE COXA SOBRECOXA CONG SEARA</t>
  </si>
  <si>
    <t xml:space="preserve">13/11/2025</t>
  </si>
  <si>
    <t xml:space="preserve">3245</t>
  </si>
  <si>
    <t xml:space="preserve">RIBBON MISTO</t>
  </si>
  <si>
    <t xml:space="preserve">MARCIO GOMES MELO LTDA</t>
  </si>
  <si>
    <t xml:space="preserve">84439199.</t>
  </si>
  <si>
    <t xml:space="preserve">84439199</t>
  </si>
  <si>
    <t xml:space="preserve">3246</t>
  </si>
  <si>
    <t xml:space="preserve">CHURRASQUEIRA ELETRICA</t>
  </si>
  <si>
    <t xml:space="preserve">EBAZAR.COM.BR. LTDA</t>
  </si>
  <si>
    <t xml:space="preserve">85166000.</t>
  </si>
  <si>
    <t xml:space="preserve">OUTROS FORNOS FOGOES DE COZINHA FOGAREIROS INCLUIDAS AS C</t>
  </si>
  <si>
    <t xml:space="preserve">85166000</t>
  </si>
  <si>
    <t xml:space="preserve">14/11/2025</t>
  </si>
  <si>
    <t xml:space="preserve">3247</t>
  </si>
  <si>
    <t xml:space="preserve">BANDEJA DEGUSTACAO</t>
  </si>
  <si>
    <t xml:space="preserve">EUROPORTO COMERCIO IMPORTACAO E EXPORTACAO LTDA</t>
  </si>
  <si>
    <t xml:space="preserve">94037000.</t>
  </si>
  <si>
    <t xml:space="preserve">MOVEIS DE PLASTICOS</t>
  </si>
  <si>
    <t xml:space="preserve">94037000</t>
  </si>
  <si>
    <t xml:space="preserve">3248</t>
  </si>
  <si>
    <t xml:space="preserve">CESTA SONHOS (CHT/LTF) PD C/ 2 KITS</t>
  </si>
  <si>
    <t xml:space="preserve">17/11/2025</t>
  </si>
  <si>
    <t xml:space="preserve">3249</t>
  </si>
  <si>
    <t xml:space="preserve">RAQUETE SHOULD CABAN LAS LILAS GRASS FED</t>
  </si>
  <si>
    <t xml:space="preserve">3250</t>
  </si>
  <si>
    <t xml:space="preserve">CONTRA FILE CABANA LAS LILAS GRASS FED</t>
  </si>
  <si>
    <t xml:space="preserve">3251</t>
  </si>
  <si>
    <t xml:space="preserve">FILE COSTELA CABANA LAS LILAS GRASS FED</t>
  </si>
  <si>
    <t xml:space="preserve">3252</t>
  </si>
  <si>
    <t xml:space="preserve">CORACAO BOV CONG MINERVA</t>
  </si>
  <si>
    <t xml:space="preserve">3253</t>
  </si>
  <si>
    <t xml:space="preserve">MAMINHA CONG ESTANCIA 92 ANGUS</t>
  </si>
  <si>
    <t xml:space="preserve">3254</t>
  </si>
  <si>
    <t xml:space="preserve">POLIDOR DE ALUMINIO</t>
  </si>
  <si>
    <t xml:space="preserve">1099</t>
  </si>
  <si>
    <t xml:space="preserve">INOVE LIMP COMERCIAL DE PRODUTOS SANEANTES LTDA</t>
  </si>
  <si>
    <t xml:space="preserve">34013000.</t>
  </si>
  <si>
    <t xml:space="preserve">PRODUTOS E PREPARACOES ORGANICOS TENSOATIVOS PARA LAVAGEM DA</t>
  </si>
  <si>
    <t xml:space="preserve">34013000</t>
  </si>
  <si>
    <t xml:space="preserve">24/11/2025</t>
  </si>
  <si>
    <t xml:space="preserve">3255</t>
  </si>
  <si>
    <t xml:space="preserve">ESSENCIA TALCO</t>
  </si>
  <si>
    <t xml:space="preserve">33029019.</t>
  </si>
  <si>
    <t xml:space="preserve">33029019</t>
  </si>
  <si>
    <t xml:space="preserve">3256</t>
  </si>
  <si>
    <t xml:space="preserve">CAPA DE FILE CONG GRAN CAMPEON</t>
  </si>
  <si>
    <t xml:space="preserve">27/11/2025</t>
  </si>
  <si>
    <t xml:space="preserve">3257</t>
  </si>
  <si>
    <t xml:space="preserve">STEAK CHORIZO CABANA LAS LILAS GRASS FED</t>
  </si>
  <si>
    <t xml:space="preserve">28/11/2025</t>
  </si>
  <si>
    <t xml:space="preserve">3258</t>
  </si>
  <si>
    <t xml:space="preserve">MAMINHA CABANA LAS LILAS GRASS FED</t>
  </si>
  <si>
    <t xml:space="preserve">3259</t>
  </si>
  <si>
    <t xml:space="preserve">PICANHA BOV CABANA LAS LILAS GRASS FED</t>
  </si>
  <si>
    <t xml:space="preserve">3260</t>
  </si>
  <si>
    <t xml:space="preserve">COIFA HOMOCINETICA</t>
  </si>
  <si>
    <t xml:space="preserve">3261</t>
  </si>
  <si>
    <t xml:space="preserve">BORRACHA ESTABILIZADORA</t>
  </si>
  <si>
    <t xml:space="preserve">3262</t>
  </si>
  <si>
    <t xml:space="preserve">FRALDINHA DIAFRAGMA BOV CONG FRIBOI 1953</t>
  </si>
  <si>
    <t xml:space="preserve">3263</t>
  </si>
  <si>
    <t xml:space="preserve">COLUNA DIRECAO PARCIAL</t>
  </si>
  <si>
    <t xml:space="preserve">02/12/2025</t>
  </si>
  <si>
    <t xml:space="preserve">3264</t>
  </si>
  <si>
    <t xml:space="preserve">TUBO CIL P/ SERVO EMBREAGEM</t>
  </si>
  <si>
    <t xml:space="preserve">3266</t>
  </si>
  <si>
    <t xml:space="preserve">PRESILHA MANG SERVO EMBREAGEM</t>
  </si>
  <si>
    <t xml:space="preserve">3267</t>
  </si>
  <si>
    <t xml:space="preserve">COSTELA DIANT TIRAS CONG CARAPRETA</t>
  </si>
  <si>
    <t xml:space="preserve">3268</t>
  </si>
  <si>
    <t xml:space="preserve">FILE MIGNON BOV S/CORDAO CG CARAPRETA</t>
  </si>
  <si>
    <t xml:space="preserve">3269</t>
  </si>
  <si>
    <t xml:space="preserve">FILE DE COSTELA ANCHO CONG CARABRANCA</t>
  </si>
  <si>
    <t xml:space="preserve">3270</t>
  </si>
  <si>
    <t xml:space="preserve">CAPA DE FILE DIVIDIDA CONG CARABRANCA</t>
  </si>
  <si>
    <t xml:space="preserve">3271</t>
  </si>
  <si>
    <t xml:space="preserve">FILE TILAPIA SEM PELE 800G ARG CARAPRETA</t>
  </si>
  <si>
    <t xml:space="preserve">3272</t>
  </si>
  <si>
    <t xml:space="preserve">CAPA DE FILE INTEIRA ARG CONG CARAPRETA</t>
  </si>
  <si>
    <t xml:space="preserve">3273</t>
  </si>
  <si>
    <t xml:space="preserve">FRALDA CONG CARABRANCA</t>
  </si>
  <si>
    <t xml:space="preserve">3274</t>
  </si>
  <si>
    <t xml:space="preserve">BARBEADOR PROFISSIONAL</t>
  </si>
  <si>
    <t xml:space="preserve">R7 COMERCIO E SERVICOS DE INFORMATICA LTDA</t>
  </si>
  <si>
    <t xml:space="preserve">85102000.</t>
  </si>
  <si>
    <t xml:space="preserve">MAQUINAS DE CORTAR O CABELO OU DE TOSQUIAR</t>
  </si>
  <si>
    <t xml:space="preserve">85102000</t>
  </si>
  <si>
    <t xml:space="preserve">10/12/2025</t>
  </si>
  <si>
    <t xml:space="preserve">3275</t>
  </si>
  <si>
    <t xml:space="preserve">CX SOM BLUET</t>
  </si>
  <si>
    <t xml:space="preserve">85182100.</t>
  </si>
  <si>
    <t xml:space="preserve">ALTOFALANTE UNICO MONTADO NO SEU RECEPTACULO</t>
  </si>
  <si>
    <t xml:space="preserve">85182100</t>
  </si>
  <si>
    <t xml:space="preserve">3276</t>
  </si>
  <si>
    <t xml:space="preserve">ESCOVA SECADORA TERAPIA</t>
  </si>
  <si>
    <t xml:space="preserve">85163100.</t>
  </si>
  <si>
    <t xml:space="preserve">SECADORES DE CABELO</t>
  </si>
  <si>
    <t xml:space="preserve">85163100</t>
  </si>
  <si>
    <t xml:space="preserve">3277</t>
  </si>
  <si>
    <t xml:space="preserve">GRILL E SAND. ESSENCIAL</t>
  </si>
  <si>
    <t xml:space="preserve">85167990.</t>
  </si>
  <si>
    <t xml:space="preserve">85167990</t>
  </si>
  <si>
    <t xml:space="preserve">3278</t>
  </si>
  <si>
    <t xml:space="preserve">HEADPHONE BLUET</t>
  </si>
  <si>
    <t xml:space="preserve">85183000</t>
  </si>
  <si>
    <t xml:space="preserve">3279</t>
  </si>
  <si>
    <t xml:space="preserve">MASSAGEADOR ELETRICO P/PESCOCO</t>
  </si>
  <si>
    <t xml:space="preserve">3280</t>
  </si>
  <si>
    <t xml:space="preserve">MINI LIQUIDIFICADOR</t>
  </si>
  <si>
    <t xml:space="preserve">3281</t>
  </si>
  <si>
    <t xml:space="preserve">BORRACHA BRANCA</t>
  </si>
  <si>
    <t xml:space="preserve">40169200.</t>
  </si>
  <si>
    <t xml:space="preserve">BORRACHAS DE APAGAR</t>
  </si>
  <si>
    <t xml:space="preserve">40169200</t>
  </si>
  <si>
    <t xml:space="preserve">11/12/2025</t>
  </si>
  <si>
    <t xml:space="preserve">3282</t>
  </si>
  <si>
    <t xml:space="preserve">COLA BASTAO</t>
  </si>
  <si>
    <t xml:space="preserve">3283</t>
  </si>
  <si>
    <t xml:space="preserve">CAMISA SOCIAL</t>
  </si>
  <si>
    <t xml:space="preserve">1129</t>
  </si>
  <si>
    <t xml:space="preserve">LEDA MAIA CUNHA</t>
  </si>
  <si>
    <t xml:space="preserve">62069000.</t>
  </si>
  <si>
    <t xml:space="preserve">62069000</t>
  </si>
  <si>
    <t xml:space="preserve">3284</t>
  </si>
  <si>
    <t xml:space="preserve">CALCA SOCIAL</t>
  </si>
  <si>
    <t xml:space="preserve">61034900.</t>
  </si>
  <si>
    <t xml:space="preserve">61034900</t>
  </si>
  <si>
    <t xml:space="preserve">3285</t>
  </si>
  <si>
    <t xml:space="preserve">BATA GOLA</t>
  </si>
  <si>
    <t xml:space="preserve">3286</t>
  </si>
  <si>
    <t xml:space="preserve">PERNIL SUINO C/OSSO CONG AURORA</t>
  </si>
  <si>
    <t xml:space="preserve">16/12/2025</t>
  </si>
  <si>
    <t xml:space="preserve">3287</t>
  </si>
  <si>
    <t xml:space="preserve">FRITADEIRA ELETRICA</t>
  </si>
  <si>
    <t xml:space="preserve">1145</t>
  </si>
  <si>
    <t xml:space="preserve">17/12/2025</t>
  </si>
  <si>
    <t xml:space="preserve">3288</t>
  </si>
  <si>
    <t xml:space="preserve">LIQUIDIFICADOR ELECTROLUX</t>
  </si>
  <si>
    <t xml:space="preserve">85094010.</t>
  </si>
  <si>
    <t xml:space="preserve">LIQUIDIFICADORES</t>
  </si>
  <si>
    <t xml:space="preserve">85094010</t>
  </si>
  <si>
    <t xml:space="preserve">3289</t>
  </si>
  <si>
    <t xml:space="preserve">KIT CARISMA</t>
  </si>
  <si>
    <t xml:space="preserve">16029000.</t>
  </si>
  <si>
    <t xml:space="preserve">OUTRAS PREPARS.ALIMENT.CONSERV.DE CARNES,MIUDEZ.SANGUE</t>
  </si>
  <si>
    <t xml:space="preserve">16029000</t>
  </si>
  <si>
    <t xml:space="preserve">3290</t>
  </si>
  <si>
    <t xml:space="preserve">CORACAO BOV CONG FRIBOI 1953</t>
  </si>
  <si>
    <t xml:space="preserve">19/12/2025</t>
  </si>
  <si>
    <t xml:space="preserve">3291</t>
  </si>
  <si>
    <t xml:space="preserve">CARNE BOVINA SEM OSSO DIANTEIRO/TRASEIRO</t>
  </si>
  <si>
    <t xml:space="preserve">182</t>
  </si>
  <si>
    <t xml:space="preserve">CARNE BOVINA S/OSSO DG/TP</t>
  </si>
  <si>
    <t xml:space="preserve">26/12/2025</t>
  </si>
  <si>
    <t xml:space="preserve">3292</t>
  </si>
  <si>
    <t xml:space="preserve">SENSOR PRESSAO OLEO MOTOR</t>
  </si>
  <si>
    <t xml:space="preserve">90262090.</t>
  </si>
  <si>
    <t xml:space="preserve">OUTS.INSTRUMENTOS E APARS.P/MEDIDA/CONTROLE DA PRESSAO</t>
  </si>
  <si>
    <t xml:space="preserve">90262090</t>
  </si>
  <si>
    <t xml:space="preserve">29/12/2025</t>
  </si>
  <si>
    <t xml:space="preserve">3293</t>
  </si>
  <si>
    <t xml:space="preserve">FILE DE COSTELA ANCHO MATURATTA FRIBOI</t>
  </si>
  <si>
    <t xml:space="preserve">3294</t>
  </si>
  <si>
    <t xml:space="preserve">PALETA S/ MUSCULO CONG CARABRANCA</t>
  </si>
  <si>
    <t xml:space="preserve">3295</t>
  </si>
  <si>
    <t xml:space="preserve">FILE DE COSTELA FRACIONADO CG CARABRANCA</t>
  </si>
  <si>
    <t xml:space="preserve">3296</t>
  </si>
  <si>
    <t xml:space="preserve">MORANGO INTEIRO CONG EASYCHEF 10X1,01</t>
  </si>
  <si>
    <t xml:space="preserve">09/01/2026</t>
  </si>
  <si>
    <t xml:space="preserve">3297</t>
  </si>
  <si>
    <t xml:space="preserve">CINTA + CATRACA 5000KG</t>
  </si>
  <si>
    <t xml:space="preserve">15/01/2026</t>
  </si>
  <si>
    <t xml:space="preserve">3298</t>
  </si>
  <si>
    <t xml:space="preserve">CINTO PARAQ. 3 PTS C/ PROT LOMBAR</t>
  </si>
  <si>
    <t xml:space="preserve">42033000.</t>
  </si>
  <si>
    <t xml:space="preserve">CINTOS, CINTUROES E BANDOLEIRAS OU TALABARTES</t>
  </si>
  <si>
    <t xml:space="preserve">42033000</t>
  </si>
  <si>
    <t xml:space="preserve">16/01/2026</t>
  </si>
  <si>
    <t xml:space="preserve">3299</t>
  </si>
  <si>
    <t xml:space="preserve">TALABARTE Y TUBULAR COM ABS CSEG</t>
  </si>
  <si>
    <t xml:space="preserve">3300</t>
  </si>
  <si>
    <t xml:space="preserve">PLATAFORMA AUTOPROPELIDA TIPO TESOURA</t>
  </si>
  <si>
    <t xml:space="preserve">ESTAF EQUIPAMENTOS S/A</t>
  </si>
  <si>
    <t xml:space="preserve">84271090.</t>
  </si>
  <si>
    <t xml:space="preserve">84271090</t>
  </si>
  <si>
    <t xml:space="preserve">22/01/2026</t>
  </si>
  <si>
    <t xml:space="preserve">3301</t>
  </si>
  <si>
    <t xml:space="preserve">EXTINTOR PO 2KG</t>
  </si>
  <si>
    <t xml:space="preserve">3302</t>
  </si>
  <si>
    <t xml:space="preserve">SUPORTE PARA EXTINTOR PO 2KG</t>
  </si>
  <si>
    <t xml:space="preserve">73261900</t>
  </si>
  <si>
    <t xml:space="preserve">3303</t>
  </si>
  <si>
    <t xml:space="preserve">AUROGGETS FRANGO CROCANTE EMPANADA AUROR</t>
  </si>
  <si>
    <t xml:space="preserve">AUROGGETS</t>
  </si>
  <si>
    <t xml:space="preserve">CX 4,4 KG</t>
  </si>
  <si>
    <t xml:space="preserve">3304</t>
  </si>
  <si>
    <t xml:space="preserve">CARNE DO SOL MANTA COXAO DURO CONG PLENA</t>
  </si>
  <si>
    <t xml:space="preserve">26/01/2026</t>
  </si>
  <si>
    <t xml:space="preserve">3305</t>
  </si>
  <si>
    <t xml:space="preserve">CARNE DO SOL MANTA COXAO MOLE CONG PLENA</t>
  </si>
  <si>
    <t xml:space="preserve">3306</t>
  </si>
  <si>
    <t xml:space="preserve">CINTO DE SEGURANCA</t>
  </si>
  <si>
    <t xml:space="preserve">87082100.</t>
  </si>
  <si>
    <t xml:space="preserve">CINTOS DE SEGURANCA P/VEICULOS AUTOMOVEIS</t>
  </si>
  <si>
    <t xml:space="preserve">87082100</t>
  </si>
  <si>
    <t xml:space="preserve">27/01/2026</t>
  </si>
  <si>
    <t xml:space="preserve">3307</t>
  </si>
  <si>
    <t xml:space="preserve">SUPORTE ESTABILIZADOR</t>
  </si>
  <si>
    <t xml:space="preserve">3308</t>
  </si>
  <si>
    <t xml:space="preserve">CORACAO BOV CONG CARAPRETA</t>
  </si>
  <si>
    <t xml:space="preserve">3309</t>
  </si>
  <si>
    <t xml:space="preserve">MUSCULO BOV DIANTEIRO CONG CARAPRETA</t>
  </si>
  <si>
    <t xml:space="preserve">3310</t>
  </si>
  <si>
    <t xml:space="preserve">FILE COST ANCHO 3,5KG UP ARG CARAPRETA</t>
  </si>
  <si>
    <t xml:space="preserve">3311</t>
  </si>
  <si>
    <t xml:space="preserve">FILE TILAPIA SEM PELE 800G CARAPRETA</t>
  </si>
  <si>
    <t xml:space="preserve">CX 12,8 KG</t>
  </si>
  <si>
    <t xml:space="preserve">3312</t>
  </si>
  <si>
    <t xml:space="preserve">COSTELA CORDEIRO INTEIRA CARAPRETA</t>
  </si>
  <si>
    <t xml:space="preserve">3313</t>
  </si>
  <si>
    <t xml:space="preserve">FILE TILAPIA SEM PELE 400G CARAPRETA</t>
  </si>
  <si>
    <t xml:space="preserve">28/01/2026</t>
  </si>
  <si>
    <t xml:space="preserve">3314</t>
  </si>
  <si>
    <t xml:space="preserve">BOTINA USAFE</t>
  </si>
  <si>
    <t xml:space="preserve">PERNAMBUCO DISTRIBUIDORA ATACADISTA EPIS INSUMO IND E MRO LT</t>
  </si>
  <si>
    <t xml:space="preserve">3315</t>
  </si>
  <si>
    <t xml:space="preserve">BALANCIM MT ESC/ADM</t>
  </si>
  <si>
    <t xml:space="preserve">02/02/2026</t>
  </si>
  <si>
    <t xml:space="preserve">3316</t>
  </si>
  <si>
    <t xml:space="preserve">BOMBA OLEO HR</t>
  </si>
  <si>
    <t xml:space="preserve">84133030.</t>
  </si>
  <si>
    <t xml:space="preserve">PARA OLEO LUBRIFICANTE</t>
  </si>
  <si>
    <t xml:space="preserve">84133030</t>
  </si>
  <si>
    <t xml:space="preserve">3317</t>
  </si>
  <si>
    <t xml:space="preserve">COSTELA SUINA INTEIRA CONG FRIELA</t>
  </si>
  <si>
    <t xml:space="preserve">3318</t>
  </si>
  <si>
    <t xml:space="preserve">CONTRA FILE PUL PEDACO CONG MINERVA</t>
  </si>
  <si>
    <t xml:space="preserve">3319</t>
  </si>
  <si>
    <t xml:space="preserve">FILE COSTELA MATURADO CONG ESTANCIA 92</t>
  </si>
  <si>
    <t xml:space="preserve">03/02/2026</t>
  </si>
  <si>
    <t xml:space="preserve">3320</t>
  </si>
  <si>
    <t xml:space="preserve">MAMINHA ARGENTINA CONG PUL SELECTION</t>
  </si>
  <si>
    <t xml:space="preserve">3321</t>
  </si>
  <si>
    <t xml:space="preserve">VINAGRE DE ALCOOL 500ML TEMPERO DA CASA</t>
  </si>
  <si>
    <t xml:space="preserve">04/02/2026</t>
  </si>
  <si>
    <t xml:space="preserve">3322</t>
  </si>
  <si>
    <t xml:space="preserve">LEITE DE COCO 500ML  CX C/ 12 UNID</t>
  </si>
  <si>
    <t xml:space="preserve">LEITE DE COCO</t>
  </si>
  <si>
    <t xml:space="preserve">3323</t>
  </si>
  <si>
    <t xml:space="preserve">CREME CULINARIO DAUS 27X200G P.GORDU 14%</t>
  </si>
  <si>
    <t xml:space="preserve">DAUS INDUSTRIA DE ALIMENTOS S.A.</t>
  </si>
  <si>
    <t xml:space="preserve">CX 27</t>
  </si>
  <si>
    <t xml:space="preserve">3324</t>
  </si>
  <si>
    <t xml:space="preserve">CREME CULINARIO DAUS 12X1L P.GORDURA 19%</t>
  </si>
  <si>
    <t xml:space="preserve">CX 12</t>
  </si>
  <si>
    <t xml:space="preserve">3325</t>
  </si>
  <si>
    <t xml:space="preserve">GELEIA FRUTAS VERMELHAS 1,2G VILA LIEVE</t>
  </si>
  <si>
    <t xml:space="preserve">J Y COMERCIO DE ALIMENTOS LTDA</t>
  </si>
  <si>
    <t xml:space="preserve">GELEIAS</t>
  </si>
  <si>
    <t xml:space="preserve">GELEIAS DE FRUTAS</t>
  </si>
  <si>
    <t xml:space="preserve">CX 2 UNID</t>
  </si>
  <si>
    <t xml:space="preserve">20079910.</t>
  </si>
  <si>
    <t xml:space="preserve">GELEIAS E "MARMELADES",DE OUTRAS FRUTAS</t>
  </si>
  <si>
    <t xml:space="preserve">20079910</t>
  </si>
  <si>
    <t xml:space="preserve">06/02/2026</t>
  </si>
  <si>
    <t xml:space="preserve">3326</t>
  </si>
  <si>
    <t xml:space="preserve">GELEIA DE PIMENTA 1,1G VILA LIEVE</t>
  </si>
  <si>
    <t xml:space="preserve">GELEIA DE PIMENTA</t>
  </si>
  <si>
    <t xml:space="preserve">3327</t>
  </si>
  <si>
    <t xml:space="preserve">FILE DE COSTELA WAGYU M5-6 CONG GUIDARA</t>
  </si>
  <si>
    <t xml:space="preserve">GUIDARA INDUSTRIA E COMERCIO DE ALIMENTOS LTDA</t>
  </si>
  <si>
    <t xml:space="preserve">CX +/- 4KG</t>
  </si>
  <si>
    <t xml:space="preserve">09/02/2026</t>
  </si>
  <si>
    <t xml:space="preserve">3328</t>
  </si>
  <si>
    <t xml:space="preserve">CONTRAFILE CHORIZO WAGYU M3-4 CG GUIDARA</t>
  </si>
  <si>
    <t xml:space="preserve">3329</t>
  </si>
  <si>
    <t xml:space="preserve">CONTRAFILE CHORIZO WAGYU M5-6 CG GUIDARA</t>
  </si>
  <si>
    <t xml:space="preserve">3330</t>
  </si>
  <si>
    <t xml:space="preserve">CONTRAFILE CHORIZO WAGYU M7-8 CG GUIDARA</t>
  </si>
  <si>
    <t xml:space="preserve">CX +/- 4 KG</t>
  </si>
  <si>
    <t xml:space="preserve">3331</t>
  </si>
  <si>
    <t xml:space="preserve">PICANHA FATIADA WAGYU CONG GUIDARA</t>
  </si>
  <si>
    <t xml:space="preserve">CX +/- 2,5KG</t>
  </si>
  <si>
    <t xml:space="preserve">3332</t>
  </si>
  <si>
    <t xml:space="preserve">PICANHA PORCIONADA WAGYU CONG GUIDARA</t>
  </si>
  <si>
    <t xml:space="preserve">3333</t>
  </si>
  <si>
    <t xml:space="preserve">ACEM CHUCK STEAK CONG GUIDARA</t>
  </si>
  <si>
    <t xml:space="preserve">3334</t>
  </si>
  <si>
    <t xml:space="preserve">CONTRA FILE WAGYU M5-6 BARRA GUIDARA</t>
  </si>
  <si>
    <t xml:space="preserve">CX +/- 7KG</t>
  </si>
  <si>
    <t xml:space="preserve">3335</t>
  </si>
  <si>
    <t xml:space="preserve">FILE DE COSTELA WAGYU M5-6 BARRA GUIDARA</t>
  </si>
  <si>
    <t xml:space="preserve">3336</t>
  </si>
  <si>
    <t xml:space="preserve">FILE DE COSTELA ANCHO 300 A 340G GUIDARA</t>
  </si>
  <si>
    <t xml:space="preserve">3337</t>
  </si>
  <si>
    <t xml:space="preserve">OSSO CANOA  CONG GUIDARA</t>
  </si>
  <si>
    <t xml:space="preserve">OSSO CANOA</t>
  </si>
  <si>
    <t xml:space="preserve">05069000.</t>
  </si>
  <si>
    <t xml:space="preserve">OUTROS OSSOS E NUCLEOS CORNEOS,EM BRUTO,DESENGORD.ETC.</t>
  </si>
  <si>
    <t xml:space="preserve">5069000</t>
  </si>
  <si>
    <t xml:space="preserve">3338</t>
  </si>
  <si>
    <t xml:space="preserve">RAQUETE SHOULDER RED  CG GUIDARA</t>
  </si>
  <si>
    <t xml:space="preserve">3339</t>
  </si>
  <si>
    <t xml:space="preserve">ACEM DENVER STEAK  CONG GUIDARA</t>
  </si>
  <si>
    <t xml:space="preserve">CX +/- 6KG</t>
  </si>
  <si>
    <t xml:space="preserve">3340</t>
  </si>
  <si>
    <t xml:space="preserve">CONTRAFILE CHORIZO TAURUS STEAK GUIDARA</t>
  </si>
  <si>
    <t xml:space="preserve">3341</t>
  </si>
  <si>
    <t xml:space="preserve">COSTELA DIANTEIRO CONG GUIDARA</t>
  </si>
  <si>
    <t xml:space="preserve">CX +/-12KG</t>
  </si>
  <si>
    <t xml:space="preserve">3342</t>
  </si>
  <si>
    <t xml:space="preserve">CONTRAFILE CHORIZO WAGYU A5 CG GUIDARA</t>
  </si>
  <si>
    <t xml:space="preserve">CX +/- 3KG</t>
  </si>
  <si>
    <t xml:space="preserve">3343</t>
  </si>
  <si>
    <t xml:space="preserve">FRALDA RED INTERNA WAGYU CG GUIDARA</t>
  </si>
  <si>
    <t xml:space="preserve">CX  +/- 5KG</t>
  </si>
  <si>
    <t xml:space="preserve">3344</t>
  </si>
  <si>
    <t xml:space="preserve">DM MT-152014 EH V03</t>
  </si>
  <si>
    <t xml:space="preserve">METARO SISTEMAS PARA MOVIMENTACAO DE CARGAS LTDA</t>
  </si>
  <si>
    <t xml:space="preserve">CJ</t>
  </si>
  <si>
    <t xml:space="preserve">84282090.</t>
  </si>
  <si>
    <t xml:space="preserve">84282090</t>
  </si>
  <si>
    <t xml:space="preserve">23/02/2026</t>
  </si>
  <si>
    <t xml:space="preserve">3345</t>
  </si>
  <si>
    <t xml:space="preserve">CAPA DE CHUVA FORRADA</t>
  </si>
  <si>
    <t xml:space="preserve">62014000.</t>
  </si>
  <si>
    <t xml:space="preserve">SOBRETUDOS, JAPONAS, GABÕES, CAPAS, ANORAQUES, CASACOS E SEMELHANTES, DE USO MASCULINO, EXCETO OS ARTEFATOS DA POSIÇÃO</t>
  </si>
  <si>
    <t xml:space="preserve">62014000</t>
  </si>
  <si>
    <t xml:space="preserve">3346</t>
  </si>
  <si>
    <t xml:space="preserve">CORPO DA PISTOLA</t>
  </si>
  <si>
    <t xml:space="preserve">HIDROJATO COM. ASSIST. TEC. E LOCACAO DE MAQUINA LTDA</t>
  </si>
  <si>
    <t xml:space="preserve">84249090.</t>
  </si>
  <si>
    <t xml:space="preserve">84249090</t>
  </si>
  <si>
    <t xml:space="preserve">26/02/2026</t>
  </si>
  <si>
    <t xml:space="preserve">3347</t>
  </si>
  <si>
    <t xml:space="preserve">MANG.TRAMA 7,5METROS</t>
  </si>
  <si>
    <t xml:space="preserve">40094290.</t>
  </si>
  <si>
    <t xml:space="preserve">40094290</t>
  </si>
  <si>
    <t xml:space="preserve">3348</t>
  </si>
  <si>
    <t xml:space="preserve">EMPILHADEIRA INDUSTRIAL KBD30</t>
  </si>
  <si>
    <t xml:space="preserve">84272090.</t>
  </si>
  <si>
    <t xml:space="preserve">84272090</t>
  </si>
  <si>
    <t xml:space="preserve">27/02/2026</t>
  </si>
  <si>
    <t xml:space="preserve">3349</t>
  </si>
  <si>
    <t xml:space="preserve">JUNTA FILTRO OLEO</t>
  </si>
  <si>
    <t xml:space="preserve">28/02/2026</t>
  </si>
  <si>
    <t xml:space="preserve">3350</t>
  </si>
  <si>
    <t xml:space="preserve">TAMPA MANGA EIXO</t>
  </si>
  <si>
    <t xml:space="preserve">3351</t>
  </si>
  <si>
    <t xml:space="preserve">BOTA COURO</t>
  </si>
  <si>
    <t xml:space="preserve">64039190.</t>
  </si>
  <si>
    <t xml:space="preserve">64039190</t>
  </si>
  <si>
    <t xml:space="preserve">3352</t>
  </si>
  <si>
    <t xml:space="preserve">LUVA ICE LATEX</t>
  </si>
  <si>
    <t xml:space="preserve">61161000.</t>
  </si>
  <si>
    <t xml:space="preserve">IMPREGNADAS, REVESTIDAS OU RECOBERTAS, DE PLASTICOS OU DE BO</t>
  </si>
  <si>
    <t xml:space="preserve">61161000</t>
  </si>
  <si>
    <t xml:space="preserve">3353</t>
  </si>
  <si>
    <t xml:space="preserve">MOCOTO BOV CONG CARAPRETA</t>
  </si>
  <si>
    <t xml:space="preserve">02/03/2026</t>
  </si>
  <si>
    <t xml:space="preserve">3354</t>
  </si>
  <si>
    <t xml:space="preserve">MUSCULO BOV DIANTEIRO CONG CARABRANCA</t>
  </si>
  <si>
    <t xml:space="preserve">3355</t>
  </si>
  <si>
    <t xml:space="preserve">MUSCULO MOLE E DURO TRASEIRO CARABRANCA</t>
  </si>
  <si>
    <t xml:space="preserve">3356</t>
  </si>
  <si>
    <t xml:space="preserve">MUSCULO BOV TRASEIRO CONG CARAPRETA</t>
  </si>
  <si>
    <t xml:space="preserve">3357</t>
  </si>
  <si>
    <t xml:space="preserve">MAMINHA DA ALCATRA ARG CONG CARAPRETA</t>
  </si>
  <si>
    <t xml:space="preserve">3358</t>
  </si>
  <si>
    <t xml:space="preserve">LOMBO CORDEIRO CONTRA FILE CARAPRETA</t>
  </si>
  <si>
    <t xml:space="preserve">3359</t>
  </si>
  <si>
    <t xml:space="preserve">CARRE SHORT RACK CONG CARAPRETA</t>
  </si>
  <si>
    <t xml:space="preserve">3360</t>
  </si>
  <si>
    <t xml:space="preserve">LINGUICA CARNE OVINA APIMENTADA CARAPRET</t>
  </si>
  <si>
    <t xml:space="preserve">3361</t>
  </si>
  <si>
    <t xml:space="preserve">LINGUICA CARNE OVINA CARAPRETA</t>
  </si>
  <si>
    <t xml:space="preserve">3362</t>
  </si>
  <si>
    <t xml:space="preserve">ISCA DE FRANGO EMPANADO TEMPURA 275G</t>
  </si>
  <si>
    <t xml:space="preserve">ISCA DE FRANGO</t>
  </si>
  <si>
    <t xml:space="preserve">3363</t>
  </si>
  <si>
    <t xml:space="preserve">ISCA DE FRANGO EMPANADO CROCANTE 275G</t>
  </si>
  <si>
    <t xml:space="preserve">3364</t>
  </si>
  <si>
    <t xml:space="preserve">AUROGGETS FRANGO EMPANADA AURORA 275G</t>
  </si>
  <si>
    <t xml:space="preserve">3365</t>
  </si>
  <si>
    <t xml:space="preserve">TIRINHAS DE FRANGO EMPANADO AURORA 900G</t>
  </si>
  <si>
    <t xml:space="preserve">3366</t>
  </si>
  <si>
    <t xml:space="preserve">ALHO INTEIRO ATIGEL 10X1,02KG</t>
  </si>
  <si>
    <t xml:space="preserve">ATIGEL FRUTAS CONGELADAS ATIBAIA LTDA</t>
  </si>
  <si>
    <t xml:space="preserve">03/03/2026</t>
  </si>
  <si>
    <t xml:space="preserve">3367</t>
  </si>
  <si>
    <t xml:space="preserve">BROCOLIS ATIGEL 10X1,02KG</t>
  </si>
  <si>
    <t xml:space="preserve">3368</t>
  </si>
  <si>
    <t xml:space="preserve">COUVE FLOR ATIGEL 10X1,02KG</t>
  </si>
  <si>
    <t xml:space="preserve">3369</t>
  </si>
  <si>
    <t xml:space="preserve">ERVILHA FRESCA ATIGEL 10X1,02KG</t>
  </si>
  <si>
    <t xml:space="preserve">3370</t>
  </si>
  <si>
    <t xml:space="preserve">MORANGO ATIGEL 10X1,02KG</t>
  </si>
  <si>
    <t xml:space="preserve">3371</t>
  </si>
  <si>
    <t xml:space="preserve">MANDIOCA PALITO ATIGEL 4X2,5KG</t>
  </si>
  <si>
    <t xml:space="preserve">MANDIOCA</t>
  </si>
  <si>
    <t xml:space="preserve">07141000.</t>
  </si>
  <si>
    <t xml:space="preserve">RAIZES DE MANDIOCA,FRESCAS,REFRIGERADAS,CONGEL.OU SECAS</t>
  </si>
  <si>
    <t xml:space="preserve">7141000</t>
  </si>
  <si>
    <t xml:space="preserve">3372</t>
  </si>
  <si>
    <t xml:space="preserve">MANDIOCA TOLETE ATIGEL 5X2,5KG</t>
  </si>
  <si>
    <t xml:space="preserve">CX 12,5 KG</t>
  </si>
  <si>
    <t xml:space="preserve">3373</t>
  </si>
  <si>
    <t xml:space="preserve">VAGEM CUBO ATIGEL 4X2,5KG</t>
  </si>
  <si>
    <t xml:space="preserve">VAGEM</t>
  </si>
  <si>
    <t xml:space="preserve">07102900.</t>
  </si>
  <si>
    <t xml:space="preserve">OUTROS LEGUMES DE VAGEM,CONG.N/COZIDOS/COZIDOS AGUA/ETC</t>
  </si>
  <si>
    <t xml:space="preserve">7102900</t>
  </si>
  <si>
    <t xml:space="preserve">3374</t>
  </si>
  <si>
    <t xml:space="preserve">BATATA  LAMB WESTON</t>
  </si>
  <si>
    <t xml:space="preserve">04/03/2026</t>
  </si>
  <si>
    <t xml:space="preserve">3375</t>
  </si>
  <si>
    <t xml:space="preserve">CORACAO FRANGO CONG AURORA</t>
  </si>
  <si>
    <t xml:space="preserve">11/03/2026</t>
  </si>
  <si>
    <t xml:space="preserve">3376</t>
  </si>
  <si>
    <t xml:space="preserve">PICANHA A AUSTRALIANA TERCEIROS</t>
  </si>
  <si>
    <t xml:space="preserve">12/03/2026</t>
  </si>
  <si>
    <t xml:space="preserve">3377</t>
  </si>
  <si>
    <t xml:space="preserve">PESCADOR OLEO</t>
  </si>
  <si>
    <t xml:space="preserve">84099999.</t>
  </si>
  <si>
    <t xml:space="preserve">PARTES RECONHECÍVEIS COMO EXCLUSIVA OU PRINCIPALMENTE DESTINADAS AOS MOTORES DAS POSIÇÕES</t>
  </si>
  <si>
    <t xml:space="preserve">84099999</t>
  </si>
  <si>
    <t xml:space="preserve">16/03/2026</t>
  </si>
  <si>
    <t xml:space="preserve">3378</t>
  </si>
  <si>
    <t xml:space="preserve">CAIXA MULTIPLA</t>
  </si>
  <si>
    <t xml:space="preserve">3379</t>
  </si>
  <si>
    <t xml:space="preserve">CONECTOR P/CAIXA MULTIPLA</t>
  </si>
  <si>
    <t xml:space="preserve">17/03/2026</t>
  </si>
  <si>
    <t xml:space="preserve">3380</t>
  </si>
  <si>
    <t xml:space="preserve">GUIA EMPRESA BLINDADA</t>
  </si>
  <si>
    <t xml:space="preserve">EMPRESA BLINDADA TREINAMENTOS DIGITAIS LTDA</t>
  </si>
  <si>
    <t xml:space="preserve">49019900.</t>
  </si>
  <si>
    <t xml:space="preserve">49019900</t>
  </si>
  <si>
    <t xml:space="preserve">3381</t>
  </si>
  <si>
    <t xml:space="preserve">CARRE SUINO CONG ECOFRIGO</t>
  </si>
  <si>
    <t xml:space="preserve">BUGIO AGROPECUARIA LTDA</t>
  </si>
  <si>
    <t xml:space="preserve">20/03/2026</t>
  </si>
  <si>
    <t xml:space="preserve">3382</t>
  </si>
  <si>
    <t xml:space="preserve">PICANHA BOV CONG CABANA LAS LILAS</t>
  </si>
  <si>
    <t xml:space="preserve">24/03/2026</t>
  </si>
  <si>
    <t xml:space="preserve">3383</t>
  </si>
  <si>
    <t xml:space="preserve">CAPA DE FILE CONG MINERVA</t>
  </si>
  <si>
    <t xml:space="preserve">26/03/2026</t>
  </si>
  <si>
    <t xml:space="preserve">3384</t>
  </si>
  <si>
    <t xml:space="preserve">COXAO DURO CONG MINERVA</t>
  </si>
  <si>
    <t xml:space="preserve">30/03/2026</t>
  </si>
  <si>
    <t xml:space="preserve">3385</t>
  </si>
  <si>
    <t xml:space="preserve">FIGADO BOV CONG CARAPRETA</t>
  </si>
  <si>
    <t xml:space="preserve">31/03/2026</t>
  </si>
  <si>
    <t xml:space="preserve">3386</t>
  </si>
  <si>
    <t xml:space="preserve">RAQUETE FLAT IRON CONG CARAPRETA</t>
  </si>
  <si>
    <t xml:space="preserve">3387</t>
  </si>
  <si>
    <t xml:space="preserve">COXAO MOLE ARG CONG CARAPRETA</t>
  </si>
  <si>
    <t xml:space="preserve">3388</t>
  </si>
  <si>
    <t xml:space="preserve">MAMINHA ALCATRA NIPPO WAGYU CG GUIDARA</t>
  </si>
  <si>
    <t xml:space="preserve">01/04/2026</t>
  </si>
  <si>
    <t xml:space="preserve">3389</t>
  </si>
  <si>
    <t xml:space="preserve">ALCATRA BOMBOM WAGYU CG GUIDARA</t>
  </si>
  <si>
    <t xml:space="preserve">3390</t>
  </si>
  <si>
    <t xml:space="preserve">ALCATRA BOMBOM ANGUS CONG GUIDARA</t>
  </si>
  <si>
    <t xml:space="preserve">3391</t>
  </si>
  <si>
    <t xml:space="preserve">COXAO MOLE WAGYU CONG GUIDARA</t>
  </si>
  <si>
    <t xml:space="preserve">15/04/2026</t>
  </si>
  <si>
    <t xml:space="preserve">3392</t>
  </si>
  <si>
    <t xml:space="preserve">CONTRAFILE CHORIZ INT (A.O.L) CG GUIDARA</t>
  </si>
  <si>
    <t xml:space="preserve">3393</t>
  </si>
  <si>
    <t xml:space="preserve">ACEM SHORT RIB INTEIRO CONG GUIDARA</t>
  </si>
  <si>
    <t xml:space="preserve">3394</t>
  </si>
  <si>
    <t xml:space="preserve">CONTRAFILE CHORIZO TAURUS PORC GUIDARA</t>
  </si>
  <si>
    <t xml:space="preserve">3395</t>
  </si>
  <si>
    <t xml:space="preserve">BIFE DO VAZIO CONG FRIBAL</t>
  </si>
  <si>
    <t xml:space="preserve">3396</t>
  </si>
  <si>
    <t xml:space="preserve">COXAO DURO PORCIONADO CONG FRIBOI</t>
  </si>
  <si>
    <t xml:space="preserve">16/04/2026</t>
  </si>
  <si>
    <t xml:space="preserve">3397</t>
  </si>
  <si>
    <t xml:space="preserve">PEITO DE FRANGO CUBOS ALFAMA</t>
  </si>
  <si>
    <t xml:space="preserve">20/04/2026</t>
  </si>
  <si>
    <t xml:space="preserve">3398</t>
  </si>
  <si>
    <t xml:space="preserve">DESCARBONIZANTE</t>
  </si>
  <si>
    <t xml:space="preserve">J. ROMILDO GOMES &amp; CIA LTDA</t>
  </si>
  <si>
    <t xml:space="preserve">38249941.</t>
  </si>
  <si>
    <t xml:space="preserve">PREPARAÇÕES DESINCRUSTANTES, ANTICORROSIVAS OU ANTIOXIDANTES</t>
  </si>
  <si>
    <t xml:space="preserve">38249941</t>
  </si>
  <si>
    <t xml:space="preserve">24/04/2026</t>
  </si>
  <si>
    <t xml:space="preserve">3399</t>
  </si>
  <si>
    <t xml:space="preserve">PROTETOR DE COMPONENTES</t>
  </si>
  <si>
    <t xml:space="preserve">28/04/2026</t>
  </si>
  <si>
    <t xml:space="preserve">3400</t>
  </si>
  <si>
    <t xml:space="preserve">TURBINA MT K2500/HR 13/ EURO</t>
  </si>
  <si>
    <t xml:space="preserve">84148021</t>
  </si>
  <si>
    <t xml:space="preserve">3401</t>
  </si>
  <si>
    <t xml:space="preserve">GARFO CARDAN MB</t>
  </si>
  <si>
    <t xml:space="preserve">29/04/2026</t>
  </si>
  <si>
    <t xml:space="preserve">3402</t>
  </si>
  <si>
    <t xml:space="preserve">REFIL FILTRO COMBUST</t>
  </si>
  <si>
    <t xml:space="preserve">3403</t>
  </si>
  <si>
    <t xml:space="preserve">JG CALCO AXIAL MOTOR</t>
  </si>
  <si>
    <t xml:space="preserve">CADASTRO DE PRODUTO</t>
  </si>
  <si>
    <t xml:space="preserve">Inclusão e Manutenção do Cadastro de Produtos (Digitar em Letras Maiúsculas - Caps Lock)</t>
  </si>
  <si>
    <t xml:space="preserve">Obs: Todos os campos são de preenchimento obrigatórios.</t>
  </si>
  <si>
    <t xml:space="preserve">Inclusão (      )</t>
  </si>
  <si>
    <t xml:space="preserve">Alteração (      )</t>
  </si>
  <si>
    <t xml:space="preserve">Substituição Informar código -&gt;</t>
  </si>
  <si>
    <t xml:space="preserve">INFORMAÇÕES FORNECEDOR</t>
  </si>
  <si>
    <t xml:space="preserve">Nome Fantasia:</t>
  </si>
  <si>
    <t xml:space="preserve">C&amp;M Food Solutions</t>
  </si>
  <si>
    <t xml:space="preserve"> Imagem do Produto *Obrigatório*</t>
  </si>
  <si>
    <t xml:space="preserve">Razão Social do Fornecedor:</t>
  </si>
  <si>
    <t xml:space="preserve">C &amp; M Distribuidora de Carnes LTDA</t>
  </si>
  <si>
    <t xml:space="preserve">Nome Vendedor:</t>
  </si>
  <si>
    <t xml:space="preserve">Tel. Contato:</t>
  </si>
  <si>
    <t xml:space="preserve">Cnpj Fornecedor:</t>
  </si>
  <si>
    <t xml:space="preserve">41.595.521/0001-16</t>
  </si>
  <si>
    <t xml:space="preserve">Estado do Forn:</t>
  </si>
  <si>
    <t xml:space="preserve">Ceará</t>
  </si>
  <si>
    <t xml:space="preserve">Marca do Produto:</t>
  </si>
  <si>
    <t xml:space="preserve">Carapreta</t>
  </si>
  <si>
    <t xml:space="preserve">Descrição Produto:</t>
  </si>
  <si>
    <t xml:space="preserve">Preço KG:</t>
  </si>
  <si>
    <t xml:space="preserve">Onde este produto já está exposto?</t>
  </si>
  <si>
    <t xml:space="preserve">Classific Fiscal (NCM):</t>
  </si>
  <si>
    <t xml:space="preserve">CEST:</t>
  </si>
  <si>
    <t xml:space="preserve">IPI %:</t>
  </si>
  <si>
    <t xml:space="preserve">Valor Pauta:</t>
  </si>
  <si>
    <t xml:space="preserve">Procendencia</t>
  </si>
  <si>
    <t xml:space="preserve">Nacional</t>
  </si>
  <si>
    <t xml:space="preserve">CIF OU FOB</t>
  </si>
  <si>
    <t xml:space="preserve">CIF</t>
  </si>
  <si>
    <t xml:space="preserve"> Foto do EAN do Produto</t>
  </si>
  <si>
    <t xml:space="preserve">Embalagem de Venda</t>
  </si>
  <si>
    <t xml:space="preserve">Embalagem CX/PCT/FARDO </t>
  </si>
  <si>
    <t xml:space="preserve">Embalagem Unit.</t>
  </si>
  <si>
    <t xml:space="preserve">Emb.Compra :</t>
  </si>
  <si>
    <t xml:space="preserve">Unid.Altura(cm):</t>
  </si>
  <si>
    <t xml:space="preserve">Preço Unitário :</t>
  </si>
  <si>
    <t xml:space="preserve">Unid.Largura(cm):</t>
  </si>
  <si>
    <t xml:space="preserve">Preço Caixa :</t>
  </si>
  <si>
    <t xml:space="preserve">Unid.Comprim(cm):</t>
  </si>
  <si>
    <t xml:space="preserve">Preço Display :</t>
  </si>
  <si>
    <t xml:space="preserve">Peso liq.:</t>
  </si>
  <si>
    <t xml:space="preserve">500 g</t>
  </si>
  <si>
    <t xml:space="preserve">Dias Validade:</t>
  </si>
  <si>
    <t xml:space="preserve">Peso bruto:</t>
  </si>
  <si>
    <t xml:space="preserve">Descrição Produto: (Familia)</t>
  </si>
  <si>
    <t xml:space="preserve">PEIXE .FILÉ DE TILÁPIA SEM PELE</t>
  </si>
  <si>
    <t xml:space="preserve">Referencia:</t>
  </si>
  <si>
    <t xml:space="preserve">Codigo Barra EAN-13:</t>
  </si>
  <si>
    <t xml:space="preserve"> </t>
  </si>
  <si>
    <t xml:space="preserve">DADOS CONTABILIDADE (campo pertence ao cliente)</t>
  </si>
  <si>
    <t xml:space="preserve">TRIBUTAÇÃO</t>
  </si>
  <si>
    <t xml:space="preserve">FISCAL</t>
  </si>
  <si>
    <t xml:space="preserve">ICMS:</t>
  </si>
  <si>
    <t xml:space="preserve">Figura Fiscal:</t>
  </si>
  <si>
    <t xml:space="preserve">Pauta ST %</t>
  </si>
  <si>
    <t xml:space="preserve">Sit Tributária:		</t>
  </si>
  <si>
    <t xml:space="preserve">COFINS:</t>
  </si>
  <si>
    <t xml:space="preserve">Tipo Tributação:</t>
  </si>
  <si>
    <t xml:space="preserve">Alíquota %:</t>
  </si>
  <si>
    <t xml:space="preserve">Alíquota %</t>
  </si>
  <si>
    <t xml:space="preserve">Redução Base%:</t>
  </si>
  <si>
    <t xml:space="preserve">Redução base %</t>
  </si>
  <si>
    <t xml:space="preserve">PIS:</t>
  </si>
  <si>
    <t xml:space="preserve">IPI</t>
  </si>
  <si>
    <t xml:space="preserve">Aliquota %:</t>
  </si>
  <si>
    <t xml:space="preserve">Valor IPI</t>
  </si>
  <si>
    <t xml:space="preserve">CEST</t>
  </si>
  <si>
    <t xml:space="preserve">FECOP</t>
  </si>
  <si>
    <t xml:space="preserve">PAUTA</t>
  </si>
  <si>
    <t xml:space="preserve">PROCEDÊNCIA</t>
  </si>
  <si>
    <t xml:space="preserve">NATUREZA DA RECEITA PIS/COFINS</t>
  </si>
</sst>
</file>

<file path=xl/styles.xml><?xml version="1.0" encoding="utf-8"?>
<styleSheet xmlns="http://schemas.openxmlformats.org/spreadsheetml/2006/main">
  <numFmts count="8">
    <numFmt numFmtId="164" formatCode="General"/>
    <numFmt numFmtId="165" formatCode="00,000,000,000,0\-00"/>
    <numFmt numFmtId="166" formatCode="00000000"/>
    <numFmt numFmtId="167" formatCode="0.00"/>
    <numFmt numFmtId="168" formatCode="0"/>
    <numFmt numFmtId="169" formatCode="&quot;R$ &quot;#,##0.00"/>
    <numFmt numFmtId="170" formatCode="0.000"/>
    <numFmt numFmtId="171" formatCode="#,##0"/>
  </numFmts>
  <fonts count="11">
    <font>
      <sz val="11"/>
      <color theme="1"/>
      <name val="Calibri"/>
      <family val="0"/>
      <charset val="1"/>
    </font>
    <font>
      <sz val="10"/>
      <name val="Arial"/>
      <family val="0"/>
    </font>
    <font>
      <sz val="10"/>
      <name val="Arial"/>
      <family val="0"/>
    </font>
    <font>
      <sz val="10"/>
      <name val="Arial"/>
      <family val="0"/>
    </font>
    <font>
      <b val="true"/>
      <sz val="38"/>
      <color theme="1"/>
      <name val="Calibri"/>
      <family val="0"/>
      <charset val="1"/>
    </font>
    <font>
      <b val="true"/>
      <sz val="11"/>
      <color theme="1"/>
      <name val="Calibri"/>
      <family val="0"/>
      <charset val="1"/>
    </font>
    <font>
      <b val="true"/>
      <sz val="14"/>
      <color theme="1"/>
      <name val="Calibri"/>
      <family val="0"/>
      <charset val="1"/>
    </font>
    <font>
      <b val="true"/>
      <sz val="16"/>
      <color theme="1"/>
      <name val="Calibri"/>
      <family val="0"/>
      <charset val="1"/>
    </font>
    <font>
      <b val="true"/>
      <sz val="14"/>
      <color theme="1"/>
      <name val="Arial"/>
      <family val="0"/>
      <charset val="1"/>
    </font>
    <font>
      <b val="true"/>
      <sz val="36"/>
      <color rgb="FFFF0000"/>
      <name val="Calibri"/>
      <family val="0"/>
      <charset val="1"/>
    </font>
    <font>
      <b val="true"/>
      <sz val="12"/>
      <color theme="1"/>
      <name val="Calibri"/>
      <family val="0"/>
      <charset val="1"/>
    </font>
  </fonts>
  <fills count="10">
    <fill>
      <patternFill patternType="none"/>
    </fill>
    <fill>
      <patternFill patternType="gray125"/>
    </fill>
    <fill>
      <patternFill patternType="solid">
        <fgColor rgb="FFFF9900"/>
        <bgColor rgb="FFFFCC00"/>
      </patternFill>
    </fill>
    <fill>
      <patternFill patternType="solid">
        <fgColor rgb="FF980000"/>
        <bgColor rgb="FF800000"/>
      </patternFill>
    </fill>
    <fill>
      <patternFill patternType="solid">
        <fgColor rgb="FFFFE598"/>
        <bgColor rgb="FFF9CB9C"/>
      </patternFill>
    </fill>
    <fill>
      <patternFill patternType="solid">
        <fgColor rgb="FFD9D9D9"/>
        <bgColor rgb="FFDEEAF6"/>
      </patternFill>
    </fill>
    <fill>
      <patternFill patternType="solid">
        <fgColor rgb="FFF6B26B"/>
        <bgColor rgb="FFF9CB9C"/>
      </patternFill>
    </fill>
    <fill>
      <patternFill patternType="solid">
        <fgColor rgb="FFF9CB9C"/>
        <bgColor rgb="FFFFE598"/>
      </patternFill>
    </fill>
    <fill>
      <patternFill patternType="solid">
        <fgColor rgb="FFDEEAF6"/>
        <bgColor rgb="FFD9D9D9"/>
      </patternFill>
    </fill>
    <fill>
      <patternFill patternType="solid">
        <fgColor rgb="FFFFFF00"/>
        <bgColor rgb="FFFFFF00"/>
      </patternFill>
    </fill>
  </fills>
  <borders count="23">
    <border diagonalUp="false" diagonalDown="false">
      <left/>
      <right/>
      <top/>
      <bottom/>
      <diagonal/>
    </border>
    <border diagonalUp="false" diagonalDown="false">
      <left style="thick"/>
      <right style="thick"/>
      <top/>
      <bottom/>
      <diagonal/>
    </border>
    <border diagonalUp="false" diagonalDown="false">
      <left style="thick"/>
      <right style="thick"/>
      <top style="thick"/>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style="medium"/>
      <diagonal/>
    </border>
    <border diagonalUp="false" diagonalDown="false">
      <left style="thick"/>
      <right/>
      <top/>
      <bottom/>
      <diagonal/>
    </border>
    <border diagonalUp="false" diagonalDown="false">
      <left style="medium"/>
      <right style="medium"/>
      <top/>
      <bottom style="medium"/>
      <diagonal/>
    </border>
    <border diagonalUp="false" diagonalDown="false">
      <left/>
      <right style="thick"/>
      <top/>
      <bottom style="medium"/>
      <diagonal/>
    </border>
    <border diagonalUp="false" diagonalDown="false">
      <left style="thick"/>
      <right style="thick"/>
      <top style="medium"/>
      <bottom style="thick"/>
      <diagonal/>
    </border>
    <border diagonalUp="false" diagonalDown="false">
      <left style="thick"/>
      <right style="medium"/>
      <top style="medium"/>
      <bottom style="medium"/>
      <diagonal/>
    </border>
    <border diagonalUp="false" diagonalDown="false">
      <left style="thick"/>
      <right/>
      <top/>
      <bottom style="medium"/>
      <diagonal/>
    </border>
    <border diagonalUp="false" diagonalDown="false">
      <left style="medium"/>
      <right style="thick"/>
      <top style="medium"/>
      <bottom/>
      <diagonal/>
    </border>
    <border diagonalUp="false" diagonalDown="false">
      <left style="thick"/>
      <right style="medium"/>
      <top/>
      <bottom style="medium"/>
      <diagonal/>
    </border>
    <border diagonalUp="false" diagonalDown="false">
      <left/>
      <right style="thick"/>
      <top/>
      <bottom/>
      <diagonal/>
    </border>
    <border diagonalUp="false" diagonalDown="false">
      <left style="thick"/>
      <right/>
      <top style="medium"/>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thick"/>
      <right style="medium"/>
      <top style="medium"/>
      <bottom/>
      <diagonal/>
    </border>
    <border diagonalUp="false" diagonalDown="false">
      <left/>
      <right/>
      <top/>
      <bottom style="medium"/>
      <diagonal/>
    </border>
    <border diagonalUp="false" diagonalDown="false">
      <left style="medium"/>
      <right style="thick"/>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5" fillId="3" borderId="2"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3" xfId="0" applyFont="true" applyBorder="true" applyAlignment="true" applyProtection="true">
      <alignment horizontal="general" vertical="center" textRotation="0" wrapText="false" indent="0" shrinkToFit="false"/>
      <protection locked="true" hidden="false"/>
    </xf>
    <xf numFmtId="164" fontId="6" fillId="2" borderId="4" xfId="0" applyFont="true" applyBorder="true" applyAlignment="true" applyProtection="true">
      <alignment horizontal="general" vertical="center" textRotation="0" wrapText="false" indent="0" shrinkToFit="false"/>
      <protection locked="true" hidden="false"/>
    </xf>
    <xf numFmtId="164" fontId="6" fillId="2" borderId="5" xfId="0" applyFont="true" applyBorder="true" applyAlignment="true" applyProtection="true">
      <alignment horizontal="general" vertical="center" textRotation="0" wrapText="false" indent="0" shrinkToFit="false"/>
      <protection locked="true" hidden="false"/>
    </xf>
    <xf numFmtId="164" fontId="6" fillId="4" borderId="6" xfId="0" applyFont="true" applyBorder="true" applyAlignment="true" applyProtection="true">
      <alignment horizontal="general" vertical="center" textRotation="0" wrapText="false" indent="0" shrinkToFit="false"/>
      <protection locked="true" hidden="false"/>
    </xf>
    <xf numFmtId="164" fontId="7" fillId="0" borderId="7" xfId="0" applyFont="true" applyBorder="true" applyAlignment="true" applyProtection="true">
      <alignment horizontal="center" vertical="center" textRotation="0" wrapText="false" indent="0" shrinkToFit="false"/>
      <protection locked="true" hidden="false"/>
    </xf>
    <xf numFmtId="164" fontId="7" fillId="0" borderId="8" xfId="0" applyFont="true" applyBorder="true" applyAlignment="true" applyProtection="true">
      <alignment horizontal="center" vertical="center" textRotation="0" wrapText="false" indent="0" shrinkToFit="false"/>
      <protection locked="true" hidden="false"/>
    </xf>
    <xf numFmtId="164" fontId="7" fillId="2" borderId="9" xfId="0" applyFont="true" applyBorder="true" applyAlignment="true" applyProtection="true">
      <alignment horizontal="right" vertical="center" textRotation="0" wrapText="false" indent="0" shrinkToFit="false"/>
      <protection locked="true" hidden="false"/>
    </xf>
    <xf numFmtId="164" fontId="6" fillId="5" borderId="10" xfId="0" applyFont="true" applyBorder="true" applyAlignment="true" applyProtection="true">
      <alignment horizontal="left" vertical="center" textRotation="0" wrapText="false" indent="0" shrinkToFit="false"/>
      <protection locked="true" hidden="false"/>
    </xf>
    <xf numFmtId="164" fontId="6" fillId="2" borderId="11" xfId="0" applyFont="true" applyBorder="true" applyAlignment="true" applyProtection="true">
      <alignment horizontal="center" vertical="center" textRotation="0" wrapText="false" indent="0" shrinkToFit="false"/>
      <protection locked="true" hidden="false"/>
    </xf>
    <xf numFmtId="164" fontId="6" fillId="6" borderId="12" xfId="0" applyFont="true" applyBorder="true" applyAlignment="true" applyProtection="true">
      <alignment horizontal="left" vertical="center" textRotation="0" wrapText="false" indent="0" shrinkToFit="false"/>
      <protection locked="true" hidden="false"/>
    </xf>
    <xf numFmtId="164" fontId="8" fillId="5" borderId="6" xfId="0" applyFont="true" applyBorder="true" applyAlignment="true" applyProtection="true">
      <alignment horizontal="left" vertical="center" textRotation="0" wrapText="false" indent="0" shrinkToFit="false"/>
      <protection locked="true" hidden="false"/>
    </xf>
    <xf numFmtId="164" fontId="6" fillId="2" borderId="5" xfId="0" applyFont="true" applyBorder="true" applyAlignment="true" applyProtection="true">
      <alignment horizontal="center" vertical="center" textRotation="0" wrapText="false" indent="0" shrinkToFit="false"/>
      <protection locked="true" hidden="false"/>
    </xf>
    <xf numFmtId="164" fontId="9" fillId="0" borderId="13" xfId="0" applyFont="true" applyBorder="true" applyAlignment="true" applyProtection="true">
      <alignment horizontal="center" vertical="center" textRotation="0" wrapText="false" indent="0" shrinkToFit="false"/>
      <protection locked="true" hidden="false"/>
    </xf>
    <xf numFmtId="165" fontId="8" fillId="5" borderId="6" xfId="0" applyFont="true" applyBorder="true" applyAlignment="true" applyProtection="true">
      <alignment horizontal="left" vertical="center" textRotation="0" wrapText="false" indent="0" shrinkToFit="false"/>
      <protection locked="true" hidden="false"/>
    </xf>
    <xf numFmtId="164" fontId="8" fillId="5" borderId="8" xfId="0" applyFont="true" applyBorder="true" applyAlignment="true" applyProtection="true">
      <alignment horizontal="left" vertical="center" textRotation="0" wrapText="false" indent="0" shrinkToFit="false"/>
      <protection locked="true" hidden="false"/>
    </xf>
    <xf numFmtId="166" fontId="8" fillId="5" borderId="6" xfId="0" applyFont="true" applyBorder="true" applyAlignment="true" applyProtection="true">
      <alignment horizontal="left" vertical="center" textRotation="0" wrapText="false" indent="0" shrinkToFit="false"/>
      <protection locked="true" hidden="false"/>
    </xf>
    <xf numFmtId="167" fontId="8" fillId="5" borderId="6" xfId="0" applyFont="true" applyBorder="true" applyAlignment="true" applyProtection="true">
      <alignment horizontal="left" vertical="center" textRotation="0" wrapText="false" indent="0" shrinkToFit="false"/>
      <protection locked="true" hidden="false"/>
    </xf>
    <xf numFmtId="164" fontId="6" fillId="6" borderId="14" xfId="0" applyFont="true" applyBorder="true" applyAlignment="true" applyProtection="true">
      <alignment horizontal="left" vertical="center" textRotation="0" wrapText="false" indent="0" shrinkToFit="false"/>
      <protection locked="true" hidden="false"/>
    </xf>
    <xf numFmtId="164" fontId="6" fillId="2" borderId="15" xfId="0" applyFont="true" applyBorder="true" applyAlignment="true" applyProtection="true">
      <alignment horizontal="center" vertical="center" textRotation="0" wrapText="false" indent="0" shrinkToFit="false"/>
      <protection locked="true" hidden="false"/>
    </xf>
    <xf numFmtId="164" fontId="7" fillId="2" borderId="16" xfId="0" applyFont="true" applyBorder="true" applyAlignment="true" applyProtection="true">
      <alignment horizontal="center" vertical="center" textRotation="0" wrapText="false" indent="0" shrinkToFit="false"/>
      <protection locked="true" hidden="false"/>
    </xf>
    <xf numFmtId="164" fontId="7" fillId="2" borderId="4" xfId="0" applyFont="true" applyBorder="true" applyAlignment="true" applyProtection="true">
      <alignment horizontal="center" vertical="center" textRotation="0" wrapText="false" indent="0" shrinkToFit="false"/>
      <protection locked="true" hidden="false"/>
    </xf>
    <xf numFmtId="164" fontId="6" fillId="2" borderId="3" xfId="0" applyFont="true" applyBorder="true" applyAlignment="true" applyProtection="true">
      <alignment horizontal="center" vertical="center" textRotation="0" wrapText="false" indent="0" shrinkToFit="false"/>
      <protection locked="true" hidden="false"/>
    </xf>
    <xf numFmtId="164" fontId="5" fillId="0" borderId="6" xfId="0" applyFont="true" applyBorder="true" applyAlignment="true" applyProtection="true">
      <alignment horizontal="center" vertical="bottom" textRotation="0" wrapText="false" indent="0" shrinkToFit="false"/>
      <protection locked="true" hidden="false"/>
    </xf>
    <xf numFmtId="164" fontId="10" fillId="5" borderId="17" xfId="0" applyFont="true" applyBorder="true" applyAlignment="true" applyProtection="true">
      <alignment horizontal="center" vertical="center" textRotation="0" wrapText="false" indent="0" shrinkToFit="false"/>
      <protection locked="true" hidden="false"/>
    </xf>
    <xf numFmtId="164" fontId="6" fillId="7" borderId="14" xfId="0" applyFont="true" applyBorder="true" applyAlignment="true" applyProtection="true">
      <alignment horizontal="left" vertical="center" textRotation="0" wrapText="false" indent="0" shrinkToFit="false"/>
      <protection locked="true" hidden="false"/>
    </xf>
    <xf numFmtId="168" fontId="10" fillId="5" borderId="6" xfId="0" applyFont="true" applyBorder="true" applyAlignment="true" applyProtection="true">
      <alignment horizontal="left" vertical="center" textRotation="0" wrapText="false" indent="0" shrinkToFit="false"/>
      <protection locked="true" hidden="false"/>
    </xf>
    <xf numFmtId="169" fontId="10" fillId="5" borderId="6" xfId="0" applyFont="true" applyBorder="true" applyAlignment="true" applyProtection="true">
      <alignment horizontal="left" vertical="center" textRotation="0" wrapText="false" indent="0" shrinkToFit="false"/>
      <protection locked="true" hidden="false"/>
    </xf>
    <xf numFmtId="170" fontId="10" fillId="5" borderId="17" xfId="0" applyFont="true" applyBorder="true" applyAlignment="true" applyProtection="true">
      <alignment horizontal="center" vertical="center" textRotation="0" wrapText="false" indent="0" shrinkToFit="false"/>
      <protection locked="true" hidden="false"/>
    </xf>
    <xf numFmtId="171" fontId="10" fillId="5" borderId="18" xfId="0" applyFont="true" applyBorder="true" applyAlignment="true" applyProtection="true">
      <alignment horizontal="left" vertical="center" textRotation="0" wrapText="false" indent="0" shrinkToFit="false"/>
      <protection locked="true" hidden="false"/>
    </xf>
    <xf numFmtId="164" fontId="6" fillId="6" borderId="4" xfId="0" applyFont="true" applyBorder="true" applyAlignment="true" applyProtection="true">
      <alignment horizontal="left" vertical="center" textRotation="0" wrapText="false" indent="0" shrinkToFit="false"/>
      <protection locked="true" hidden="false"/>
    </xf>
    <xf numFmtId="164" fontId="6" fillId="6" borderId="5" xfId="0" applyFont="true" applyBorder="true" applyAlignment="true" applyProtection="true">
      <alignment horizontal="left" vertical="center" textRotation="0" wrapText="false" indent="0" shrinkToFit="false"/>
      <protection locked="true" hidden="false"/>
    </xf>
    <xf numFmtId="164" fontId="7" fillId="2" borderId="16" xfId="0" applyFont="true" applyBorder="true" applyAlignment="true" applyProtection="true">
      <alignment horizontal="left" vertical="center" textRotation="0" wrapText="false" indent="0" shrinkToFit="false"/>
      <protection locked="true" hidden="false"/>
    </xf>
    <xf numFmtId="164" fontId="6" fillId="2" borderId="18" xfId="0" applyFont="true" applyBorder="true" applyAlignment="true" applyProtection="true">
      <alignment horizontal="center" vertical="center" textRotation="0" wrapText="false" indent="0" shrinkToFit="false"/>
      <protection locked="true" hidden="false"/>
    </xf>
    <xf numFmtId="164" fontId="6" fillId="5" borderId="11" xfId="0" applyFont="true" applyBorder="true" applyAlignment="true" applyProtection="true">
      <alignment horizontal="left" vertical="center" textRotation="0" wrapText="false" indent="0" shrinkToFit="false"/>
      <protection locked="true" hidden="false"/>
    </xf>
    <xf numFmtId="164" fontId="10" fillId="5" borderId="6" xfId="0" applyFont="true" applyBorder="true" applyAlignment="true" applyProtection="true">
      <alignment horizontal="left" vertical="center" textRotation="0" wrapText="false" indent="0" shrinkToFit="false"/>
      <protection locked="true" hidden="false"/>
    </xf>
    <xf numFmtId="168" fontId="6" fillId="5" borderId="6" xfId="0" applyFont="true" applyBorder="true" applyAlignment="true" applyProtection="true">
      <alignment horizontal="left" vertical="center" textRotation="0" wrapText="false" indent="0" shrinkToFit="false"/>
      <protection locked="true" hidden="false"/>
    </xf>
    <xf numFmtId="164" fontId="6" fillId="2" borderId="19" xfId="0" applyFont="true" applyBorder="true" applyAlignment="true" applyProtection="true">
      <alignment horizontal="center" vertical="center" textRotation="0" wrapText="false" indent="0" shrinkToFit="false"/>
      <protection locked="true" hidden="false"/>
    </xf>
    <xf numFmtId="164" fontId="6" fillId="0" borderId="11" xfId="0" applyFont="true" applyBorder="true" applyAlignment="true" applyProtection="true">
      <alignment horizontal="left" vertical="center" textRotation="0" wrapText="false" indent="0" shrinkToFit="false"/>
      <protection locked="true" hidden="false"/>
    </xf>
    <xf numFmtId="164" fontId="10" fillId="8" borderId="6" xfId="0" applyFont="true" applyBorder="true" applyAlignment="true" applyProtection="true">
      <alignment horizontal="left" vertical="center" textRotation="0" wrapText="false" indent="0" shrinkToFit="false"/>
      <protection locked="true" hidden="false"/>
    </xf>
    <xf numFmtId="168" fontId="6" fillId="0" borderId="6" xfId="0" applyFont="true" applyBorder="true" applyAlignment="true" applyProtection="true">
      <alignment horizontal="left" vertical="center" textRotation="0" wrapText="false" indent="0" shrinkToFit="false"/>
      <protection locked="true" hidden="false"/>
    </xf>
    <xf numFmtId="168" fontId="6" fillId="0" borderId="3" xfId="0" applyFont="true" applyBorder="true" applyAlignment="true" applyProtection="true">
      <alignment horizontal="left" vertical="center" textRotation="0" wrapText="false" indent="0" shrinkToFit="false"/>
      <protection locked="true" hidden="false"/>
    </xf>
    <xf numFmtId="164" fontId="6" fillId="9" borderId="6" xfId="0" applyFont="true" applyBorder="true" applyAlignment="true" applyProtection="true">
      <alignment horizontal="center" vertical="center" textRotation="0" wrapText="false" indent="0" shrinkToFit="false"/>
      <protection locked="true" hidden="false"/>
    </xf>
    <xf numFmtId="164" fontId="6" fillId="2" borderId="14" xfId="0" applyFont="true" applyBorder="true" applyAlignment="true" applyProtection="true">
      <alignment horizontal="center" vertical="center" textRotation="0" wrapText="false" indent="0" shrinkToFit="false"/>
      <protection locked="true" hidden="false"/>
    </xf>
    <xf numFmtId="164" fontId="6" fillId="6" borderId="20" xfId="0" applyFont="true" applyBorder="true" applyAlignment="true" applyProtection="true">
      <alignment horizontal="general" vertical="center" textRotation="0" wrapText="false" indent="0" shrinkToFit="false"/>
      <protection locked="true" hidden="false"/>
    </xf>
    <xf numFmtId="164" fontId="5" fillId="0" borderId="4" xfId="0" applyFont="true" applyBorder="true" applyAlignment="true" applyProtection="true">
      <alignment horizontal="left" vertical="center" textRotation="0" wrapText="false" indent="0" shrinkToFit="false"/>
      <protection locked="true" hidden="false"/>
    </xf>
    <xf numFmtId="164" fontId="6" fillId="6" borderId="16" xfId="0" applyFont="true" applyBorder="true" applyAlignment="true" applyProtection="true">
      <alignment horizontal="general" vertical="center" textRotation="0" wrapText="false" indent="0" shrinkToFit="false"/>
      <protection locked="true" hidden="false"/>
    </xf>
    <xf numFmtId="164" fontId="5" fillId="0" borderId="6" xfId="0" applyFont="true" applyBorder="true" applyAlignment="true" applyProtection="true">
      <alignment horizontal="left" vertical="bottom" textRotation="0" wrapText="false" indent="0" shrinkToFit="false"/>
      <protection locked="true" hidden="false"/>
    </xf>
    <xf numFmtId="164" fontId="6" fillId="6" borderId="11" xfId="0" applyFont="true" applyBorder="true" applyAlignment="true" applyProtection="true">
      <alignment horizontal="general" vertical="center" textRotation="0" wrapText="false" indent="0" shrinkToFit="false"/>
      <protection locked="true" hidden="false"/>
    </xf>
    <xf numFmtId="164" fontId="6" fillId="2" borderId="16" xfId="0" applyFont="true" applyBorder="true" applyAlignment="true" applyProtection="true">
      <alignment horizontal="general" vertical="center" textRotation="0" wrapText="false" indent="0" shrinkToFit="false"/>
      <protection locked="true" hidden="false"/>
    </xf>
    <xf numFmtId="164" fontId="6" fillId="0" borderId="21" xfId="0" applyFont="true" applyBorder="true" applyAlignment="true" applyProtection="true">
      <alignment horizontal="left" vertical="center" textRotation="0" wrapText="false" indent="0" shrinkToFit="false"/>
      <protection locked="true" hidden="false"/>
    </xf>
    <xf numFmtId="164" fontId="5" fillId="0" borderId="21" xfId="0" applyFont="true" applyBorder="true" applyAlignment="true" applyProtection="true">
      <alignment horizontal="left" vertical="bottom" textRotation="0" wrapText="false" indent="0" shrinkToFit="false"/>
      <protection locked="true" hidden="false"/>
    </xf>
    <xf numFmtId="164" fontId="6" fillId="2" borderId="6" xfId="0" applyFont="true" applyBorder="true" applyAlignment="true" applyProtection="true">
      <alignment horizontal="center" vertical="center" textRotation="0" wrapText="false" indent="0" shrinkToFit="false"/>
      <protection locked="true" hidden="false"/>
    </xf>
    <xf numFmtId="164" fontId="6" fillId="2" borderId="11" xfId="0" applyFont="true" applyBorder="true" applyAlignment="true" applyProtection="true">
      <alignment horizontal="general" vertical="center" textRotation="0" wrapText="false" indent="0" shrinkToFit="false"/>
      <protection locked="true" hidden="false"/>
    </xf>
    <xf numFmtId="164" fontId="6" fillId="6" borderId="14" xfId="0" applyFont="true" applyBorder="true" applyAlignment="true" applyProtection="true">
      <alignment horizontal="general" vertical="center" textRotation="0" wrapText="false" indent="0" shrinkToFit="false"/>
      <protection locked="true" hidden="false"/>
    </xf>
    <xf numFmtId="164" fontId="6" fillId="0" borderId="17" xfId="0" applyFont="true" applyBorder="true" applyAlignment="true" applyProtection="true">
      <alignment horizontal="left" vertical="center" textRotation="0" wrapText="false" indent="0" shrinkToFit="false"/>
      <protection locked="true" hidden="false"/>
    </xf>
    <xf numFmtId="164" fontId="6" fillId="0" borderId="20" xfId="0" applyFont="true" applyBorder="true" applyAlignment="true" applyProtection="true">
      <alignment horizontal="general" vertical="center" textRotation="0" wrapText="false" indent="0" shrinkToFit="false"/>
      <protection locked="true" hidden="false"/>
    </xf>
    <xf numFmtId="164" fontId="6" fillId="0" borderId="22" xfId="0" applyFont="true" applyBorder="true" applyAlignment="true" applyProtection="true">
      <alignment horizontal="center" vertical="center" textRotation="0" wrapText="false" indent="0" shrinkToFit="false"/>
      <protection locked="true" hidden="false"/>
    </xf>
    <xf numFmtId="164" fontId="6" fillId="0" borderId="11" xfId="0" applyFont="true" applyBorder="true" applyAlignment="true" applyProtection="true">
      <alignment horizontal="general" vertical="center" textRotation="0" wrapText="false" indent="0" shrinkToFit="false"/>
      <protection locked="true" hidden="false"/>
    </xf>
    <xf numFmtId="164" fontId="6" fillId="0" borderId="6"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B7E1CD"/>
        </patternFill>
      </fill>
    </dxf>
  </dxf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FFFCC"/>
      <rgbColor rgb="FFDEEAF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B7E1CD"/>
      <rgbColor rgb="FFFFE598"/>
      <rgbColor rgb="FF99CCFF"/>
      <rgbColor rgb="FFF6B26B"/>
      <rgbColor rgb="FFCC99FF"/>
      <rgbColor rgb="FFF9CB9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21</xdr:row>
      <xdr:rowOff>92880</xdr:rowOff>
    </xdr:from>
    <xdr:to>
      <xdr:col>5</xdr:col>
      <xdr:colOff>322920</xdr:colOff>
      <xdr:row>23</xdr:row>
      <xdr:rowOff>15840</xdr:rowOff>
    </xdr:to>
    <xdr:sp>
      <xdr:nvSpPr>
        <xdr:cNvPr id="1" name="Shape 3" descr="https://drive.google.com/uc?export=view&amp;amp;id=1b-cOcFlWWO18sOf1C2PFIW_hui9hvMD_"/>
        <xdr:cNvSpPr/>
      </xdr:nvSpPr>
      <xdr:spPr>
        <a:xfrm>
          <a:off x="9283680" y="4687920"/>
          <a:ext cx="322920" cy="322920"/>
        </a:xfrm>
        <a:prstGeom prst="rect">
          <a:avLst/>
        </a:prstGeom>
        <a:noFill/>
        <a:ln w="0">
          <a:noFill/>
        </a:ln>
      </xdr:spPr>
      <xdr:style>
        <a:lnRef idx="0"/>
        <a:fillRef idx="0"/>
        <a:effectRef idx="0"/>
        <a:fontRef idx="minor"/>
      </xdr:style>
    </xdr:sp>
    <xdr:clientData/>
  </xdr:twoCellAnchor>
  <xdr:twoCellAnchor editAs="oneCell">
    <xdr:from>
      <xdr:col>5</xdr:col>
      <xdr:colOff>0</xdr:colOff>
      <xdr:row>21</xdr:row>
      <xdr:rowOff>92880</xdr:rowOff>
    </xdr:from>
    <xdr:to>
      <xdr:col>5</xdr:col>
      <xdr:colOff>322920</xdr:colOff>
      <xdr:row>23</xdr:row>
      <xdr:rowOff>15840</xdr:rowOff>
    </xdr:to>
    <xdr:sp>
      <xdr:nvSpPr>
        <xdr:cNvPr id="2" name="Shape 3" descr="https://drive.google.com/uc?export=view&amp;amp;id=1b-cOcFlWWO18sOf1C2PFIW_hui9hvMD_"/>
        <xdr:cNvSpPr/>
      </xdr:nvSpPr>
      <xdr:spPr>
        <a:xfrm>
          <a:off x="9283680" y="4687920"/>
          <a:ext cx="322920" cy="322920"/>
        </a:xfrm>
        <a:prstGeom prst="rect">
          <a:avLst/>
        </a:prstGeom>
        <a:noFill/>
        <a:ln w="0">
          <a:noFill/>
        </a:ln>
      </xdr:spPr>
      <xdr:style>
        <a:lnRef idx="0"/>
        <a:fillRef idx="0"/>
        <a:effectRef idx="0"/>
        <a:fontRef idx="minor"/>
      </xdr:style>
    </xdr:sp>
    <xdr:clientData/>
  </xdr:twoCellAnchor>
  <xdr:twoCellAnchor editAs="oneCell">
    <xdr:from>
      <xdr:col>6</xdr:col>
      <xdr:colOff>409680</xdr:colOff>
      <xdr:row>0</xdr:row>
      <xdr:rowOff>47520</xdr:rowOff>
    </xdr:from>
    <xdr:to>
      <xdr:col>6</xdr:col>
      <xdr:colOff>1465920</xdr:colOff>
      <xdr:row>2</xdr:row>
      <xdr:rowOff>103680</xdr:rowOff>
    </xdr:to>
    <xdr:pic>
      <xdr:nvPicPr>
        <xdr:cNvPr id="3" name="image1.png"/>
        <xdr:cNvPicPr/>
      </xdr:nvPicPr>
      <xdr:blipFill>
        <a:blip r:embed="rId1"/>
        <a:stretch/>
      </xdr:blipFill>
      <xdr:spPr>
        <a:xfrm>
          <a:off x="10730160" y="47520"/>
          <a:ext cx="1056240" cy="437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I28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8</v>
      </c>
      <c r="K1" s="1" t="s">
        <v>9</v>
      </c>
      <c r="L1" s="1" t="s">
        <v>10</v>
      </c>
      <c r="M1" s="1" t="s">
        <v>11</v>
      </c>
      <c r="N1" s="1" t="s">
        <v>12</v>
      </c>
      <c r="O1" s="1" t="s">
        <v>1</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row>
    <row r="2" customFormat="false" ht="15" hidden="false" customHeight="false" outlineLevel="0" collapsed="false">
      <c r="A2" s="1" t="s">
        <v>59</v>
      </c>
      <c r="B2" s="1" t="s">
        <v>60</v>
      </c>
      <c r="C2" s="1" t="s">
        <v>61</v>
      </c>
      <c r="D2" s="1" t="s">
        <v>62</v>
      </c>
      <c r="E2" s="1" t="s">
        <v>59</v>
      </c>
      <c r="F2" s="1" t="s">
        <v>63</v>
      </c>
      <c r="G2" s="1" t="s">
        <v>59</v>
      </c>
      <c r="H2" s="1" t="s">
        <v>64</v>
      </c>
      <c r="K2" s="1" t="s">
        <v>65</v>
      </c>
      <c r="L2" s="1" t="s">
        <v>66</v>
      </c>
      <c r="M2" s="1" t="s">
        <v>67</v>
      </c>
      <c r="N2" s="1" t="s">
        <v>68</v>
      </c>
      <c r="O2" s="1" t="s">
        <v>69</v>
      </c>
      <c r="P2" s="1"/>
      <c r="Q2" s="1" t="s">
        <v>70</v>
      </c>
      <c r="U2" s="1" t="s">
        <v>59</v>
      </c>
      <c r="Z2" s="1" t="s">
        <v>71</v>
      </c>
      <c r="AE2" s="1" t="s">
        <v>72</v>
      </c>
      <c r="AH2" s="1" t="s">
        <v>73</v>
      </c>
      <c r="AK2" s="1" t="s">
        <v>71</v>
      </c>
      <c r="AM2" s="1" t="s">
        <v>71</v>
      </c>
      <c r="AN2" s="1" t="s">
        <v>71</v>
      </c>
      <c r="AS2" s="1" t="s">
        <v>71</v>
      </c>
      <c r="AX2" s="1" t="s">
        <v>71</v>
      </c>
      <c r="AY2" s="1" t="s">
        <v>59</v>
      </c>
      <c r="AZ2" s="1" t="s">
        <v>74</v>
      </c>
      <c r="BH2" s="1" t="s">
        <v>71</v>
      </c>
    </row>
    <row r="3" customFormat="false" ht="15" hidden="false" customHeight="false" outlineLevel="0" collapsed="false">
      <c r="A3" s="1" t="s">
        <v>65</v>
      </c>
      <c r="B3" s="1" t="s">
        <v>75</v>
      </c>
      <c r="C3" s="1" t="s">
        <v>76</v>
      </c>
      <c r="D3" s="1" t="s">
        <v>77</v>
      </c>
      <c r="E3" s="1" t="s">
        <v>59</v>
      </c>
      <c r="F3" s="1" t="s">
        <v>63</v>
      </c>
      <c r="G3" s="1" t="s">
        <v>59</v>
      </c>
      <c r="H3" s="1" t="s">
        <v>64</v>
      </c>
      <c r="K3" s="1" t="s">
        <v>61</v>
      </c>
      <c r="L3" s="1" t="s">
        <v>78</v>
      </c>
      <c r="M3" s="1" t="s">
        <v>67</v>
      </c>
      <c r="N3" s="1" t="s">
        <v>79</v>
      </c>
      <c r="O3" s="1" t="s">
        <v>80</v>
      </c>
      <c r="P3" s="1"/>
      <c r="Q3" s="1" t="s">
        <v>70</v>
      </c>
      <c r="U3" s="1" t="s">
        <v>65</v>
      </c>
      <c r="Z3" s="1" t="s">
        <v>71</v>
      </c>
      <c r="AE3" s="1" t="s">
        <v>72</v>
      </c>
      <c r="AH3" s="1" t="s">
        <v>73</v>
      </c>
      <c r="AK3" s="1" t="s">
        <v>71</v>
      </c>
      <c r="AM3" s="1" t="s">
        <v>71</v>
      </c>
      <c r="AN3" s="1" t="s">
        <v>71</v>
      </c>
      <c r="AS3" s="1" t="s">
        <v>71</v>
      </c>
      <c r="AX3" s="1" t="s">
        <v>71</v>
      </c>
      <c r="AY3" s="1" t="s">
        <v>59</v>
      </c>
      <c r="AZ3" s="1" t="s">
        <v>74</v>
      </c>
      <c r="BH3" s="1" t="s">
        <v>71</v>
      </c>
    </row>
    <row r="4" customFormat="false" ht="15" hidden="false" customHeight="false" outlineLevel="0" collapsed="false">
      <c r="A4" s="1" t="s">
        <v>61</v>
      </c>
      <c r="B4" s="1" t="s">
        <v>81</v>
      </c>
      <c r="C4" s="1" t="s">
        <v>61</v>
      </c>
      <c r="D4" s="1" t="s">
        <v>62</v>
      </c>
      <c r="E4" s="1" t="s">
        <v>59</v>
      </c>
      <c r="F4" s="1" t="s">
        <v>63</v>
      </c>
      <c r="G4" s="1" t="s">
        <v>59</v>
      </c>
      <c r="H4" s="1" t="s">
        <v>64</v>
      </c>
      <c r="K4" s="1" t="s">
        <v>82</v>
      </c>
      <c r="L4" s="1" t="s">
        <v>83</v>
      </c>
      <c r="M4" s="1" t="s">
        <v>84</v>
      </c>
      <c r="N4" s="1" t="s">
        <v>85</v>
      </c>
      <c r="O4" s="1" t="s">
        <v>86</v>
      </c>
      <c r="P4" s="1"/>
      <c r="Q4" s="1" t="s">
        <v>70</v>
      </c>
      <c r="U4" s="1" t="s">
        <v>61</v>
      </c>
      <c r="Z4" s="1" t="s">
        <v>71</v>
      </c>
      <c r="AE4" s="1" t="s">
        <v>72</v>
      </c>
      <c r="AH4" s="1" t="s">
        <v>73</v>
      </c>
      <c r="AK4" s="1" t="s">
        <v>71</v>
      </c>
      <c r="AM4" s="1" t="s">
        <v>71</v>
      </c>
      <c r="AN4" s="1" t="s">
        <v>71</v>
      </c>
      <c r="AS4" s="1" t="s">
        <v>71</v>
      </c>
      <c r="AY4" s="1" t="s">
        <v>59</v>
      </c>
      <c r="AZ4" s="1" t="s">
        <v>74</v>
      </c>
      <c r="BH4" s="1" t="s">
        <v>71</v>
      </c>
    </row>
    <row r="5" customFormat="false" ht="15" hidden="false" customHeight="false" outlineLevel="0" collapsed="false">
      <c r="A5" s="1" t="s">
        <v>82</v>
      </c>
      <c r="B5" s="1" t="s">
        <v>87</v>
      </c>
      <c r="C5" s="1" t="s">
        <v>61</v>
      </c>
      <c r="D5" s="1" t="s">
        <v>62</v>
      </c>
      <c r="E5" s="1" t="s">
        <v>59</v>
      </c>
      <c r="F5" s="1" t="s">
        <v>63</v>
      </c>
      <c r="G5" s="1" t="s">
        <v>59</v>
      </c>
      <c r="H5" s="1" t="s">
        <v>64</v>
      </c>
      <c r="K5" s="1" t="s">
        <v>88</v>
      </c>
      <c r="L5" s="1" t="s">
        <v>89</v>
      </c>
      <c r="M5" s="1" t="s">
        <v>90</v>
      </c>
      <c r="N5" s="1" t="s">
        <v>85</v>
      </c>
      <c r="O5" s="1" t="s">
        <v>86</v>
      </c>
      <c r="P5" s="1"/>
      <c r="Q5" s="1" t="s">
        <v>70</v>
      </c>
      <c r="U5" s="1" t="s">
        <v>82</v>
      </c>
      <c r="Z5" s="1" t="s">
        <v>71</v>
      </c>
      <c r="AA5" s="1" t="s">
        <v>91</v>
      </c>
      <c r="AE5" s="1" t="s">
        <v>92</v>
      </c>
      <c r="AH5" s="1" t="s">
        <v>73</v>
      </c>
      <c r="AK5" s="1" t="s">
        <v>71</v>
      </c>
      <c r="AM5" s="1" t="s">
        <v>71</v>
      </c>
      <c r="AN5" s="1" t="s">
        <v>71</v>
      </c>
      <c r="AS5" s="1" t="s">
        <v>71</v>
      </c>
      <c r="AX5" s="1" t="s">
        <v>71</v>
      </c>
      <c r="AY5" s="1" t="s">
        <v>59</v>
      </c>
      <c r="AZ5" s="1" t="s">
        <v>74</v>
      </c>
      <c r="BH5" s="1" t="s">
        <v>71</v>
      </c>
    </row>
    <row r="6" customFormat="false" ht="15" hidden="false" customHeight="false" outlineLevel="0" collapsed="false">
      <c r="A6" s="1" t="s">
        <v>93</v>
      </c>
      <c r="B6" s="1" t="s">
        <v>94</v>
      </c>
      <c r="C6" s="1" t="s">
        <v>61</v>
      </c>
      <c r="D6" s="1" t="s">
        <v>62</v>
      </c>
      <c r="E6" s="1" t="s">
        <v>59</v>
      </c>
      <c r="F6" s="1" t="s">
        <v>63</v>
      </c>
      <c r="G6" s="1" t="s">
        <v>59</v>
      </c>
      <c r="H6" s="1" t="s">
        <v>64</v>
      </c>
      <c r="K6" s="1" t="s">
        <v>93</v>
      </c>
      <c r="L6" s="1" t="s">
        <v>95</v>
      </c>
      <c r="M6" s="1" t="s">
        <v>96</v>
      </c>
      <c r="N6" s="1" t="s">
        <v>85</v>
      </c>
      <c r="O6" s="1" t="s">
        <v>86</v>
      </c>
      <c r="P6" s="1"/>
      <c r="Q6" s="1" t="s">
        <v>70</v>
      </c>
      <c r="U6" s="1" t="s">
        <v>93</v>
      </c>
      <c r="Z6" s="1" t="s">
        <v>71</v>
      </c>
      <c r="AA6" s="1" t="s">
        <v>91</v>
      </c>
      <c r="AE6" s="1" t="s">
        <v>92</v>
      </c>
      <c r="AH6" s="1" t="s">
        <v>73</v>
      </c>
      <c r="AK6" s="1" t="s">
        <v>71</v>
      </c>
      <c r="AM6" s="1" t="s">
        <v>71</v>
      </c>
      <c r="AN6" s="1" t="s">
        <v>71</v>
      </c>
      <c r="AS6" s="1" t="s">
        <v>71</v>
      </c>
      <c r="AX6" s="1" t="s">
        <v>71</v>
      </c>
      <c r="AY6" s="1" t="s">
        <v>59</v>
      </c>
      <c r="AZ6" s="1" t="s">
        <v>74</v>
      </c>
      <c r="BH6" s="1" t="s">
        <v>71</v>
      </c>
    </row>
    <row r="7" customFormat="false" ht="15" hidden="false" customHeight="false" outlineLevel="0" collapsed="false">
      <c r="A7" s="1" t="s">
        <v>97</v>
      </c>
      <c r="B7" s="1" t="s">
        <v>98</v>
      </c>
      <c r="C7" s="1" t="s">
        <v>99</v>
      </c>
      <c r="D7" s="1" t="s">
        <v>100</v>
      </c>
      <c r="E7" s="1" t="s">
        <v>61</v>
      </c>
      <c r="F7" s="1" t="s">
        <v>101</v>
      </c>
      <c r="G7" s="1" t="s">
        <v>93</v>
      </c>
      <c r="H7" s="1" t="s">
        <v>64</v>
      </c>
      <c r="K7" s="1" t="s">
        <v>102</v>
      </c>
      <c r="L7" s="1" t="s">
        <v>103</v>
      </c>
      <c r="M7" s="1" t="s">
        <v>104</v>
      </c>
      <c r="N7" s="1" t="s">
        <v>105</v>
      </c>
      <c r="O7" s="1" t="s">
        <v>106</v>
      </c>
      <c r="P7" s="1"/>
      <c r="Q7" s="1" t="s">
        <v>70</v>
      </c>
      <c r="U7" s="1" t="s">
        <v>97</v>
      </c>
      <c r="Z7" s="1" t="s">
        <v>71</v>
      </c>
      <c r="AE7" s="1" t="s">
        <v>107</v>
      </c>
      <c r="AH7" s="1" t="s">
        <v>73</v>
      </c>
      <c r="AK7" s="1" t="s">
        <v>71</v>
      </c>
      <c r="AM7" s="1" t="s">
        <v>71</v>
      </c>
      <c r="AN7" s="1" t="s">
        <v>71</v>
      </c>
      <c r="AS7" s="1" t="s">
        <v>71</v>
      </c>
      <c r="AX7" s="1" t="s">
        <v>71</v>
      </c>
      <c r="AY7" s="1" t="s">
        <v>59</v>
      </c>
      <c r="AZ7" s="1" t="s">
        <v>74</v>
      </c>
      <c r="BH7" s="1" t="s">
        <v>71</v>
      </c>
    </row>
    <row r="8" customFormat="false" ht="15" hidden="false" customHeight="false" outlineLevel="0" collapsed="false">
      <c r="A8" s="1" t="s">
        <v>108</v>
      </c>
      <c r="B8" s="1" t="s">
        <v>109</v>
      </c>
      <c r="C8" s="1" t="s">
        <v>110</v>
      </c>
      <c r="D8" s="1" t="s">
        <v>111</v>
      </c>
      <c r="E8" s="1" t="s">
        <v>61</v>
      </c>
      <c r="F8" s="1" t="s">
        <v>101</v>
      </c>
      <c r="G8" s="1" t="s">
        <v>93</v>
      </c>
      <c r="H8" s="1" t="s">
        <v>64</v>
      </c>
      <c r="K8" s="1" t="s">
        <v>112</v>
      </c>
      <c r="L8" s="1" t="s">
        <v>113</v>
      </c>
      <c r="M8" s="1" t="s">
        <v>104</v>
      </c>
      <c r="N8" s="1" t="s">
        <v>105</v>
      </c>
      <c r="O8" s="1" t="s">
        <v>106</v>
      </c>
      <c r="P8" s="1"/>
      <c r="Q8" s="1" t="s">
        <v>70</v>
      </c>
      <c r="U8" s="1" t="s">
        <v>114</v>
      </c>
      <c r="Z8" s="1" t="s">
        <v>71</v>
      </c>
      <c r="AE8" s="1" t="s">
        <v>107</v>
      </c>
      <c r="AH8" s="1" t="s">
        <v>73</v>
      </c>
      <c r="AK8" s="1" t="s">
        <v>71</v>
      </c>
      <c r="AM8" s="1" t="s">
        <v>71</v>
      </c>
      <c r="AN8" s="1" t="s">
        <v>71</v>
      </c>
      <c r="AS8" s="1" t="s">
        <v>71</v>
      </c>
      <c r="AX8" s="1" t="s">
        <v>71</v>
      </c>
      <c r="AY8" s="1" t="s">
        <v>59</v>
      </c>
      <c r="AZ8" s="1" t="s">
        <v>74</v>
      </c>
      <c r="BH8" s="1" t="s">
        <v>71</v>
      </c>
    </row>
    <row r="9" customFormat="false" ht="15" hidden="false" customHeight="false" outlineLevel="0" collapsed="false">
      <c r="A9" s="1" t="s">
        <v>115</v>
      </c>
      <c r="B9" s="1" t="s">
        <v>116</v>
      </c>
      <c r="C9" s="1" t="s">
        <v>117</v>
      </c>
      <c r="D9" s="1" t="s">
        <v>118</v>
      </c>
      <c r="E9" s="1" t="s">
        <v>65</v>
      </c>
      <c r="F9" s="1" t="s">
        <v>119</v>
      </c>
      <c r="G9" s="1" t="s">
        <v>65</v>
      </c>
      <c r="H9" s="1" t="s">
        <v>64</v>
      </c>
      <c r="K9" s="1" t="s">
        <v>120</v>
      </c>
      <c r="L9" s="1" t="s">
        <v>121</v>
      </c>
      <c r="M9" s="1" t="s">
        <v>122</v>
      </c>
      <c r="N9" s="1" t="s">
        <v>123</v>
      </c>
      <c r="O9" s="1" t="s">
        <v>124</v>
      </c>
      <c r="P9" s="1"/>
      <c r="Q9" s="1" t="s">
        <v>70</v>
      </c>
      <c r="U9" s="1" t="s">
        <v>115</v>
      </c>
      <c r="Z9" s="1" t="s">
        <v>71</v>
      </c>
      <c r="AE9" s="1" t="s">
        <v>125</v>
      </c>
      <c r="AH9" s="1" t="s">
        <v>73</v>
      </c>
      <c r="AK9" s="1" t="s">
        <v>71</v>
      </c>
      <c r="AM9" s="1" t="s">
        <v>71</v>
      </c>
      <c r="AN9" s="1" t="s">
        <v>71</v>
      </c>
      <c r="AS9" s="1" t="s">
        <v>71</v>
      </c>
      <c r="AX9" s="1" t="s">
        <v>71</v>
      </c>
      <c r="AY9" s="1" t="s">
        <v>59</v>
      </c>
      <c r="AZ9" s="1" t="s">
        <v>74</v>
      </c>
      <c r="BH9" s="1" t="s">
        <v>71</v>
      </c>
    </row>
    <row r="10" customFormat="false" ht="15" hidden="false" customHeight="false" outlineLevel="0" collapsed="false">
      <c r="A10" s="1" t="s">
        <v>126</v>
      </c>
      <c r="B10" s="1" t="s">
        <v>127</v>
      </c>
      <c r="C10" s="1" t="s">
        <v>128</v>
      </c>
      <c r="D10" s="1" t="s">
        <v>129</v>
      </c>
      <c r="E10" s="1" t="s">
        <v>59</v>
      </c>
      <c r="F10" s="1" t="s">
        <v>63</v>
      </c>
      <c r="G10" s="1" t="s">
        <v>59</v>
      </c>
      <c r="H10" s="1" t="s">
        <v>64</v>
      </c>
      <c r="K10" s="1" t="s">
        <v>65</v>
      </c>
      <c r="L10" s="1" t="s">
        <v>66</v>
      </c>
      <c r="M10" s="1" t="s">
        <v>67</v>
      </c>
      <c r="N10" s="1" t="s">
        <v>68</v>
      </c>
      <c r="O10" s="1" t="s">
        <v>69</v>
      </c>
      <c r="P10" s="1"/>
      <c r="Q10" s="1" t="s">
        <v>70</v>
      </c>
      <c r="U10" s="1" t="s">
        <v>126</v>
      </c>
      <c r="Z10" s="1" t="s">
        <v>71</v>
      </c>
      <c r="AE10" s="1" t="s">
        <v>92</v>
      </c>
      <c r="AH10" s="1" t="s">
        <v>73</v>
      </c>
      <c r="AK10" s="1" t="s">
        <v>71</v>
      </c>
      <c r="AM10" s="1" t="s">
        <v>71</v>
      </c>
      <c r="AN10" s="1" t="s">
        <v>71</v>
      </c>
      <c r="AS10" s="1" t="s">
        <v>71</v>
      </c>
      <c r="AX10" s="1" t="s">
        <v>71</v>
      </c>
      <c r="AY10" s="1" t="s">
        <v>59</v>
      </c>
      <c r="AZ10" s="1" t="s">
        <v>74</v>
      </c>
      <c r="BH10" s="1" t="s">
        <v>71</v>
      </c>
    </row>
    <row r="11" customFormat="false" ht="15" hidden="false" customHeight="false" outlineLevel="0" collapsed="false">
      <c r="A11" s="1" t="s">
        <v>130</v>
      </c>
      <c r="B11" s="1" t="s">
        <v>131</v>
      </c>
      <c r="C11" s="1" t="s">
        <v>128</v>
      </c>
      <c r="D11" s="1" t="s">
        <v>129</v>
      </c>
      <c r="E11" s="1" t="s">
        <v>59</v>
      </c>
      <c r="F11" s="1" t="s">
        <v>63</v>
      </c>
      <c r="G11" s="1" t="s">
        <v>59</v>
      </c>
      <c r="H11" s="1" t="s">
        <v>64</v>
      </c>
      <c r="K11" s="1" t="s">
        <v>61</v>
      </c>
      <c r="L11" s="1" t="s">
        <v>78</v>
      </c>
      <c r="M11" s="1" t="s">
        <v>67</v>
      </c>
      <c r="N11" s="1" t="s">
        <v>79</v>
      </c>
      <c r="O11" s="1" t="s">
        <v>80</v>
      </c>
      <c r="P11" s="1"/>
      <c r="Q11" s="1" t="s">
        <v>70</v>
      </c>
      <c r="U11" s="1" t="s">
        <v>130</v>
      </c>
      <c r="Z11" s="1" t="s">
        <v>71</v>
      </c>
      <c r="AE11" s="1" t="s">
        <v>92</v>
      </c>
      <c r="AH11" s="1" t="s">
        <v>73</v>
      </c>
      <c r="AK11" s="1" t="s">
        <v>71</v>
      </c>
      <c r="AM11" s="1" t="s">
        <v>71</v>
      </c>
      <c r="AN11" s="1" t="s">
        <v>71</v>
      </c>
      <c r="AS11" s="1" t="s">
        <v>71</v>
      </c>
      <c r="AX11" s="1" t="s">
        <v>71</v>
      </c>
      <c r="AY11" s="1" t="s">
        <v>59</v>
      </c>
      <c r="AZ11" s="1" t="s">
        <v>74</v>
      </c>
      <c r="BH11" s="1" t="s">
        <v>71</v>
      </c>
    </row>
    <row r="12" customFormat="false" ht="15" hidden="false" customHeight="false" outlineLevel="0" collapsed="false">
      <c r="A12" s="1" t="s">
        <v>132</v>
      </c>
      <c r="B12" s="1" t="s">
        <v>133</v>
      </c>
      <c r="C12" s="1" t="s">
        <v>128</v>
      </c>
      <c r="D12" s="1" t="s">
        <v>129</v>
      </c>
      <c r="E12" s="1" t="s">
        <v>59</v>
      </c>
      <c r="F12" s="1" t="s">
        <v>63</v>
      </c>
      <c r="G12" s="1" t="s">
        <v>59</v>
      </c>
      <c r="H12" s="1" t="s">
        <v>64</v>
      </c>
      <c r="K12" s="1" t="s">
        <v>82</v>
      </c>
      <c r="L12" s="1" t="s">
        <v>83</v>
      </c>
      <c r="M12" s="1" t="s">
        <v>84</v>
      </c>
      <c r="N12" s="1" t="s">
        <v>85</v>
      </c>
      <c r="O12" s="1" t="s">
        <v>86</v>
      </c>
      <c r="P12" s="1"/>
      <c r="Q12" s="1" t="s">
        <v>70</v>
      </c>
      <c r="U12" s="1" t="s">
        <v>132</v>
      </c>
      <c r="Z12" s="1" t="s">
        <v>71</v>
      </c>
      <c r="AE12" s="1" t="s">
        <v>92</v>
      </c>
      <c r="AH12" s="1" t="s">
        <v>73</v>
      </c>
      <c r="AK12" s="1" t="s">
        <v>71</v>
      </c>
      <c r="AM12" s="1" t="s">
        <v>71</v>
      </c>
      <c r="AN12" s="1" t="s">
        <v>71</v>
      </c>
      <c r="AS12" s="1" t="s">
        <v>71</v>
      </c>
      <c r="AX12" s="1" t="s">
        <v>71</v>
      </c>
      <c r="AY12" s="1" t="s">
        <v>59</v>
      </c>
      <c r="AZ12" s="1" t="s">
        <v>74</v>
      </c>
      <c r="BH12" s="1" t="s">
        <v>71</v>
      </c>
    </row>
    <row r="13" customFormat="false" ht="15" hidden="false" customHeight="false" outlineLevel="0" collapsed="false">
      <c r="A13" s="1" t="s">
        <v>134</v>
      </c>
      <c r="B13" s="1" t="s">
        <v>135</v>
      </c>
      <c r="C13" s="1" t="s">
        <v>128</v>
      </c>
      <c r="D13" s="1" t="s">
        <v>129</v>
      </c>
      <c r="E13" s="1" t="s">
        <v>59</v>
      </c>
      <c r="F13" s="1" t="s">
        <v>63</v>
      </c>
      <c r="G13" s="1" t="s">
        <v>59</v>
      </c>
      <c r="H13" s="1" t="s">
        <v>64</v>
      </c>
      <c r="K13" s="1" t="s">
        <v>93</v>
      </c>
      <c r="L13" s="1" t="s">
        <v>95</v>
      </c>
      <c r="M13" s="1" t="s">
        <v>96</v>
      </c>
      <c r="N13" s="1" t="s">
        <v>85</v>
      </c>
      <c r="O13" s="1" t="s">
        <v>86</v>
      </c>
      <c r="P13" s="1"/>
      <c r="Q13" s="1" t="s">
        <v>70</v>
      </c>
      <c r="U13" s="1" t="s">
        <v>134</v>
      </c>
      <c r="Z13" s="1" t="s">
        <v>71</v>
      </c>
      <c r="AE13" s="1" t="s">
        <v>92</v>
      </c>
      <c r="AH13" s="1" t="s">
        <v>73</v>
      </c>
      <c r="AK13" s="1" t="s">
        <v>71</v>
      </c>
      <c r="AM13" s="1" t="s">
        <v>71</v>
      </c>
      <c r="AN13" s="1" t="s">
        <v>71</v>
      </c>
      <c r="AS13" s="1" t="s">
        <v>71</v>
      </c>
      <c r="AX13" s="1" t="s">
        <v>71</v>
      </c>
      <c r="AY13" s="1" t="s">
        <v>59</v>
      </c>
      <c r="AZ13" s="1" t="s">
        <v>74</v>
      </c>
      <c r="BH13" s="1" t="s">
        <v>71</v>
      </c>
    </row>
    <row r="14" customFormat="false" ht="15" hidden="false" customHeight="false" outlineLevel="0" collapsed="false">
      <c r="A14" s="1" t="s">
        <v>136</v>
      </c>
      <c r="B14" s="1" t="s">
        <v>137</v>
      </c>
      <c r="C14" s="1" t="s">
        <v>128</v>
      </c>
      <c r="D14" s="1" t="s">
        <v>129</v>
      </c>
      <c r="E14" s="1" t="s">
        <v>59</v>
      </c>
      <c r="F14" s="1" t="s">
        <v>63</v>
      </c>
      <c r="G14" s="1" t="s">
        <v>59</v>
      </c>
      <c r="H14" s="1" t="s">
        <v>64</v>
      </c>
      <c r="K14" s="1" t="s">
        <v>88</v>
      </c>
      <c r="L14" s="1" t="s">
        <v>89</v>
      </c>
      <c r="M14" s="1" t="s">
        <v>90</v>
      </c>
      <c r="N14" s="1" t="s">
        <v>85</v>
      </c>
      <c r="O14" s="1" t="s">
        <v>86</v>
      </c>
      <c r="P14" s="1"/>
      <c r="Q14" s="1" t="s">
        <v>70</v>
      </c>
      <c r="U14" s="1" t="s">
        <v>136</v>
      </c>
      <c r="Z14" s="1" t="s">
        <v>71</v>
      </c>
      <c r="AE14" s="1" t="s">
        <v>92</v>
      </c>
      <c r="AH14" s="1" t="s">
        <v>73</v>
      </c>
      <c r="AK14" s="1" t="s">
        <v>71</v>
      </c>
      <c r="AM14" s="1" t="s">
        <v>71</v>
      </c>
      <c r="AN14" s="1" t="s">
        <v>71</v>
      </c>
      <c r="AS14" s="1" t="s">
        <v>71</v>
      </c>
      <c r="AX14" s="1" t="s">
        <v>71</v>
      </c>
      <c r="AY14" s="1" t="s">
        <v>59</v>
      </c>
      <c r="AZ14" s="1" t="s">
        <v>74</v>
      </c>
      <c r="BH14" s="1" t="s">
        <v>71</v>
      </c>
    </row>
    <row r="15" customFormat="false" ht="15" hidden="false" customHeight="false" outlineLevel="0" collapsed="false">
      <c r="A15" s="1" t="s">
        <v>138</v>
      </c>
      <c r="B15" s="1" t="s">
        <v>139</v>
      </c>
      <c r="C15" s="1" t="s">
        <v>93</v>
      </c>
      <c r="D15" s="1" t="s">
        <v>140</v>
      </c>
      <c r="E15" s="1" t="s">
        <v>59</v>
      </c>
      <c r="F15" s="1" t="s">
        <v>63</v>
      </c>
      <c r="G15" s="1" t="s">
        <v>59</v>
      </c>
      <c r="H15" s="1" t="s">
        <v>64</v>
      </c>
      <c r="K15" s="1" t="s">
        <v>65</v>
      </c>
      <c r="L15" s="1" t="s">
        <v>66</v>
      </c>
      <c r="M15" s="1" t="s">
        <v>67</v>
      </c>
      <c r="N15" s="1" t="s">
        <v>68</v>
      </c>
      <c r="O15" s="1" t="s">
        <v>69</v>
      </c>
      <c r="P15" s="1"/>
      <c r="Q15" s="1" t="s">
        <v>70</v>
      </c>
      <c r="U15" s="1" t="s">
        <v>138</v>
      </c>
      <c r="Z15" s="1" t="s">
        <v>71</v>
      </c>
      <c r="AA15" s="1" t="s">
        <v>91</v>
      </c>
      <c r="AE15" s="1" t="s">
        <v>141</v>
      </c>
      <c r="AH15" s="1" t="s">
        <v>73</v>
      </c>
      <c r="AK15" s="1" t="s">
        <v>71</v>
      </c>
      <c r="AM15" s="1" t="s">
        <v>71</v>
      </c>
      <c r="AN15" s="1" t="s">
        <v>71</v>
      </c>
      <c r="AS15" s="1" t="s">
        <v>71</v>
      </c>
      <c r="AX15" s="1" t="s">
        <v>71</v>
      </c>
      <c r="AY15" s="1" t="s">
        <v>59</v>
      </c>
      <c r="AZ15" s="1" t="s">
        <v>74</v>
      </c>
      <c r="BH15" s="1" t="s">
        <v>71</v>
      </c>
    </row>
    <row r="16" customFormat="false" ht="15" hidden="false" customHeight="false" outlineLevel="0" collapsed="false">
      <c r="A16" s="1" t="s">
        <v>142</v>
      </c>
      <c r="B16" s="1" t="s">
        <v>143</v>
      </c>
      <c r="C16" s="1" t="s">
        <v>93</v>
      </c>
      <c r="D16" s="1" t="s">
        <v>140</v>
      </c>
      <c r="E16" s="1" t="s">
        <v>59</v>
      </c>
      <c r="F16" s="1" t="s">
        <v>63</v>
      </c>
      <c r="G16" s="1" t="s">
        <v>59</v>
      </c>
      <c r="H16" s="1" t="s">
        <v>64</v>
      </c>
      <c r="K16" s="1" t="s">
        <v>61</v>
      </c>
      <c r="L16" s="1" t="s">
        <v>78</v>
      </c>
      <c r="M16" s="1" t="s">
        <v>67</v>
      </c>
      <c r="N16" s="1" t="s">
        <v>79</v>
      </c>
      <c r="O16" s="1" t="s">
        <v>80</v>
      </c>
      <c r="P16" s="1"/>
      <c r="Q16" s="1" t="s">
        <v>70</v>
      </c>
      <c r="U16" s="1" t="s">
        <v>142</v>
      </c>
      <c r="Z16" s="1" t="s">
        <v>71</v>
      </c>
      <c r="AA16" s="1" t="s">
        <v>91</v>
      </c>
      <c r="AE16" s="1" t="s">
        <v>141</v>
      </c>
      <c r="AH16" s="1" t="s">
        <v>73</v>
      </c>
      <c r="AK16" s="1" t="s">
        <v>71</v>
      </c>
      <c r="AM16" s="1" t="s">
        <v>71</v>
      </c>
      <c r="AN16" s="1" t="s">
        <v>71</v>
      </c>
      <c r="AS16" s="1" t="s">
        <v>71</v>
      </c>
      <c r="AX16" s="1" t="s">
        <v>71</v>
      </c>
      <c r="AY16" s="1" t="s">
        <v>59</v>
      </c>
      <c r="AZ16" s="1" t="s">
        <v>74</v>
      </c>
      <c r="BH16" s="1" t="s">
        <v>71</v>
      </c>
    </row>
    <row r="17" customFormat="false" ht="15" hidden="false" customHeight="false" outlineLevel="0" collapsed="false">
      <c r="A17" s="1" t="s">
        <v>144</v>
      </c>
      <c r="B17" s="1" t="s">
        <v>145</v>
      </c>
      <c r="C17" s="1" t="s">
        <v>93</v>
      </c>
      <c r="D17" s="1" t="s">
        <v>140</v>
      </c>
      <c r="E17" s="1" t="s">
        <v>59</v>
      </c>
      <c r="F17" s="1" t="s">
        <v>63</v>
      </c>
      <c r="G17" s="1" t="s">
        <v>59</v>
      </c>
      <c r="H17" s="1" t="s">
        <v>64</v>
      </c>
      <c r="K17" s="1" t="s">
        <v>93</v>
      </c>
      <c r="L17" s="1" t="s">
        <v>95</v>
      </c>
      <c r="M17" s="1" t="s">
        <v>96</v>
      </c>
      <c r="N17" s="1" t="s">
        <v>85</v>
      </c>
      <c r="O17" s="1" t="s">
        <v>86</v>
      </c>
      <c r="P17" s="1"/>
      <c r="Q17" s="1" t="s">
        <v>70</v>
      </c>
      <c r="U17" s="1" t="s">
        <v>144</v>
      </c>
      <c r="Z17" s="1" t="s">
        <v>71</v>
      </c>
      <c r="AA17" s="1" t="s">
        <v>91</v>
      </c>
      <c r="AE17" s="1" t="s">
        <v>141</v>
      </c>
      <c r="AH17" s="1" t="s">
        <v>73</v>
      </c>
      <c r="AK17" s="1" t="s">
        <v>71</v>
      </c>
      <c r="AM17" s="1" t="s">
        <v>71</v>
      </c>
      <c r="AN17" s="1" t="s">
        <v>71</v>
      </c>
      <c r="AS17" s="1" t="s">
        <v>71</v>
      </c>
      <c r="AX17" s="1" t="s">
        <v>71</v>
      </c>
      <c r="AY17" s="1" t="s">
        <v>59</v>
      </c>
      <c r="AZ17" s="1" t="s">
        <v>74</v>
      </c>
      <c r="BH17" s="1" t="s">
        <v>71</v>
      </c>
    </row>
    <row r="18" customFormat="false" ht="15" hidden="false" customHeight="false" outlineLevel="0" collapsed="false">
      <c r="A18" s="1" t="s">
        <v>146</v>
      </c>
      <c r="B18" s="1" t="s">
        <v>147</v>
      </c>
      <c r="C18" s="1" t="s">
        <v>93</v>
      </c>
      <c r="D18" s="1" t="s">
        <v>140</v>
      </c>
      <c r="E18" s="1" t="s">
        <v>59</v>
      </c>
      <c r="F18" s="1" t="s">
        <v>63</v>
      </c>
      <c r="G18" s="1" t="s">
        <v>59</v>
      </c>
      <c r="H18" s="1" t="s">
        <v>64</v>
      </c>
      <c r="K18" s="1" t="s">
        <v>148</v>
      </c>
      <c r="L18" s="1" t="s">
        <v>149</v>
      </c>
      <c r="M18" s="1" t="s">
        <v>96</v>
      </c>
      <c r="N18" s="1" t="s">
        <v>79</v>
      </c>
      <c r="O18" s="1" t="s">
        <v>80</v>
      </c>
      <c r="P18" s="1"/>
      <c r="Q18" s="1" t="s">
        <v>70</v>
      </c>
      <c r="U18" s="1" t="s">
        <v>146</v>
      </c>
      <c r="Z18" s="1" t="s">
        <v>71</v>
      </c>
      <c r="AA18" s="1" t="s">
        <v>91</v>
      </c>
      <c r="AE18" s="1" t="s">
        <v>141</v>
      </c>
      <c r="AH18" s="1" t="s">
        <v>73</v>
      </c>
      <c r="AK18" s="1" t="s">
        <v>71</v>
      </c>
      <c r="AM18" s="1" t="s">
        <v>71</v>
      </c>
      <c r="AN18" s="1" t="s">
        <v>71</v>
      </c>
      <c r="AS18" s="1" t="s">
        <v>71</v>
      </c>
      <c r="AX18" s="1" t="s">
        <v>71</v>
      </c>
      <c r="AY18" s="1" t="s">
        <v>59</v>
      </c>
      <c r="AZ18" s="1" t="s">
        <v>74</v>
      </c>
      <c r="BH18" s="1" t="s">
        <v>71</v>
      </c>
    </row>
    <row r="19" customFormat="false" ht="15" hidden="false" customHeight="false" outlineLevel="0" collapsed="false">
      <c r="A19" s="1" t="s">
        <v>150</v>
      </c>
      <c r="B19" s="1" t="s">
        <v>151</v>
      </c>
      <c r="C19" s="1" t="s">
        <v>93</v>
      </c>
      <c r="D19" s="1" t="s">
        <v>140</v>
      </c>
      <c r="E19" s="1" t="s">
        <v>59</v>
      </c>
      <c r="F19" s="1" t="s">
        <v>63</v>
      </c>
      <c r="G19" s="1" t="s">
        <v>59</v>
      </c>
      <c r="H19" s="1" t="s">
        <v>64</v>
      </c>
      <c r="K19" s="1" t="s">
        <v>88</v>
      </c>
      <c r="L19" s="1" t="s">
        <v>89</v>
      </c>
      <c r="M19" s="1" t="s">
        <v>90</v>
      </c>
      <c r="N19" s="1" t="s">
        <v>85</v>
      </c>
      <c r="O19" s="1" t="s">
        <v>86</v>
      </c>
      <c r="P19" s="1"/>
      <c r="Q19" s="1" t="s">
        <v>70</v>
      </c>
      <c r="U19" s="1" t="s">
        <v>150</v>
      </c>
      <c r="Z19" s="1" t="s">
        <v>71</v>
      </c>
      <c r="AA19" s="1" t="s">
        <v>91</v>
      </c>
      <c r="AE19" s="1" t="s">
        <v>141</v>
      </c>
      <c r="AH19" s="1" t="s">
        <v>73</v>
      </c>
      <c r="AK19" s="1" t="s">
        <v>71</v>
      </c>
      <c r="AM19" s="1" t="s">
        <v>71</v>
      </c>
      <c r="AN19" s="1" t="s">
        <v>71</v>
      </c>
      <c r="AS19" s="1" t="s">
        <v>71</v>
      </c>
      <c r="AX19" s="1" t="s">
        <v>71</v>
      </c>
      <c r="AY19" s="1" t="s">
        <v>59</v>
      </c>
      <c r="AZ19" s="1" t="s">
        <v>74</v>
      </c>
      <c r="BH19" s="1" t="s">
        <v>71</v>
      </c>
    </row>
    <row r="20" customFormat="false" ht="15" hidden="false" customHeight="false" outlineLevel="0" collapsed="false">
      <c r="A20" s="1" t="s">
        <v>152</v>
      </c>
      <c r="B20" s="1" t="s">
        <v>153</v>
      </c>
      <c r="C20" s="1" t="s">
        <v>88</v>
      </c>
      <c r="D20" s="1" t="s">
        <v>154</v>
      </c>
      <c r="E20" s="1" t="s">
        <v>59</v>
      </c>
      <c r="F20" s="1" t="s">
        <v>63</v>
      </c>
      <c r="G20" s="1" t="s">
        <v>59</v>
      </c>
      <c r="H20" s="1" t="s">
        <v>64</v>
      </c>
      <c r="K20" s="1" t="s">
        <v>82</v>
      </c>
      <c r="L20" s="1" t="s">
        <v>83</v>
      </c>
      <c r="M20" s="1" t="s">
        <v>90</v>
      </c>
      <c r="N20" s="1" t="s">
        <v>85</v>
      </c>
      <c r="O20" s="1" t="s">
        <v>86</v>
      </c>
      <c r="P20" s="1"/>
      <c r="Q20" s="1" t="s">
        <v>70</v>
      </c>
      <c r="U20" s="1" t="s">
        <v>152</v>
      </c>
      <c r="Z20" s="1" t="s">
        <v>71</v>
      </c>
      <c r="AE20" s="1" t="s">
        <v>141</v>
      </c>
      <c r="AH20" s="1" t="s">
        <v>73</v>
      </c>
      <c r="AK20" s="1" t="s">
        <v>71</v>
      </c>
      <c r="AM20" s="1" t="s">
        <v>71</v>
      </c>
      <c r="AN20" s="1" t="s">
        <v>71</v>
      </c>
      <c r="AS20" s="1" t="s">
        <v>71</v>
      </c>
      <c r="AY20" s="1" t="s">
        <v>59</v>
      </c>
      <c r="AZ20" s="1" t="s">
        <v>74</v>
      </c>
      <c r="BH20" s="1" t="s">
        <v>71</v>
      </c>
    </row>
    <row r="21" customFormat="false" ht="15" hidden="false" customHeight="false" outlineLevel="0" collapsed="false">
      <c r="A21" s="1" t="s">
        <v>155</v>
      </c>
      <c r="B21" s="1" t="s">
        <v>156</v>
      </c>
      <c r="C21" s="1" t="s">
        <v>88</v>
      </c>
      <c r="D21" s="1" t="s">
        <v>154</v>
      </c>
      <c r="E21" s="1" t="s">
        <v>59</v>
      </c>
      <c r="F21" s="1" t="s">
        <v>63</v>
      </c>
      <c r="G21" s="1" t="s">
        <v>59</v>
      </c>
      <c r="H21" s="1" t="s">
        <v>64</v>
      </c>
      <c r="K21" s="1" t="s">
        <v>93</v>
      </c>
      <c r="L21" s="1" t="s">
        <v>95</v>
      </c>
      <c r="M21" s="1" t="s">
        <v>96</v>
      </c>
      <c r="N21" s="1" t="s">
        <v>85</v>
      </c>
      <c r="O21" s="1" t="s">
        <v>86</v>
      </c>
      <c r="P21" s="1"/>
      <c r="Q21" s="1" t="s">
        <v>70</v>
      </c>
      <c r="U21" s="1" t="s">
        <v>155</v>
      </c>
      <c r="Z21" s="1" t="s">
        <v>71</v>
      </c>
      <c r="AA21" s="1" t="s">
        <v>91</v>
      </c>
      <c r="AE21" s="1" t="s">
        <v>141</v>
      </c>
      <c r="AH21" s="1" t="s">
        <v>73</v>
      </c>
      <c r="AK21" s="1" t="s">
        <v>71</v>
      </c>
      <c r="AM21" s="1" t="s">
        <v>71</v>
      </c>
      <c r="AN21" s="1" t="s">
        <v>71</v>
      </c>
      <c r="AS21" s="1" t="s">
        <v>71</v>
      </c>
      <c r="AX21" s="1" t="s">
        <v>71</v>
      </c>
      <c r="AY21" s="1" t="s">
        <v>59</v>
      </c>
      <c r="AZ21" s="1" t="s">
        <v>74</v>
      </c>
      <c r="BH21" s="1" t="s">
        <v>71</v>
      </c>
    </row>
    <row r="22" customFormat="false" ht="15" hidden="false" customHeight="false" outlineLevel="0" collapsed="false">
      <c r="A22" s="1" t="s">
        <v>157</v>
      </c>
      <c r="B22" s="1" t="s">
        <v>158</v>
      </c>
      <c r="C22" s="1" t="s">
        <v>88</v>
      </c>
      <c r="D22" s="1" t="s">
        <v>154</v>
      </c>
      <c r="E22" s="1" t="s">
        <v>59</v>
      </c>
      <c r="F22" s="1" t="s">
        <v>63</v>
      </c>
      <c r="G22" s="1" t="s">
        <v>59</v>
      </c>
      <c r="H22" s="1" t="s">
        <v>64</v>
      </c>
      <c r="K22" s="1" t="s">
        <v>88</v>
      </c>
      <c r="L22" s="1" t="s">
        <v>89</v>
      </c>
      <c r="M22" s="1" t="s">
        <v>90</v>
      </c>
      <c r="N22" s="1" t="s">
        <v>85</v>
      </c>
      <c r="O22" s="1" t="s">
        <v>86</v>
      </c>
      <c r="P22" s="1"/>
      <c r="Q22" s="1" t="s">
        <v>70</v>
      </c>
      <c r="U22" s="1" t="s">
        <v>157</v>
      </c>
      <c r="Z22" s="1" t="s">
        <v>71</v>
      </c>
      <c r="AA22" s="1" t="s">
        <v>91</v>
      </c>
      <c r="AE22" s="1" t="s">
        <v>141</v>
      </c>
      <c r="AH22" s="1" t="s">
        <v>73</v>
      </c>
      <c r="AK22" s="1" t="s">
        <v>71</v>
      </c>
      <c r="AM22" s="1" t="s">
        <v>71</v>
      </c>
      <c r="AN22" s="1" t="s">
        <v>71</v>
      </c>
      <c r="AS22" s="1" t="s">
        <v>71</v>
      </c>
      <c r="AX22" s="1" t="s">
        <v>71</v>
      </c>
      <c r="AY22" s="1" t="s">
        <v>59</v>
      </c>
      <c r="AZ22" s="1" t="s">
        <v>74</v>
      </c>
      <c r="BH22" s="1" t="s">
        <v>71</v>
      </c>
    </row>
    <row r="23" customFormat="false" ht="15" hidden="false" customHeight="false" outlineLevel="0" collapsed="false">
      <c r="A23" s="1" t="s">
        <v>159</v>
      </c>
      <c r="B23" s="1" t="s">
        <v>160</v>
      </c>
      <c r="C23" s="1" t="s">
        <v>161</v>
      </c>
      <c r="D23" s="1" t="s">
        <v>162</v>
      </c>
      <c r="E23" s="1" t="s">
        <v>61</v>
      </c>
      <c r="F23" s="1" t="s">
        <v>101</v>
      </c>
      <c r="G23" s="1" t="s">
        <v>93</v>
      </c>
      <c r="H23" s="1" t="s">
        <v>64</v>
      </c>
      <c r="K23" s="1" t="s">
        <v>163</v>
      </c>
      <c r="L23" s="1" t="s">
        <v>164</v>
      </c>
      <c r="M23" s="1" t="s">
        <v>165</v>
      </c>
      <c r="N23" s="1" t="s">
        <v>166</v>
      </c>
      <c r="O23" s="1" t="s">
        <v>167</v>
      </c>
      <c r="P23" s="1"/>
      <c r="Q23" s="1" t="s">
        <v>70</v>
      </c>
      <c r="U23" s="1" t="s">
        <v>159</v>
      </c>
      <c r="Z23" s="1" t="s">
        <v>71</v>
      </c>
      <c r="AE23" s="1" t="s">
        <v>141</v>
      </c>
      <c r="AH23" s="1" t="s">
        <v>73</v>
      </c>
      <c r="AK23" s="1" t="s">
        <v>71</v>
      </c>
      <c r="AM23" s="1" t="s">
        <v>71</v>
      </c>
      <c r="AN23" s="1" t="s">
        <v>71</v>
      </c>
      <c r="AS23" s="1" t="s">
        <v>71</v>
      </c>
      <c r="AX23" s="1" t="s">
        <v>71</v>
      </c>
      <c r="AY23" s="1" t="s">
        <v>59</v>
      </c>
      <c r="AZ23" s="1" t="s">
        <v>74</v>
      </c>
      <c r="BH23" s="1" t="s">
        <v>71</v>
      </c>
    </row>
    <row r="24" customFormat="false" ht="15" hidden="false" customHeight="false" outlineLevel="0" collapsed="false">
      <c r="A24" s="1" t="s">
        <v>168</v>
      </c>
      <c r="B24" s="1" t="s">
        <v>169</v>
      </c>
      <c r="C24" s="1" t="s">
        <v>128</v>
      </c>
      <c r="D24" s="1" t="s">
        <v>129</v>
      </c>
      <c r="E24" s="1" t="s">
        <v>65</v>
      </c>
      <c r="F24" s="1" t="s">
        <v>119</v>
      </c>
      <c r="G24" s="1" t="s">
        <v>65</v>
      </c>
      <c r="H24" s="1" t="s">
        <v>64</v>
      </c>
      <c r="K24" s="1" t="s">
        <v>170</v>
      </c>
      <c r="L24" s="1" t="s">
        <v>171</v>
      </c>
      <c r="M24" s="1" t="s">
        <v>122</v>
      </c>
      <c r="N24" s="1" t="s">
        <v>123</v>
      </c>
      <c r="O24" s="1" t="s">
        <v>124</v>
      </c>
      <c r="P24" s="1"/>
      <c r="Q24" s="1" t="s">
        <v>70</v>
      </c>
      <c r="U24" s="1" t="s">
        <v>168</v>
      </c>
      <c r="Z24" s="1" t="s">
        <v>71</v>
      </c>
      <c r="AE24" s="1" t="s">
        <v>172</v>
      </c>
      <c r="AH24" s="1" t="s">
        <v>73</v>
      </c>
      <c r="AK24" s="1" t="s">
        <v>71</v>
      </c>
      <c r="AM24" s="1" t="s">
        <v>71</v>
      </c>
      <c r="AN24" s="1" t="s">
        <v>71</v>
      </c>
      <c r="AS24" s="1" t="s">
        <v>71</v>
      </c>
      <c r="AX24" s="1" t="s">
        <v>71</v>
      </c>
      <c r="AY24" s="1" t="s">
        <v>59</v>
      </c>
      <c r="AZ24" s="1" t="s">
        <v>74</v>
      </c>
      <c r="BH24" s="1" t="s">
        <v>71</v>
      </c>
    </row>
    <row r="25" customFormat="false" ht="15" hidden="false" customHeight="false" outlineLevel="0" collapsed="false">
      <c r="A25" s="1" t="s">
        <v>173</v>
      </c>
      <c r="B25" s="1" t="s">
        <v>174</v>
      </c>
      <c r="C25" s="1" t="s">
        <v>88</v>
      </c>
      <c r="D25" s="1" t="s">
        <v>154</v>
      </c>
      <c r="E25" s="1" t="s">
        <v>65</v>
      </c>
      <c r="F25" s="1" t="s">
        <v>119</v>
      </c>
      <c r="G25" s="1" t="s">
        <v>65</v>
      </c>
      <c r="H25" s="1" t="s">
        <v>64</v>
      </c>
      <c r="K25" s="1" t="s">
        <v>170</v>
      </c>
      <c r="L25" s="1" t="s">
        <v>171</v>
      </c>
      <c r="M25" s="1" t="s">
        <v>122</v>
      </c>
      <c r="N25" s="1" t="s">
        <v>123</v>
      </c>
      <c r="O25" s="1" t="s">
        <v>124</v>
      </c>
      <c r="P25" s="1"/>
      <c r="Q25" s="1" t="s">
        <v>70</v>
      </c>
      <c r="U25" s="1" t="s">
        <v>173</v>
      </c>
      <c r="Z25" s="1" t="s">
        <v>71</v>
      </c>
      <c r="AE25" s="1" t="s">
        <v>172</v>
      </c>
      <c r="AH25" s="1" t="s">
        <v>73</v>
      </c>
      <c r="AK25" s="1" t="s">
        <v>71</v>
      </c>
      <c r="AM25" s="1" t="s">
        <v>71</v>
      </c>
      <c r="AN25" s="1" t="s">
        <v>71</v>
      </c>
      <c r="AS25" s="1" t="s">
        <v>71</v>
      </c>
      <c r="AY25" s="1" t="s">
        <v>59</v>
      </c>
      <c r="AZ25" s="1" t="s">
        <v>74</v>
      </c>
      <c r="BH25" s="1" t="s">
        <v>71</v>
      </c>
    </row>
    <row r="26" customFormat="false" ht="15" hidden="false" customHeight="false" outlineLevel="0" collapsed="false">
      <c r="A26" s="1" t="s">
        <v>175</v>
      </c>
      <c r="B26" s="1" t="s">
        <v>176</v>
      </c>
      <c r="C26" s="1" t="s">
        <v>128</v>
      </c>
      <c r="D26" s="1" t="s">
        <v>129</v>
      </c>
      <c r="E26" s="1" t="s">
        <v>65</v>
      </c>
      <c r="F26" s="1" t="s">
        <v>119</v>
      </c>
      <c r="G26" s="1" t="s">
        <v>65</v>
      </c>
      <c r="H26" s="1" t="s">
        <v>64</v>
      </c>
      <c r="K26" s="1" t="s">
        <v>177</v>
      </c>
      <c r="L26" s="1" t="s">
        <v>178</v>
      </c>
      <c r="M26" s="1" t="s">
        <v>165</v>
      </c>
      <c r="N26" s="1" t="s">
        <v>123</v>
      </c>
      <c r="O26" s="1" t="s">
        <v>124</v>
      </c>
      <c r="P26" s="1"/>
      <c r="Q26" s="1" t="s">
        <v>70</v>
      </c>
      <c r="U26" s="1" t="s">
        <v>175</v>
      </c>
      <c r="Z26" s="1" t="s">
        <v>71</v>
      </c>
      <c r="AE26" s="1" t="s">
        <v>172</v>
      </c>
      <c r="AH26" s="1" t="s">
        <v>73</v>
      </c>
      <c r="AK26" s="1" t="s">
        <v>71</v>
      </c>
      <c r="AM26" s="1" t="s">
        <v>71</v>
      </c>
      <c r="AN26" s="1" t="s">
        <v>71</v>
      </c>
      <c r="AS26" s="1" t="s">
        <v>71</v>
      </c>
      <c r="AX26" s="1" t="s">
        <v>71</v>
      </c>
      <c r="AY26" s="1" t="s">
        <v>59</v>
      </c>
      <c r="AZ26" s="1" t="s">
        <v>74</v>
      </c>
      <c r="BH26" s="1" t="s">
        <v>71</v>
      </c>
    </row>
    <row r="27" customFormat="false" ht="15" hidden="false" customHeight="false" outlineLevel="0" collapsed="false">
      <c r="A27" s="1" t="s">
        <v>102</v>
      </c>
      <c r="B27" s="1" t="s">
        <v>179</v>
      </c>
      <c r="C27" s="1" t="s">
        <v>93</v>
      </c>
      <c r="D27" s="1" t="s">
        <v>140</v>
      </c>
      <c r="E27" s="1" t="s">
        <v>65</v>
      </c>
      <c r="F27" s="1" t="s">
        <v>119</v>
      </c>
      <c r="G27" s="1" t="s">
        <v>65</v>
      </c>
      <c r="H27" s="1" t="s">
        <v>64</v>
      </c>
      <c r="K27" s="1" t="s">
        <v>177</v>
      </c>
      <c r="L27" s="1" t="s">
        <v>178</v>
      </c>
      <c r="M27" s="1" t="s">
        <v>165</v>
      </c>
      <c r="N27" s="1" t="s">
        <v>123</v>
      </c>
      <c r="O27" s="1" t="s">
        <v>124</v>
      </c>
      <c r="P27" s="1"/>
      <c r="Q27" s="1" t="s">
        <v>70</v>
      </c>
      <c r="U27" s="1" t="s">
        <v>102</v>
      </c>
      <c r="Z27" s="1" t="s">
        <v>71</v>
      </c>
      <c r="AE27" s="1" t="s">
        <v>172</v>
      </c>
      <c r="AH27" s="1" t="s">
        <v>73</v>
      </c>
      <c r="AK27" s="1" t="s">
        <v>71</v>
      </c>
      <c r="AM27" s="1" t="s">
        <v>71</v>
      </c>
      <c r="AN27" s="1" t="s">
        <v>71</v>
      </c>
      <c r="AS27" s="1" t="s">
        <v>71</v>
      </c>
      <c r="AX27" s="1" t="s">
        <v>71</v>
      </c>
      <c r="AY27" s="1" t="s">
        <v>59</v>
      </c>
      <c r="AZ27" s="1" t="s">
        <v>74</v>
      </c>
      <c r="BH27" s="1" t="s">
        <v>71</v>
      </c>
    </row>
    <row r="28" customFormat="false" ht="15" hidden="false" customHeight="false" outlineLevel="0" collapsed="false">
      <c r="A28" s="1" t="s">
        <v>180</v>
      </c>
      <c r="B28" s="1" t="s">
        <v>181</v>
      </c>
      <c r="C28" s="1" t="s">
        <v>128</v>
      </c>
      <c r="D28" s="1" t="s">
        <v>129</v>
      </c>
      <c r="E28" s="1" t="s">
        <v>65</v>
      </c>
      <c r="F28" s="1" t="s">
        <v>119</v>
      </c>
      <c r="G28" s="1" t="s">
        <v>65</v>
      </c>
      <c r="H28" s="1" t="s">
        <v>64</v>
      </c>
      <c r="K28" s="1" t="s">
        <v>182</v>
      </c>
      <c r="L28" s="1" t="s">
        <v>183</v>
      </c>
      <c r="M28" s="1" t="s">
        <v>104</v>
      </c>
      <c r="N28" s="1" t="s">
        <v>123</v>
      </c>
      <c r="O28" s="1" t="s">
        <v>124</v>
      </c>
      <c r="P28" s="1"/>
      <c r="Q28" s="1" t="s">
        <v>70</v>
      </c>
      <c r="U28" s="1" t="s">
        <v>180</v>
      </c>
      <c r="Z28" s="1" t="s">
        <v>71</v>
      </c>
      <c r="AE28" s="1" t="s">
        <v>107</v>
      </c>
      <c r="AH28" s="1" t="s">
        <v>73</v>
      </c>
      <c r="AK28" s="1" t="s">
        <v>71</v>
      </c>
      <c r="AM28" s="1" t="s">
        <v>71</v>
      </c>
      <c r="AN28" s="1" t="s">
        <v>71</v>
      </c>
      <c r="AS28" s="1" t="s">
        <v>71</v>
      </c>
      <c r="AX28" s="1" t="s">
        <v>71</v>
      </c>
      <c r="AY28" s="1" t="s">
        <v>59</v>
      </c>
      <c r="AZ28" s="1" t="s">
        <v>74</v>
      </c>
      <c r="BH28" s="1" t="s">
        <v>71</v>
      </c>
    </row>
    <row r="29" customFormat="false" ht="15" hidden="false" customHeight="false" outlineLevel="0" collapsed="false">
      <c r="A29" s="1" t="s">
        <v>184</v>
      </c>
      <c r="B29" s="1" t="s">
        <v>185</v>
      </c>
      <c r="C29" s="1" t="s">
        <v>88</v>
      </c>
      <c r="D29" s="1" t="s">
        <v>154</v>
      </c>
      <c r="E29" s="1" t="s">
        <v>65</v>
      </c>
      <c r="F29" s="1" t="s">
        <v>119</v>
      </c>
      <c r="G29" s="1" t="s">
        <v>65</v>
      </c>
      <c r="H29" s="1" t="s">
        <v>64</v>
      </c>
      <c r="K29" s="1" t="s">
        <v>182</v>
      </c>
      <c r="L29" s="1" t="s">
        <v>183</v>
      </c>
      <c r="M29" s="1" t="s">
        <v>104</v>
      </c>
      <c r="N29" s="1" t="s">
        <v>123</v>
      </c>
      <c r="O29" s="1" t="s">
        <v>124</v>
      </c>
      <c r="P29" s="1"/>
      <c r="Q29" s="1" t="s">
        <v>70</v>
      </c>
      <c r="U29" s="1" t="s">
        <v>184</v>
      </c>
      <c r="Z29" s="1" t="s">
        <v>71</v>
      </c>
      <c r="AE29" s="1" t="s">
        <v>107</v>
      </c>
      <c r="AH29" s="1" t="s">
        <v>73</v>
      </c>
      <c r="AK29" s="1" t="s">
        <v>71</v>
      </c>
      <c r="AM29" s="1" t="s">
        <v>71</v>
      </c>
      <c r="AN29" s="1" t="s">
        <v>71</v>
      </c>
      <c r="AS29" s="1" t="s">
        <v>71</v>
      </c>
      <c r="AY29" s="1" t="s">
        <v>59</v>
      </c>
      <c r="AZ29" s="1" t="s">
        <v>74</v>
      </c>
      <c r="BH29" s="1" t="s">
        <v>71</v>
      </c>
    </row>
    <row r="30" customFormat="false" ht="15" hidden="false" customHeight="false" outlineLevel="0" collapsed="false">
      <c r="A30" s="1" t="s">
        <v>186</v>
      </c>
      <c r="B30" s="1" t="s">
        <v>187</v>
      </c>
      <c r="C30" s="1" t="s">
        <v>188</v>
      </c>
      <c r="D30" s="1" t="s">
        <v>189</v>
      </c>
      <c r="E30" s="1" t="s">
        <v>61</v>
      </c>
      <c r="F30" s="1" t="s">
        <v>101</v>
      </c>
      <c r="G30" s="1" t="s">
        <v>93</v>
      </c>
      <c r="H30" s="1" t="s">
        <v>64</v>
      </c>
      <c r="K30" s="1" t="s">
        <v>102</v>
      </c>
      <c r="L30" s="1" t="s">
        <v>103</v>
      </c>
      <c r="M30" s="1" t="s">
        <v>104</v>
      </c>
      <c r="N30" s="1" t="s">
        <v>105</v>
      </c>
      <c r="O30" s="1" t="s">
        <v>106</v>
      </c>
      <c r="P30" s="1"/>
      <c r="Q30" s="1" t="s">
        <v>70</v>
      </c>
      <c r="U30" s="1" t="s">
        <v>186</v>
      </c>
      <c r="Z30" s="1" t="s">
        <v>71</v>
      </c>
      <c r="AE30" s="1" t="s">
        <v>107</v>
      </c>
      <c r="AH30" s="1" t="s">
        <v>73</v>
      </c>
      <c r="AK30" s="1" t="s">
        <v>71</v>
      </c>
      <c r="AM30" s="1" t="s">
        <v>71</v>
      </c>
      <c r="AN30" s="1" t="s">
        <v>71</v>
      </c>
      <c r="AS30" s="1" t="s">
        <v>71</v>
      </c>
      <c r="AX30" s="1" t="s">
        <v>71</v>
      </c>
      <c r="AY30" s="1" t="s">
        <v>59</v>
      </c>
      <c r="AZ30" s="1" t="s">
        <v>74</v>
      </c>
      <c r="BH30" s="1" t="s">
        <v>71</v>
      </c>
    </row>
    <row r="31" customFormat="false" ht="15" hidden="false" customHeight="false" outlineLevel="0" collapsed="false">
      <c r="A31" s="1" t="s">
        <v>190</v>
      </c>
      <c r="B31" s="1" t="s">
        <v>191</v>
      </c>
      <c r="C31" s="1" t="s">
        <v>192</v>
      </c>
      <c r="D31" s="1" t="s">
        <v>193</v>
      </c>
      <c r="E31" s="1" t="s">
        <v>61</v>
      </c>
      <c r="F31" s="1" t="s">
        <v>101</v>
      </c>
      <c r="G31" s="1" t="s">
        <v>93</v>
      </c>
      <c r="H31" s="1" t="s">
        <v>64</v>
      </c>
      <c r="K31" s="1" t="s">
        <v>184</v>
      </c>
      <c r="L31" s="1" t="s">
        <v>194</v>
      </c>
      <c r="M31" s="1" t="s">
        <v>104</v>
      </c>
      <c r="N31" s="1" t="s">
        <v>105</v>
      </c>
      <c r="O31" s="1" t="s">
        <v>106</v>
      </c>
      <c r="P31" s="1"/>
      <c r="Q31" s="1" t="s">
        <v>70</v>
      </c>
      <c r="U31" s="1" t="s">
        <v>190</v>
      </c>
      <c r="Z31" s="1" t="s">
        <v>71</v>
      </c>
      <c r="AA31" s="1" t="s">
        <v>91</v>
      </c>
      <c r="AE31" s="1" t="s">
        <v>107</v>
      </c>
      <c r="AH31" s="1" t="s">
        <v>73</v>
      </c>
      <c r="AK31" s="1" t="s">
        <v>71</v>
      </c>
      <c r="AM31" s="1" t="s">
        <v>71</v>
      </c>
      <c r="AN31" s="1" t="s">
        <v>71</v>
      </c>
      <c r="AS31" s="1" t="s">
        <v>71</v>
      </c>
      <c r="AX31" s="1" t="s">
        <v>71</v>
      </c>
      <c r="AY31" s="1" t="s">
        <v>59</v>
      </c>
      <c r="AZ31" s="1" t="s">
        <v>74</v>
      </c>
      <c r="BH31" s="1" t="s">
        <v>71</v>
      </c>
    </row>
    <row r="32" customFormat="false" ht="15" hidden="false" customHeight="false" outlineLevel="0" collapsed="false">
      <c r="A32" s="1" t="s">
        <v>195</v>
      </c>
      <c r="B32" s="1" t="s">
        <v>196</v>
      </c>
      <c r="C32" s="1" t="s">
        <v>128</v>
      </c>
      <c r="D32" s="1" t="s">
        <v>129</v>
      </c>
      <c r="E32" s="1" t="s">
        <v>65</v>
      </c>
      <c r="F32" s="1" t="s">
        <v>119</v>
      </c>
      <c r="G32" s="1" t="s">
        <v>65</v>
      </c>
      <c r="H32" s="1" t="s">
        <v>64</v>
      </c>
      <c r="K32" s="1" t="s">
        <v>97</v>
      </c>
      <c r="L32" s="1" t="s">
        <v>197</v>
      </c>
      <c r="M32" s="1" t="s">
        <v>104</v>
      </c>
      <c r="N32" s="1" t="s">
        <v>123</v>
      </c>
      <c r="O32" s="1" t="s">
        <v>124</v>
      </c>
      <c r="P32" s="1"/>
      <c r="Q32" s="1" t="s">
        <v>70</v>
      </c>
      <c r="U32" s="1" t="s">
        <v>195</v>
      </c>
      <c r="Z32" s="1" t="s">
        <v>71</v>
      </c>
      <c r="AA32" s="1" t="s">
        <v>91</v>
      </c>
      <c r="AE32" s="1" t="s">
        <v>107</v>
      </c>
      <c r="AH32" s="1" t="s">
        <v>73</v>
      </c>
      <c r="AK32" s="1" t="s">
        <v>71</v>
      </c>
      <c r="AM32" s="1" t="s">
        <v>71</v>
      </c>
      <c r="AN32" s="1" t="s">
        <v>71</v>
      </c>
      <c r="AS32" s="1" t="s">
        <v>71</v>
      </c>
      <c r="AX32" s="1" t="s">
        <v>71</v>
      </c>
      <c r="AY32" s="1" t="s">
        <v>59</v>
      </c>
      <c r="AZ32" s="1" t="s">
        <v>74</v>
      </c>
      <c r="BH32" s="1" t="s">
        <v>71</v>
      </c>
    </row>
    <row r="33" customFormat="false" ht="15" hidden="false" customHeight="false" outlineLevel="0" collapsed="false">
      <c r="A33" s="1" t="s">
        <v>198</v>
      </c>
      <c r="B33" s="1" t="s">
        <v>199</v>
      </c>
      <c r="C33" s="1" t="s">
        <v>88</v>
      </c>
      <c r="D33" s="1" t="s">
        <v>154</v>
      </c>
      <c r="E33" s="1" t="s">
        <v>65</v>
      </c>
      <c r="F33" s="1" t="s">
        <v>119</v>
      </c>
      <c r="G33" s="1" t="s">
        <v>65</v>
      </c>
      <c r="H33" s="1" t="s">
        <v>64</v>
      </c>
      <c r="K33" s="1" t="s">
        <v>108</v>
      </c>
      <c r="L33" s="1" t="s">
        <v>200</v>
      </c>
      <c r="M33" s="1" t="s">
        <v>122</v>
      </c>
      <c r="N33" s="1" t="s">
        <v>123</v>
      </c>
      <c r="O33" s="1" t="s">
        <v>124</v>
      </c>
      <c r="P33" s="1"/>
      <c r="Q33" s="1" t="s">
        <v>70</v>
      </c>
      <c r="U33" s="1" t="s">
        <v>198</v>
      </c>
      <c r="Z33" s="1" t="s">
        <v>71</v>
      </c>
      <c r="AA33" s="1" t="s">
        <v>91</v>
      </c>
      <c r="AE33" s="1" t="s">
        <v>107</v>
      </c>
      <c r="AH33" s="1" t="s">
        <v>73</v>
      </c>
      <c r="AK33" s="1" t="s">
        <v>71</v>
      </c>
      <c r="AM33" s="1" t="s">
        <v>71</v>
      </c>
      <c r="AN33" s="1" t="s">
        <v>71</v>
      </c>
      <c r="AS33" s="1" t="s">
        <v>71</v>
      </c>
      <c r="AX33" s="1" t="s">
        <v>71</v>
      </c>
      <c r="AY33" s="1" t="s">
        <v>59</v>
      </c>
      <c r="AZ33" s="1" t="s">
        <v>74</v>
      </c>
      <c r="BH33" s="1" t="s">
        <v>71</v>
      </c>
    </row>
    <row r="34" customFormat="false" ht="15" hidden="false" customHeight="false" outlineLevel="0" collapsed="false">
      <c r="A34" s="1" t="s">
        <v>201</v>
      </c>
      <c r="B34" s="1" t="s">
        <v>202</v>
      </c>
      <c r="C34" s="1" t="s">
        <v>99</v>
      </c>
      <c r="D34" s="1" t="s">
        <v>100</v>
      </c>
      <c r="E34" s="1" t="s">
        <v>61</v>
      </c>
      <c r="F34" s="1" t="s">
        <v>101</v>
      </c>
      <c r="G34" s="1" t="s">
        <v>93</v>
      </c>
      <c r="H34" s="1" t="s">
        <v>64</v>
      </c>
      <c r="K34" s="1" t="s">
        <v>112</v>
      </c>
      <c r="L34" s="1" t="s">
        <v>113</v>
      </c>
      <c r="M34" s="1" t="s">
        <v>104</v>
      </c>
      <c r="N34" s="1" t="s">
        <v>203</v>
      </c>
      <c r="O34" s="1" t="s">
        <v>204</v>
      </c>
      <c r="P34" s="1" t="e">
        <f aca="false">image("https://drive.google.com/uc?export=view&amp;id=132d3sBZIlXYFXsHKD1j4p8ekQLSPVueT")</f>
        <v>#NAME?</v>
      </c>
      <c r="Q34" s="1" t="s">
        <v>205</v>
      </c>
      <c r="U34" s="1" t="s">
        <v>201</v>
      </c>
      <c r="Z34" s="1" t="s">
        <v>71</v>
      </c>
      <c r="AE34" s="1" t="s">
        <v>107</v>
      </c>
      <c r="AH34" s="1" t="s">
        <v>73</v>
      </c>
      <c r="AK34" s="1" t="s">
        <v>71</v>
      </c>
      <c r="AM34" s="1" t="s">
        <v>71</v>
      </c>
      <c r="AN34" s="1" t="s">
        <v>71</v>
      </c>
      <c r="AS34" s="1" t="s">
        <v>71</v>
      </c>
      <c r="AX34" s="1" t="s">
        <v>71</v>
      </c>
      <c r="AY34" s="1" t="s">
        <v>59</v>
      </c>
      <c r="AZ34" s="1" t="s">
        <v>74</v>
      </c>
      <c r="BH34" s="1" t="s">
        <v>71</v>
      </c>
    </row>
    <row r="35" customFormat="false" ht="15" hidden="false" customHeight="false" outlineLevel="0" collapsed="false">
      <c r="A35" s="1" t="s">
        <v>206</v>
      </c>
      <c r="B35" s="1" t="s">
        <v>207</v>
      </c>
      <c r="C35" s="1" t="s">
        <v>136</v>
      </c>
      <c r="D35" s="1" t="s">
        <v>208</v>
      </c>
      <c r="E35" s="1" t="s">
        <v>59</v>
      </c>
      <c r="F35" s="1" t="s">
        <v>63</v>
      </c>
      <c r="G35" s="1" t="s">
        <v>59</v>
      </c>
      <c r="H35" s="1" t="s">
        <v>64</v>
      </c>
      <c r="K35" s="1" t="s">
        <v>82</v>
      </c>
      <c r="L35" s="1" t="s">
        <v>83</v>
      </c>
      <c r="M35" s="1" t="s">
        <v>209</v>
      </c>
      <c r="N35" s="1" t="s">
        <v>85</v>
      </c>
      <c r="O35" s="1" t="s">
        <v>86</v>
      </c>
      <c r="P35" s="1"/>
      <c r="Q35" s="1" t="s">
        <v>70</v>
      </c>
      <c r="U35" s="1" t="s">
        <v>206</v>
      </c>
      <c r="Z35" s="1" t="s">
        <v>71</v>
      </c>
      <c r="AE35" s="1" t="s">
        <v>210</v>
      </c>
      <c r="AH35" s="1" t="s">
        <v>73</v>
      </c>
      <c r="AK35" s="1" t="s">
        <v>71</v>
      </c>
      <c r="AM35" s="1" t="s">
        <v>71</v>
      </c>
      <c r="AN35" s="1" t="s">
        <v>71</v>
      </c>
      <c r="AS35" s="1" t="s">
        <v>71</v>
      </c>
      <c r="AX35" s="1" t="s">
        <v>71</v>
      </c>
      <c r="AY35" s="1" t="s">
        <v>59</v>
      </c>
      <c r="AZ35" s="1" t="s">
        <v>74</v>
      </c>
      <c r="BH35" s="1" t="s">
        <v>71</v>
      </c>
    </row>
    <row r="36" customFormat="false" ht="15" hidden="false" customHeight="false" outlineLevel="0" collapsed="false">
      <c r="A36" s="1" t="s">
        <v>211</v>
      </c>
      <c r="B36" s="1" t="s">
        <v>212</v>
      </c>
      <c r="C36" s="1" t="s">
        <v>213</v>
      </c>
      <c r="D36" s="1" t="s">
        <v>214</v>
      </c>
      <c r="E36" s="1" t="s">
        <v>59</v>
      </c>
      <c r="F36" s="1" t="s">
        <v>63</v>
      </c>
      <c r="G36" s="1" t="s">
        <v>59</v>
      </c>
      <c r="H36" s="1" t="s">
        <v>64</v>
      </c>
      <c r="K36" s="1" t="s">
        <v>88</v>
      </c>
      <c r="L36" s="1" t="s">
        <v>89</v>
      </c>
      <c r="M36" s="1" t="s">
        <v>90</v>
      </c>
      <c r="N36" s="1" t="s">
        <v>85</v>
      </c>
      <c r="O36" s="1" t="s">
        <v>86</v>
      </c>
      <c r="P36" s="1"/>
      <c r="Q36" s="1" t="s">
        <v>70</v>
      </c>
      <c r="U36" s="1" t="s">
        <v>211</v>
      </c>
      <c r="Z36" s="1" t="s">
        <v>71</v>
      </c>
      <c r="AA36" s="1" t="s">
        <v>91</v>
      </c>
      <c r="AE36" s="1" t="s">
        <v>210</v>
      </c>
      <c r="AH36" s="1" t="s">
        <v>73</v>
      </c>
      <c r="AK36" s="1" t="s">
        <v>71</v>
      </c>
      <c r="AM36" s="1" t="s">
        <v>71</v>
      </c>
      <c r="AN36" s="1" t="s">
        <v>71</v>
      </c>
      <c r="AS36" s="1" t="s">
        <v>71</v>
      </c>
      <c r="AX36" s="1" t="s">
        <v>71</v>
      </c>
      <c r="AY36" s="1" t="s">
        <v>59</v>
      </c>
      <c r="AZ36" s="1" t="s">
        <v>74</v>
      </c>
      <c r="BH36" s="1" t="s">
        <v>71</v>
      </c>
    </row>
    <row r="37" customFormat="false" ht="15" hidden="false" customHeight="false" outlineLevel="0" collapsed="false">
      <c r="A37" s="1" t="s">
        <v>215</v>
      </c>
      <c r="B37" s="1" t="s">
        <v>216</v>
      </c>
      <c r="C37" s="1" t="s">
        <v>99</v>
      </c>
      <c r="D37" s="1" t="s">
        <v>100</v>
      </c>
      <c r="E37" s="1" t="s">
        <v>61</v>
      </c>
      <c r="F37" s="1" t="s">
        <v>101</v>
      </c>
      <c r="G37" s="1" t="s">
        <v>93</v>
      </c>
      <c r="H37" s="1" t="s">
        <v>64</v>
      </c>
      <c r="K37" s="1" t="s">
        <v>217</v>
      </c>
      <c r="L37" s="1" t="s">
        <v>218</v>
      </c>
      <c r="M37" s="1" t="s">
        <v>104</v>
      </c>
      <c r="N37" s="1" t="s">
        <v>123</v>
      </c>
      <c r="O37" s="1" t="s">
        <v>124</v>
      </c>
      <c r="P37" s="1"/>
      <c r="Q37" s="1" t="s">
        <v>70</v>
      </c>
      <c r="U37" s="1" t="s">
        <v>219</v>
      </c>
      <c r="Z37" s="1" t="s">
        <v>71</v>
      </c>
      <c r="AE37" s="1" t="s">
        <v>210</v>
      </c>
      <c r="AH37" s="1" t="s">
        <v>73</v>
      </c>
      <c r="AK37" s="1" t="s">
        <v>71</v>
      </c>
      <c r="AM37" s="1" t="s">
        <v>71</v>
      </c>
      <c r="AN37" s="1" t="s">
        <v>71</v>
      </c>
      <c r="AS37" s="1" t="s">
        <v>71</v>
      </c>
      <c r="AX37" s="1" t="s">
        <v>71</v>
      </c>
      <c r="AY37" s="1" t="s">
        <v>59</v>
      </c>
      <c r="AZ37" s="1" t="s">
        <v>74</v>
      </c>
      <c r="BH37" s="1" t="s">
        <v>71</v>
      </c>
    </row>
    <row r="38" customFormat="false" ht="15" hidden="false" customHeight="false" outlineLevel="0" collapsed="false">
      <c r="A38" s="1" t="s">
        <v>220</v>
      </c>
      <c r="B38" s="1" t="s">
        <v>221</v>
      </c>
      <c r="C38" s="1" t="s">
        <v>222</v>
      </c>
      <c r="D38" s="1" t="s">
        <v>223</v>
      </c>
      <c r="E38" s="1" t="s">
        <v>61</v>
      </c>
      <c r="F38" s="1" t="s">
        <v>101</v>
      </c>
      <c r="G38" s="1" t="s">
        <v>93</v>
      </c>
      <c r="H38" s="1" t="s">
        <v>64</v>
      </c>
      <c r="K38" s="1" t="s">
        <v>224</v>
      </c>
      <c r="L38" s="1" t="s">
        <v>225</v>
      </c>
      <c r="M38" s="1" t="s">
        <v>226</v>
      </c>
      <c r="N38" s="1" t="s">
        <v>105</v>
      </c>
      <c r="O38" s="1" t="s">
        <v>106</v>
      </c>
      <c r="P38" s="1" t="e">
        <f aca="false">image("https://drive.google.com/uc?export=view&amp;id=1Hd_UJdKviIKeVmraWXToSFYiq7Sw0Asy")</f>
        <v>#NAME?</v>
      </c>
      <c r="Q38" s="1" t="s">
        <v>205</v>
      </c>
      <c r="U38" s="1" t="s">
        <v>220</v>
      </c>
      <c r="Z38" s="1" t="s">
        <v>71</v>
      </c>
      <c r="AE38" s="1" t="s">
        <v>210</v>
      </c>
      <c r="AH38" s="1" t="s">
        <v>73</v>
      </c>
      <c r="AK38" s="1" t="s">
        <v>71</v>
      </c>
      <c r="AM38" s="1" t="s">
        <v>71</v>
      </c>
      <c r="AN38" s="1" t="s">
        <v>71</v>
      </c>
      <c r="AS38" s="1" t="s">
        <v>71</v>
      </c>
      <c r="AX38" s="1" t="s">
        <v>71</v>
      </c>
      <c r="AY38" s="1" t="s">
        <v>59</v>
      </c>
      <c r="AZ38" s="1" t="s">
        <v>74</v>
      </c>
      <c r="BH38" s="1" t="s">
        <v>71</v>
      </c>
    </row>
    <row r="39" customFormat="false" ht="15" hidden="false" customHeight="false" outlineLevel="0" collapsed="false">
      <c r="A39" s="1" t="s">
        <v>227</v>
      </c>
      <c r="B39" s="1" t="s">
        <v>228</v>
      </c>
      <c r="C39" s="1" t="s">
        <v>229</v>
      </c>
      <c r="D39" s="1" t="s">
        <v>230</v>
      </c>
      <c r="E39" s="1" t="s">
        <v>61</v>
      </c>
      <c r="F39" s="1" t="s">
        <v>101</v>
      </c>
      <c r="G39" s="1" t="s">
        <v>148</v>
      </c>
      <c r="H39" s="1" t="s">
        <v>231</v>
      </c>
      <c r="K39" s="1" t="s">
        <v>232</v>
      </c>
      <c r="L39" s="1" t="s">
        <v>233</v>
      </c>
      <c r="M39" s="1" t="s">
        <v>104</v>
      </c>
      <c r="N39" s="1" t="s">
        <v>234</v>
      </c>
      <c r="O39" s="1" t="s">
        <v>235</v>
      </c>
      <c r="P39" s="1"/>
      <c r="Q39" s="1" t="s">
        <v>70</v>
      </c>
      <c r="U39" s="1" t="s">
        <v>227</v>
      </c>
      <c r="Z39" s="1" t="s">
        <v>71</v>
      </c>
      <c r="AE39" s="1" t="s">
        <v>236</v>
      </c>
      <c r="AH39" s="1" t="s">
        <v>73</v>
      </c>
      <c r="AK39" s="1" t="s">
        <v>71</v>
      </c>
      <c r="AM39" s="1" t="s">
        <v>71</v>
      </c>
      <c r="AN39" s="1" t="s">
        <v>71</v>
      </c>
      <c r="AS39" s="1" t="s">
        <v>71</v>
      </c>
      <c r="AX39" s="1" t="s">
        <v>71</v>
      </c>
      <c r="AY39" s="1" t="s">
        <v>59</v>
      </c>
      <c r="AZ39" s="1" t="s">
        <v>74</v>
      </c>
      <c r="BH39" s="1" t="s">
        <v>71</v>
      </c>
    </row>
    <row r="40" customFormat="false" ht="15" hidden="false" customHeight="false" outlineLevel="0" collapsed="false">
      <c r="A40" s="1" t="s">
        <v>237</v>
      </c>
      <c r="B40" s="1" t="s">
        <v>238</v>
      </c>
      <c r="C40" s="1" t="s">
        <v>182</v>
      </c>
      <c r="D40" s="1" t="s">
        <v>239</v>
      </c>
      <c r="E40" s="1" t="s">
        <v>61</v>
      </c>
      <c r="F40" s="1" t="s">
        <v>101</v>
      </c>
      <c r="G40" s="1" t="s">
        <v>148</v>
      </c>
      <c r="H40" s="1" t="s">
        <v>231</v>
      </c>
      <c r="K40" s="1" t="s">
        <v>240</v>
      </c>
      <c r="L40" s="1" t="s">
        <v>241</v>
      </c>
      <c r="M40" s="1" t="s">
        <v>242</v>
      </c>
      <c r="N40" s="1" t="s">
        <v>243</v>
      </c>
      <c r="O40" s="1" t="s">
        <v>244</v>
      </c>
      <c r="P40" s="1" t="e">
        <f aca="false">image("https://drive.google.com/uc?export=view&amp;id=1XGReF5LlYh1AD4V7mih4IpnzyPf74w5_")</f>
        <v>#NAME?</v>
      </c>
      <c r="Q40" s="1" t="s">
        <v>205</v>
      </c>
      <c r="U40" s="1" t="s">
        <v>245</v>
      </c>
      <c r="Z40" s="1" t="s">
        <v>71</v>
      </c>
      <c r="AE40" s="1" t="s">
        <v>246</v>
      </c>
      <c r="AH40" s="1" t="s">
        <v>73</v>
      </c>
      <c r="AK40" s="1" t="s">
        <v>71</v>
      </c>
      <c r="AM40" s="1" t="s">
        <v>71</v>
      </c>
      <c r="AN40" s="1" t="s">
        <v>71</v>
      </c>
      <c r="AS40" s="1" t="s">
        <v>71</v>
      </c>
      <c r="AX40" s="1" t="s">
        <v>71</v>
      </c>
      <c r="AY40" s="1" t="s">
        <v>59</v>
      </c>
      <c r="AZ40" s="1" t="s">
        <v>74</v>
      </c>
      <c r="BH40" s="1" t="s">
        <v>71</v>
      </c>
    </row>
    <row r="41" customFormat="false" ht="15" hidden="false" customHeight="false" outlineLevel="0" collapsed="false">
      <c r="A41" s="1" t="s">
        <v>247</v>
      </c>
      <c r="B41" s="1" t="s">
        <v>248</v>
      </c>
      <c r="C41" s="1" t="s">
        <v>99</v>
      </c>
      <c r="D41" s="1" t="s">
        <v>100</v>
      </c>
      <c r="E41" s="1" t="s">
        <v>61</v>
      </c>
      <c r="F41" s="1" t="s">
        <v>101</v>
      </c>
      <c r="G41" s="1" t="s">
        <v>93</v>
      </c>
      <c r="H41" s="1" t="s">
        <v>64</v>
      </c>
      <c r="K41" s="1" t="s">
        <v>249</v>
      </c>
      <c r="L41" s="1" t="s">
        <v>250</v>
      </c>
      <c r="M41" s="1" t="s">
        <v>104</v>
      </c>
      <c r="N41" s="1" t="s">
        <v>123</v>
      </c>
      <c r="O41" s="1" t="s">
        <v>124</v>
      </c>
      <c r="P41" s="1"/>
      <c r="Q41" s="1" t="s">
        <v>70</v>
      </c>
      <c r="U41" s="1" t="s">
        <v>247</v>
      </c>
      <c r="Z41" s="1" t="s">
        <v>71</v>
      </c>
      <c r="AE41" s="1" t="s">
        <v>236</v>
      </c>
      <c r="AH41" s="1" t="s">
        <v>73</v>
      </c>
      <c r="AK41" s="1" t="s">
        <v>71</v>
      </c>
      <c r="AM41" s="1" t="s">
        <v>71</v>
      </c>
      <c r="AN41" s="1" t="s">
        <v>71</v>
      </c>
      <c r="AS41" s="1" t="s">
        <v>71</v>
      </c>
      <c r="AX41" s="1" t="s">
        <v>71</v>
      </c>
      <c r="AY41" s="1" t="s">
        <v>59</v>
      </c>
      <c r="AZ41" s="1" t="s">
        <v>74</v>
      </c>
      <c r="BH41" s="1" t="s">
        <v>71</v>
      </c>
    </row>
    <row r="42" customFormat="false" ht="15" hidden="false" customHeight="false" outlineLevel="0" collapsed="false">
      <c r="A42" s="1" t="s">
        <v>251</v>
      </c>
      <c r="B42" s="1" t="s">
        <v>252</v>
      </c>
      <c r="C42" s="1" t="s">
        <v>253</v>
      </c>
      <c r="D42" s="1" t="s">
        <v>254</v>
      </c>
      <c r="E42" s="1" t="s">
        <v>65</v>
      </c>
      <c r="F42" s="1" t="s">
        <v>119</v>
      </c>
      <c r="G42" s="1" t="s">
        <v>88</v>
      </c>
      <c r="H42" s="1" t="s">
        <v>255</v>
      </c>
      <c r="K42" s="1" t="s">
        <v>256</v>
      </c>
      <c r="L42" s="1" t="s">
        <v>257</v>
      </c>
      <c r="M42" s="1" t="s">
        <v>258</v>
      </c>
      <c r="N42" s="1" t="s">
        <v>259</v>
      </c>
      <c r="O42" s="1" t="s">
        <v>260</v>
      </c>
      <c r="P42" s="1"/>
      <c r="Q42" s="1" t="s">
        <v>70</v>
      </c>
      <c r="U42" s="1" t="s">
        <v>251</v>
      </c>
      <c r="Z42" s="1" t="s">
        <v>71</v>
      </c>
      <c r="AE42" s="1" t="s">
        <v>236</v>
      </c>
      <c r="AH42" s="1" t="s">
        <v>73</v>
      </c>
      <c r="AK42" s="1" t="s">
        <v>71</v>
      </c>
      <c r="AM42" s="1" t="s">
        <v>71</v>
      </c>
      <c r="AN42" s="1" t="s">
        <v>71</v>
      </c>
      <c r="AS42" s="1" t="s">
        <v>71</v>
      </c>
      <c r="AX42" s="1" t="s">
        <v>71</v>
      </c>
      <c r="AY42" s="1" t="s">
        <v>59</v>
      </c>
      <c r="AZ42" s="1" t="s">
        <v>74</v>
      </c>
      <c r="BH42" s="1" t="s">
        <v>71</v>
      </c>
    </row>
    <row r="43" customFormat="false" ht="15" hidden="false" customHeight="false" outlineLevel="0" collapsed="false">
      <c r="A43" s="1" t="s">
        <v>261</v>
      </c>
      <c r="B43" s="1" t="s">
        <v>262</v>
      </c>
      <c r="C43" s="1" t="s">
        <v>182</v>
      </c>
      <c r="D43" s="1" t="s">
        <v>239</v>
      </c>
      <c r="E43" s="1" t="s">
        <v>65</v>
      </c>
      <c r="F43" s="1" t="s">
        <v>119</v>
      </c>
      <c r="G43" s="1" t="s">
        <v>88</v>
      </c>
      <c r="H43" s="1" t="s">
        <v>255</v>
      </c>
      <c r="K43" s="1" t="s">
        <v>256</v>
      </c>
      <c r="L43" s="1" t="s">
        <v>257</v>
      </c>
      <c r="M43" s="1" t="s">
        <v>258</v>
      </c>
      <c r="N43" s="1" t="s">
        <v>259</v>
      </c>
      <c r="O43" s="1" t="s">
        <v>260</v>
      </c>
      <c r="P43" s="1" t="e">
        <f aca="false">image("https://drive.google.com/uc?export=view&amp;id=1--eAIEKqs2N_gVYA_eOGusnpEzJtA-oh")</f>
        <v>#NAME?</v>
      </c>
      <c r="Q43" s="1" t="s">
        <v>205</v>
      </c>
      <c r="U43" s="1" t="s">
        <v>263</v>
      </c>
      <c r="V43" s="1" t="s">
        <v>264</v>
      </c>
      <c r="Z43" s="1" t="s">
        <v>71</v>
      </c>
      <c r="AE43" s="1" t="s">
        <v>236</v>
      </c>
      <c r="AH43" s="1" t="s">
        <v>73</v>
      </c>
      <c r="AK43" s="1" t="s">
        <v>71</v>
      </c>
      <c r="AM43" s="1" t="s">
        <v>71</v>
      </c>
      <c r="AN43" s="1" t="s">
        <v>71</v>
      </c>
      <c r="AS43" s="1" t="s">
        <v>71</v>
      </c>
      <c r="AX43" s="1" t="s">
        <v>71</v>
      </c>
      <c r="AY43" s="1" t="s">
        <v>59</v>
      </c>
      <c r="AZ43" s="1" t="s">
        <v>74</v>
      </c>
      <c r="BH43" s="1" t="s">
        <v>71</v>
      </c>
    </row>
    <row r="44" customFormat="false" ht="15" hidden="false" customHeight="false" outlineLevel="0" collapsed="false">
      <c r="A44" s="1" t="s">
        <v>265</v>
      </c>
      <c r="B44" s="1" t="s">
        <v>266</v>
      </c>
      <c r="C44" s="1" t="s">
        <v>163</v>
      </c>
      <c r="D44" s="1" t="s">
        <v>267</v>
      </c>
      <c r="E44" s="1" t="s">
        <v>61</v>
      </c>
      <c r="F44" s="1" t="s">
        <v>101</v>
      </c>
      <c r="G44" s="1" t="s">
        <v>177</v>
      </c>
      <c r="H44" s="1" t="s">
        <v>255</v>
      </c>
      <c r="K44" s="1" t="s">
        <v>134</v>
      </c>
      <c r="L44" s="1" t="s">
        <v>268</v>
      </c>
      <c r="M44" s="1" t="s">
        <v>269</v>
      </c>
      <c r="N44" s="1" t="s">
        <v>259</v>
      </c>
      <c r="O44" s="1" t="s">
        <v>260</v>
      </c>
      <c r="P44" s="1"/>
      <c r="Q44" s="1" t="s">
        <v>70</v>
      </c>
      <c r="U44" s="1" t="s">
        <v>265</v>
      </c>
      <c r="Z44" s="1" t="s">
        <v>71</v>
      </c>
      <c r="AE44" s="1" t="s">
        <v>236</v>
      </c>
      <c r="AH44" s="1" t="s">
        <v>73</v>
      </c>
      <c r="AK44" s="1" t="s">
        <v>71</v>
      </c>
      <c r="AM44" s="1" t="s">
        <v>71</v>
      </c>
      <c r="AN44" s="1" t="s">
        <v>71</v>
      </c>
      <c r="AS44" s="1" t="s">
        <v>71</v>
      </c>
      <c r="AX44" s="1" t="s">
        <v>71</v>
      </c>
      <c r="AY44" s="1" t="s">
        <v>59</v>
      </c>
      <c r="AZ44" s="1" t="s">
        <v>74</v>
      </c>
      <c r="BH44" s="1" t="s">
        <v>71</v>
      </c>
    </row>
    <row r="45" customFormat="false" ht="15" hidden="false" customHeight="false" outlineLevel="0" collapsed="false">
      <c r="A45" s="1" t="s">
        <v>192</v>
      </c>
      <c r="B45" s="1" t="s">
        <v>270</v>
      </c>
      <c r="C45" s="1" t="s">
        <v>163</v>
      </c>
      <c r="D45" s="1" t="s">
        <v>267</v>
      </c>
      <c r="E45" s="1" t="s">
        <v>61</v>
      </c>
      <c r="F45" s="1" t="s">
        <v>101</v>
      </c>
      <c r="G45" s="1" t="s">
        <v>148</v>
      </c>
      <c r="H45" s="1" t="s">
        <v>231</v>
      </c>
      <c r="K45" s="1" t="s">
        <v>240</v>
      </c>
      <c r="L45" s="1" t="s">
        <v>241</v>
      </c>
      <c r="M45" s="1" t="s">
        <v>242</v>
      </c>
      <c r="N45" s="1" t="s">
        <v>243</v>
      </c>
      <c r="O45" s="1" t="s">
        <v>244</v>
      </c>
      <c r="P45" s="1"/>
      <c r="Q45" s="1" t="s">
        <v>70</v>
      </c>
      <c r="U45" s="1" t="s">
        <v>192</v>
      </c>
      <c r="Z45" s="1" t="s">
        <v>71</v>
      </c>
      <c r="AE45" s="1" t="s">
        <v>246</v>
      </c>
      <c r="AH45" s="1" t="s">
        <v>73</v>
      </c>
      <c r="AK45" s="1" t="s">
        <v>71</v>
      </c>
      <c r="AM45" s="1" t="s">
        <v>71</v>
      </c>
      <c r="AN45" s="1" t="s">
        <v>71</v>
      </c>
      <c r="AS45" s="1" t="s">
        <v>71</v>
      </c>
      <c r="AX45" s="1" t="s">
        <v>71</v>
      </c>
      <c r="AY45" s="1" t="s">
        <v>59</v>
      </c>
      <c r="AZ45" s="1" t="s">
        <v>74</v>
      </c>
      <c r="BH45" s="1" t="s">
        <v>71</v>
      </c>
    </row>
    <row r="46" customFormat="false" ht="15" hidden="false" customHeight="false" outlineLevel="0" collapsed="false">
      <c r="A46" s="1" t="s">
        <v>271</v>
      </c>
      <c r="B46" s="1" t="s">
        <v>272</v>
      </c>
      <c r="C46" s="1" t="s">
        <v>273</v>
      </c>
      <c r="D46" s="1" t="s">
        <v>274</v>
      </c>
      <c r="E46" s="1" t="s">
        <v>61</v>
      </c>
      <c r="F46" s="1" t="s">
        <v>101</v>
      </c>
      <c r="G46" s="1" t="s">
        <v>275</v>
      </c>
      <c r="H46" s="1" t="s">
        <v>276</v>
      </c>
      <c r="K46" s="1" t="s">
        <v>102</v>
      </c>
      <c r="L46" s="1" t="s">
        <v>277</v>
      </c>
      <c r="M46" s="1" t="s">
        <v>278</v>
      </c>
      <c r="N46" s="1" t="s">
        <v>279</v>
      </c>
      <c r="O46" s="1" t="s">
        <v>280</v>
      </c>
      <c r="P46" s="1"/>
      <c r="Q46" s="1" t="s">
        <v>70</v>
      </c>
      <c r="U46" s="1" t="s">
        <v>271</v>
      </c>
      <c r="Z46" s="1" t="s">
        <v>71</v>
      </c>
      <c r="AE46" s="1" t="s">
        <v>236</v>
      </c>
      <c r="AH46" s="1" t="s">
        <v>73</v>
      </c>
      <c r="AK46" s="1" t="s">
        <v>71</v>
      </c>
      <c r="AM46" s="1" t="s">
        <v>71</v>
      </c>
      <c r="AN46" s="1" t="s">
        <v>71</v>
      </c>
      <c r="AS46" s="1" t="s">
        <v>71</v>
      </c>
      <c r="AX46" s="1" t="s">
        <v>71</v>
      </c>
      <c r="AY46" s="1" t="s">
        <v>59</v>
      </c>
      <c r="AZ46" s="1" t="s">
        <v>74</v>
      </c>
      <c r="BH46" s="1" t="s">
        <v>71</v>
      </c>
    </row>
    <row r="47" customFormat="false" ht="15" hidden="false" customHeight="false" outlineLevel="0" collapsed="false">
      <c r="A47" s="1" t="s">
        <v>281</v>
      </c>
      <c r="B47" s="1" t="s">
        <v>282</v>
      </c>
      <c r="C47" s="1" t="s">
        <v>61</v>
      </c>
      <c r="D47" s="1" t="s">
        <v>62</v>
      </c>
      <c r="E47" s="1" t="s">
        <v>61</v>
      </c>
      <c r="F47" s="1" t="s">
        <v>101</v>
      </c>
      <c r="G47" s="1" t="s">
        <v>93</v>
      </c>
      <c r="H47" s="1" t="s">
        <v>64</v>
      </c>
      <c r="K47" s="1" t="s">
        <v>283</v>
      </c>
      <c r="L47" s="1" t="s">
        <v>284</v>
      </c>
      <c r="M47" s="1" t="s">
        <v>285</v>
      </c>
      <c r="N47" s="1" t="s">
        <v>105</v>
      </c>
      <c r="O47" s="1" t="s">
        <v>106</v>
      </c>
      <c r="P47" s="1"/>
      <c r="Q47" s="1" t="s">
        <v>70</v>
      </c>
      <c r="U47" s="1" t="s">
        <v>281</v>
      </c>
      <c r="Z47" s="1" t="s">
        <v>71</v>
      </c>
      <c r="AE47" s="1" t="s">
        <v>125</v>
      </c>
      <c r="AH47" s="1" t="s">
        <v>73</v>
      </c>
      <c r="AK47" s="1" t="s">
        <v>71</v>
      </c>
      <c r="AM47" s="1" t="s">
        <v>71</v>
      </c>
      <c r="AN47" s="1" t="s">
        <v>71</v>
      </c>
      <c r="AS47" s="1" t="s">
        <v>71</v>
      </c>
      <c r="AX47" s="1" t="s">
        <v>71</v>
      </c>
      <c r="AY47" s="1" t="s">
        <v>59</v>
      </c>
      <c r="AZ47" s="1" t="s">
        <v>74</v>
      </c>
      <c r="BH47" s="1" t="s">
        <v>71</v>
      </c>
    </row>
    <row r="48" customFormat="false" ht="15" hidden="false" customHeight="false" outlineLevel="0" collapsed="false">
      <c r="A48" s="1" t="s">
        <v>286</v>
      </c>
      <c r="B48" s="1" t="s">
        <v>287</v>
      </c>
      <c r="C48" s="1" t="s">
        <v>288</v>
      </c>
      <c r="D48" s="1" t="s">
        <v>289</v>
      </c>
      <c r="E48" s="1" t="s">
        <v>61</v>
      </c>
      <c r="F48" s="1" t="s">
        <v>101</v>
      </c>
      <c r="G48" s="1" t="s">
        <v>93</v>
      </c>
      <c r="H48" s="1" t="s">
        <v>64</v>
      </c>
      <c r="K48" s="1" t="s">
        <v>290</v>
      </c>
      <c r="L48" s="1" t="s">
        <v>291</v>
      </c>
      <c r="M48" s="1" t="s">
        <v>104</v>
      </c>
      <c r="N48" s="1" t="s">
        <v>105</v>
      </c>
      <c r="O48" s="1" t="s">
        <v>106</v>
      </c>
      <c r="P48" s="1" t="e">
        <f aca="false">image("https://drive.google.com/uc?export=view&amp;id=1aFYnHK4XLNxx-WOC8NS8QU1nuNZMj3GD")</f>
        <v>#NAME?</v>
      </c>
      <c r="Q48" s="1" t="s">
        <v>205</v>
      </c>
      <c r="U48" s="1" t="s">
        <v>286</v>
      </c>
      <c r="Z48" s="1" t="s">
        <v>71</v>
      </c>
      <c r="AE48" s="1" t="s">
        <v>292</v>
      </c>
      <c r="AH48" s="1" t="s">
        <v>73</v>
      </c>
      <c r="AK48" s="1" t="s">
        <v>71</v>
      </c>
      <c r="AM48" s="1" t="s">
        <v>71</v>
      </c>
      <c r="AN48" s="1" t="s">
        <v>71</v>
      </c>
      <c r="AS48" s="1" t="s">
        <v>71</v>
      </c>
      <c r="AX48" s="1" t="s">
        <v>71</v>
      </c>
      <c r="AY48" s="1" t="s">
        <v>59</v>
      </c>
      <c r="AZ48" s="1" t="s">
        <v>74</v>
      </c>
      <c r="BH48" s="1" t="s">
        <v>71</v>
      </c>
    </row>
    <row r="49" customFormat="false" ht="15" hidden="false" customHeight="false" outlineLevel="0" collapsed="false">
      <c r="A49" s="1" t="s">
        <v>293</v>
      </c>
      <c r="B49" s="1" t="s">
        <v>294</v>
      </c>
      <c r="C49" s="1" t="s">
        <v>273</v>
      </c>
      <c r="D49" s="1" t="s">
        <v>274</v>
      </c>
      <c r="E49" s="1" t="s">
        <v>61</v>
      </c>
      <c r="F49" s="1" t="s">
        <v>101</v>
      </c>
      <c r="G49" s="1" t="s">
        <v>275</v>
      </c>
      <c r="H49" s="1" t="s">
        <v>276</v>
      </c>
      <c r="K49" s="1" t="s">
        <v>142</v>
      </c>
      <c r="L49" s="1" t="s">
        <v>295</v>
      </c>
      <c r="M49" s="1" t="s">
        <v>296</v>
      </c>
      <c r="N49" s="1" t="s">
        <v>279</v>
      </c>
      <c r="O49" s="1" t="s">
        <v>280</v>
      </c>
      <c r="P49" s="1"/>
      <c r="Q49" s="1" t="s">
        <v>70</v>
      </c>
      <c r="U49" s="1" t="s">
        <v>293</v>
      </c>
      <c r="Z49" s="1" t="s">
        <v>71</v>
      </c>
      <c r="AE49" s="1" t="s">
        <v>246</v>
      </c>
      <c r="AH49" s="1" t="s">
        <v>73</v>
      </c>
      <c r="AK49" s="1" t="s">
        <v>71</v>
      </c>
      <c r="AM49" s="1" t="s">
        <v>71</v>
      </c>
      <c r="AN49" s="1" t="s">
        <v>71</v>
      </c>
      <c r="AS49" s="1" t="s">
        <v>71</v>
      </c>
      <c r="AX49" s="1" t="s">
        <v>71</v>
      </c>
      <c r="AY49" s="1" t="s">
        <v>59</v>
      </c>
      <c r="AZ49" s="1" t="s">
        <v>74</v>
      </c>
      <c r="BH49" s="1" t="s">
        <v>71</v>
      </c>
    </row>
    <row r="50" customFormat="false" ht="15" hidden="false" customHeight="false" outlineLevel="0" collapsed="false">
      <c r="A50" s="1" t="s">
        <v>297</v>
      </c>
      <c r="B50" s="1" t="s">
        <v>298</v>
      </c>
      <c r="C50" s="1" t="s">
        <v>163</v>
      </c>
      <c r="D50" s="1" t="s">
        <v>267</v>
      </c>
      <c r="E50" s="1" t="s">
        <v>61</v>
      </c>
      <c r="F50" s="1" t="s">
        <v>101</v>
      </c>
      <c r="G50" s="1" t="s">
        <v>177</v>
      </c>
      <c r="H50" s="1" t="s">
        <v>255</v>
      </c>
      <c r="K50" s="1" t="s">
        <v>173</v>
      </c>
      <c r="L50" s="1" t="s">
        <v>299</v>
      </c>
      <c r="M50" s="1" t="s">
        <v>269</v>
      </c>
      <c r="N50" s="1" t="s">
        <v>259</v>
      </c>
      <c r="O50" s="1" t="s">
        <v>260</v>
      </c>
      <c r="P50" s="1" t="e">
        <f aca="false">image("https://drive.google.com/uc?export=view&amp;id=1nJEjPvvtgd0yJj6tTk0mu-N9XVgwpVkD")</f>
        <v>#NAME?</v>
      </c>
      <c r="Q50" s="1" t="s">
        <v>205</v>
      </c>
      <c r="U50" s="1" t="s">
        <v>297</v>
      </c>
      <c r="Z50" s="1" t="s">
        <v>71</v>
      </c>
      <c r="AE50" s="1" t="s">
        <v>246</v>
      </c>
      <c r="AH50" s="1" t="s">
        <v>73</v>
      </c>
      <c r="AK50" s="1" t="s">
        <v>71</v>
      </c>
      <c r="AM50" s="1" t="s">
        <v>71</v>
      </c>
      <c r="AN50" s="1" t="s">
        <v>71</v>
      </c>
      <c r="AS50" s="1" t="s">
        <v>71</v>
      </c>
      <c r="AX50" s="1" t="s">
        <v>71</v>
      </c>
      <c r="AY50" s="1" t="s">
        <v>59</v>
      </c>
      <c r="AZ50" s="1" t="s">
        <v>74</v>
      </c>
      <c r="BH50" s="1" t="s">
        <v>71</v>
      </c>
    </row>
    <row r="51" customFormat="false" ht="15" hidden="false" customHeight="false" outlineLevel="0" collapsed="false">
      <c r="A51" s="1" t="s">
        <v>300</v>
      </c>
      <c r="B51" s="1" t="s">
        <v>301</v>
      </c>
      <c r="C51" s="1" t="s">
        <v>88</v>
      </c>
      <c r="D51" s="1" t="s">
        <v>154</v>
      </c>
      <c r="E51" s="1" t="s">
        <v>61</v>
      </c>
      <c r="F51" s="1" t="s">
        <v>101</v>
      </c>
      <c r="G51" s="1" t="s">
        <v>93</v>
      </c>
      <c r="H51" s="1" t="s">
        <v>64</v>
      </c>
      <c r="K51" s="1" t="s">
        <v>302</v>
      </c>
      <c r="L51" s="1" t="s">
        <v>303</v>
      </c>
      <c r="M51" s="1" t="s">
        <v>122</v>
      </c>
      <c r="N51" s="1" t="s">
        <v>105</v>
      </c>
      <c r="O51" s="1" t="s">
        <v>106</v>
      </c>
      <c r="P51" s="1"/>
      <c r="Q51" s="1" t="s">
        <v>70</v>
      </c>
      <c r="U51" s="1" t="s">
        <v>300</v>
      </c>
      <c r="Z51" s="1" t="s">
        <v>71</v>
      </c>
      <c r="AE51" s="1" t="s">
        <v>125</v>
      </c>
      <c r="AH51" s="1" t="s">
        <v>73</v>
      </c>
      <c r="AK51" s="1" t="s">
        <v>71</v>
      </c>
      <c r="AM51" s="1" t="s">
        <v>71</v>
      </c>
      <c r="AN51" s="1" t="s">
        <v>71</v>
      </c>
      <c r="AS51" s="1" t="s">
        <v>71</v>
      </c>
      <c r="AX51" s="1" t="s">
        <v>71</v>
      </c>
      <c r="AY51" s="1" t="s">
        <v>59</v>
      </c>
      <c r="AZ51" s="1" t="s">
        <v>74</v>
      </c>
      <c r="BH51" s="1" t="s">
        <v>71</v>
      </c>
    </row>
    <row r="52" customFormat="false" ht="15" hidden="false" customHeight="false" outlineLevel="0" collapsed="false">
      <c r="A52" s="1" t="s">
        <v>304</v>
      </c>
      <c r="B52" s="1" t="s">
        <v>305</v>
      </c>
      <c r="C52" s="1" t="s">
        <v>128</v>
      </c>
      <c r="D52" s="1" t="s">
        <v>129</v>
      </c>
      <c r="E52" s="1" t="s">
        <v>61</v>
      </c>
      <c r="F52" s="1" t="s">
        <v>101</v>
      </c>
      <c r="G52" s="1" t="s">
        <v>93</v>
      </c>
      <c r="H52" s="1" t="s">
        <v>64</v>
      </c>
      <c r="K52" s="1" t="s">
        <v>112</v>
      </c>
      <c r="L52" s="1" t="s">
        <v>113</v>
      </c>
      <c r="M52" s="1" t="s">
        <v>104</v>
      </c>
      <c r="N52" s="1" t="s">
        <v>105</v>
      </c>
      <c r="O52" s="1" t="s">
        <v>106</v>
      </c>
      <c r="P52" s="1"/>
      <c r="Q52" s="1" t="s">
        <v>70</v>
      </c>
      <c r="U52" s="1" t="s">
        <v>304</v>
      </c>
      <c r="Z52" s="1" t="s">
        <v>71</v>
      </c>
      <c r="AE52" s="1" t="s">
        <v>236</v>
      </c>
      <c r="AH52" s="1" t="s">
        <v>73</v>
      </c>
      <c r="AK52" s="1" t="s">
        <v>71</v>
      </c>
      <c r="AM52" s="1" t="s">
        <v>71</v>
      </c>
      <c r="AN52" s="1" t="s">
        <v>71</v>
      </c>
      <c r="AS52" s="1" t="s">
        <v>71</v>
      </c>
      <c r="AX52" s="1" t="s">
        <v>71</v>
      </c>
      <c r="AY52" s="1" t="s">
        <v>59</v>
      </c>
      <c r="AZ52" s="1" t="s">
        <v>74</v>
      </c>
      <c r="BH52" s="1" t="s">
        <v>71</v>
      </c>
    </row>
    <row r="53" customFormat="false" ht="15" hidden="false" customHeight="false" outlineLevel="0" collapsed="false">
      <c r="A53" s="1" t="s">
        <v>306</v>
      </c>
      <c r="B53" s="1" t="s">
        <v>307</v>
      </c>
      <c r="C53" s="1" t="s">
        <v>163</v>
      </c>
      <c r="D53" s="1" t="s">
        <v>267</v>
      </c>
      <c r="E53" s="1" t="s">
        <v>61</v>
      </c>
      <c r="F53" s="1" t="s">
        <v>101</v>
      </c>
      <c r="G53" s="1" t="s">
        <v>148</v>
      </c>
      <c r="H53" s="1" t="s">
        <v>231</v>
      </c>
      <c r="K53" s="1" t="s">
        <v>308</v>
      </c>
      <c r="L53" s="1" t="s">
        <v>309</v>
      </c>
      <c r="M53" s="1" t="s">
        <v>310</v>
      </c>
      <c r="N53" s="1" t="s">
        <v>243</v>
      </c>
      <c r="O53" s="1" t="s">
        <v>244</v>
      </c>
      <c r="P53" s="1"/>
      <c r="Q53" s="1" t="s">
        <v>70</v>
      </c>
      <c r="U53" s="1" t="s">
        <v>306</v>
      </c>
      <c r="Z53" s="1" t="s">
        <v>71</v>
      </c>
      <c r="AE53" s="1" t="s">
        <v>311</v>
      </c>
      <c r="AH53" s="1" t="s">
        <v>73</v>
      </c>
      <c r="AK53" s="1" t="s">
        <v>71</v>
      </c>
      <c r="AM53" s="1" t="s">
        <v>71</v>
      </c>
      <c r="AN53" s="1" t="s">
        <v>71</v>
      </c>
      <c r="AS53" s="1" t="s">
        <v>71</v>
      </c>
      <c r="AY53" s="1" t="s">
        <v>59</v>
      </c>
      <c r="AZ53" s="1" t="s">
        <v>74</v>
      </c>
      <c r="BH53" s="1" t="s">
        <v>71</v>
      </c>
    </row>
    <row r="54" customFormat="false" ht="15" hidden="false" customHeight="false" outlineLevel="0" collapsed="false">
      <c r="A54" s="1" t="s">
        <v>312</v>
      </c>
      <c r="B54" s="1" t="s">
        <v>313</v>
      </c>
      <c r="C54" s="1" t="s">
        <v>182</v>
      </c>
      <c r="D54" s="1" t="s">
        <v>239</v>
      </c>
      <c r="E54" s="1" t="s">
        <v>61</v>
      </c>
      <c r="F54" s="1" t="s">
        <v>101</v>
      </c>
      <c r="G54" s="1" t="s">
        <v>148</v>
      </c>
      <c r="H54" s="1" t="s">
        <v>231</v>
      </c>
      <c r="K54" s="1" t="s">
        <v>308</v>
      </c>
      <c r="L54" s="1" t="s">
        <v>309</v>
      </c>
      <c r="M54" s="1" t="s">
        <v>314</v>
      </c>
      <c r="N54" s="1" t="s">
        <v>243</v>
      </c>
      <c r="O54" s="1" t="s">
        <v>244</v>
      </c>
      <c r="P54" s="1" t="e">
        <f aca="false">image("https://drive.google.com/uc?export=view&amp;id=1uqoOCZeyhEhs79och7-u3YadLJC5qvzc")</f>
        <v>#NAME?</v>
      </c>
      <c r="Q54" s="1" t="s">
        <v>205</v>
      </c>
      <c r="U54" s="1" t="s">
        <v>263</v>
      </c>
      <c r="Z54" s="1" t="s">
        <v>71</v>
      </c>
      <c r="AE54" s="1" t="s">
        <v>311</v>
      </c>
      <c r="AH54" s="1" t="s">
        <v>73</v>
      </c>
      <c r="AK54" s="1" t="s">
        <v>71</v>
      </c>
      <c r="AM54" s="1" t="s">
        <v>71</v>
      </c>
      <c r="AN54" s="1" t="s">
        <v>71</v>
      </c>
      <c r="AS54" s="1" t="s">
        <v>71</v>
      </c>
      <c r="AX54" s="1" t="s">
        <v>71</v>
      </c>
      <c r="AY54" s="1" t="s">
        <v>59</v>
      </c>
      <c r="AZ54" s="1" t="s">
        <v>74</v>
      </c>
      <c r="BH54" s="1" t="s">
        <v>71</v>
      </c>
    </row>
    <row r="55" customFormat="false" ht="15" hidden="false" customHeight="false" outlineLevel="0" collapsed="false">
      <c r="A55" s="1" t="s">
        <v>315</v>
      </c>
      <c r="B55" s="1" t="s">
        <v>316</v>
      </c>
      <c r="C55" s="1" t="s">
        <v>288</v>
      </c>
      <c r="D55" s="1" t="s">
        <v>289</v>
      </c>
      <c r="E55" s="1" t="s">
        <v>61</v>
      </c>
      <c r="F55" s="1" t="s">
        <v>101</v>
      </c>
      <c r="G55" s="1" t="s">
        <v>93</v>
      </c>
      <c r="H55" s="1" t="s">
        <v>64</v>
      </c>
      <c r="K55" s="1" t="s">
        <v>190</v>
      </c>
      <c r="L55" s="1" t="s">
        <v>317</v>
      </c>
      <c r="M55" s="1" t="s">
        <v>122</v>
      </c>
      <c r="N55" s="1" t="s">
        <v>105</v>
      </c>
      <c r="O55" s="1" t="s">
        <v>106</v>
      </c>
      <c r="P55" s="1"/>
      <c r="Q55" s="1" t="s">
        <v>70</v>
      </c>
      <c r="U55" s="1" t="s">
        <v>315</v>
      </c>
      <c r="Z55" s="1" t="s">
        <v>71</v>
      </c>
      <c r="AE55" s="1" t="s">
        <v>210</v>
      </c>
      <c r="AH55" s="1" t="s">
        <v>73</v>
      </c>
      <c r="AK55" s="1" t="s">
        <v>71</v>
      </c>
      <c r="AM55" s="1" t="s">
        <v>71</v>
      </c>
      <c r="AN55" s="1" t="s">
        <v>71</v>
      </c>
      <c r="AS55" s="1" t="s">
        <v>71</v>
      </c>
      <c r="AX55" s="1" t="s">
        <v>71</v>
      </c>
      <c r="AY55" s="1" t="s">
        <v>59</v>
      </c>
      <c r="AZ55" s="1" t="s">
        <v>74</v>
      </c>
      <c r="BH55" s="1" t="s">
        <v>71</v>
      </c>
    </row>
    <row r="56" customFormat="false" ht="15" hidden="false" customHeight="false" outlineLevel="0" collapsed="false">
      <c r="A56" s="1" t="s">
        <v>318</v>
      </c>
      <c r="B56" s="1" t="s">
        <v>319</v>
      </c>
      <c r="C56" s="1" t="s">
        <v>88</v>
      </c>
      <c r="D56" s="1" t="s">
        <v>154</v>
      </c>
      <c r="E56" s="1" t="s">
        <v>61</v>
      </c>
      <c r="F56" s="1" t="s">
        <v>101</v>
      </c>
      <c r="G56" s="1" t="s">
        <v>93</v>
      </c>
      <c r="H56" s="1" t="s">
        <v>64</v>
      </c>
      <c r="K56" s="1" t="s">
        <v>190</v>
      </c>
      <c r="L56" s="1" t="s">
        <v>317</v>
      </c>
      <c r="M56" s="1" t="s">
        <v>122</v>
      </c>
      <c r="N56" s="1" t="s">
        <v>105</v>
      </c>
      <c r="O56" s="1" t="s">
        <v>106</v>
      </c>
      <c r="P56" s="1"/>
      <c r="Q56" s="1" t="s">
        <v>70</v>
      </c>
      <c r="U56" s="1" t="s">
        <v>318</v>
      </c>
      <c r="Z56" s="1" t="s">
        <v>71</v>
      </c>
      <c r="AA56" s="1" t="s">
        <v>91</v>
      </c>
      <c r="AE56" s="1" t="s">
        <v>210</v>
      </c>
      <c r="AH56" s="1" t="s">
        <v>73</v>
      </c>
      <c r="AK56" s="1" t="s">
        <v>71</v>
      </c>
      <c r="AM56" s="1" t="s">
        <v>71</v>
      </c>
      <c r="AN56" s="1" t="s">
        <v>71</v>
      </c>
      <c r="AS56" s="1" t="s">
        <v>71</v>
      </c>
      <c r="AX56" s="1" t="s">
        <v>71</v>
      </c>
      <c r="AY56" s="1" t="s">
        <v>59</v>
      </c>
      <c r="AZ56" s="1" t="s">
        <v>74</v>
      </c>
      <c r="BH56" s="1" t="s">
        <v>71</v>
      </c>
    </row>
    <row r="57" customFormat="false" ht="15" hidden="false" customHeight="false" outlineLevel="0" collapsed="false">
      <c r="A57" s="1" t="s">
        <v>320</v>
      </c>
      <c r="B57" s="1" t="s">
        <v>321</v>
      </c>
      <c r="C57" s="1" t="s">
        <v>128</v>
      </c>
      <c r="D57" s="1" t="s">
        <v>129</v>
      </c>
      <c r="E57" s="1" t="s">
        <v>61</v>
      </c>
      <c r="F57" s="1" t="s">
        <v>101</v>
      </c>
      <c r="G57" s="1" t="s">
        <v>93</v>
      </c>
      <c r="H57" s="1" t="s">
        <v>64</v>
      </c>
      <c r="K57" s="1" t="s">
        <v>283</v>
      </c>
      <c r="L57" s="1" t="s">
        <v>284</v>
      </c>
      <c r="M57" s="1" t="s">
        <v>104</v>
      </c>
      <c r="N57" s="1" t="s">
        <v>105</v>
      </c>
      <c r="O57" s="1" t="s">
        <v>106</v>
      </c>
      <c r="P57" s="1"/>
      <c r="Q57" s="1" t="s">
        <v>70</v>
      </c>
      <c r="U57" s="1" t="s">
        <v>320</v>
      </c>
      <c r="Z57" s="1" t="s">
        <v>71</v>
      </c>
      <c r="AA57" s="1" t="s">
        <v>91</v>
      </c>
      <c r="AE57" s="1" t="s">
        <v>125</v>
      </c>
      <c r="AH57" s="1" t="s">
        <v>73</v>
      </c>
      <c r="AK57" s="1" t="s">
        <v>71</v>
      </c>
      <c r="AM57" s="1" t="s">
        <v>71</v>
      </c>
      <c r="AN57" s="1" t="s">
        <v>71</v>
      </c>
      <c r="AS57" s="1" t="s">
        <v>71</v>
      </c>
      <c r="AX57" s="1" t="s">
        <v>71</v>
      </c>
      <c r="AY57" s="1" t="s">
        <v>59</v>
      </c>
      <c r="AZ57" s="1" t="s">
        <v>74</v>
      </c>
      <c r="BH57" s="1" t="s">
        <v>71</v>
      </c>
    </row>
    <row r="58" customFormat="false" ht="15" hidden="false" customHeight="false" outlineLevel="0" collapsed="false">
      <c r="A58" s="1" t="s">
        <v>322</v>
      </c>
      <c r="B58" s="1" t="s">
        <v>323</v>
      </c>
      <c r="C58" s="1" t="s">
        <v>324</v>
      </c>
      <c r="D58" s="1" t="s">
        <v>325</v>
      </c>
      <c r="E58" s="1" t="s">
        <v>65</v>
      </c>
      <c r="F58" s="1" t="s">
        <v>119</v>
      </c>
      <c r="G58" s="1" t="s">
        <v>88</v>
      </c>
      <c r="H58" s="1" t="s">
        <v>255</v>
      </c>
      <c r="K58" s="1" t="s">
        <v>256</v>
      </c>
      <c r="L58" s="1" t="s">
        <v>257</v>
      </c>
      <c r="M58" s="1" t="s">
        <v>242</v>
      </c>
      <c r="N58" s="1" t="s">
        <v>259</v>
      </c>
      <c r="O58" s="1" t="s">
        <v>260</v>
      </c>
      <c r="P58" s="1"/>
      <c r="Q58" s="1" t="s">
        <v>70</v>
      </c>
      <c r="U58" s="1" t="s">
        <v>322</v>
      </c>
      <c r="Z58" s="1" t="s">
        <v>71</v>
      </c>
      <c r="AE58" s="1" t="s">
        <v>326</v>
      </c>
      <c r="AH58" s="1" t="s">
        <v>73</v>
      </c>
      <c r="AK58" s="1" t="s">
        <v>71</v>
      </c>
      <c r="AM58" s="1" t="s">
        <v>71</v>
      </c>
      <c r="AN58" s="1" t="s">
        <v>71</v>
      </c>
      <c r="AS58" s="1" t="s">
        <v>71</v>
      </c>
      <c r="AX58" s="1" t="s">
        <v>71</v>
      </c>
      <c r="AY58" s="1" t="s">
        <v>59</v>
      </c>
      <c r="AZ58" s="1" t="s">
        <v>74</v>
      </c>
      <c r="BH58" s="1" t="s">
        <v>71</v>
      </c>
    </row>
    <row r="59" customFormat="false" ht="15" hidden="false" customHeight="false" outlineLevel="0" collapsed="false">
      <c r="A59" s="1" t="s">
        <v>327</v>
      </c>
      <c r="B59" s="1" t="s">
        <v>328</v>
      </c>
      <c r="C59" s="1" t="s">
        <v>136</v>
      </c>
      <c r="D59" s="1" t="s">
        <v>208</v>
      </c>
      <c r="E59" s="1" t="s">
        <v>59</v>
      </c>
      <c r="F59" s="1" t="s">
        <v>63</v>
      </c>
      <c r="G59" s="1" t="s">
        <v>59</v>
      </c>
      <c r="H59" s="1" t="s">
        <v>64</v>
      </c>
      <c r="K59" s="1" t="s">
        <v>65</v>
      </c>
      <c r="L59" s="1" t="s">
        <v>66</v>
      </c>
      <c r="M59" s="1" t="s">
        <v>67</v>
      </c>
      <c r="N59" s="1" t="s">
        <v>68</v>
      </c>
      <c r="O59" s="1" t="s">
        <v>69</v>
      </c>
      <c r="P59" s="1"/>
      <c r="Q59" s="1" t="s">
        <v>70</v>
      </c>
      <c r="U59" s="1" t="s">
        <v>327</v>
      </c>
      <c r="Z59" s="1" t="s">
        <v>71</v>
      </c>
      <c r="AE59" s="1" t="s">
        <v>329</v>
      </c>
      <c r="AH59" s="1" t="s">
        <v>73</v>
      </c>
      <c r="AK59" s="1" t="s">
        <v>71</v>
      </c>
      <c r="AM59" s="1" t="s">
        <v>71</v>
      </c>
      <c r="AN59" s="1" t="s">
        <v>71</v>
      </c>
      <c r="AS59" s="1" t="s">
        <v>71</v>
      </c>
      <c r="AX59" s="1" t="s">
        <v>71</v>
      </c>
      <c r="AY59" s="1" t="s">
        <v>59</v>
      </c>
      <c r="AZ59" s="1" t="s">
        <v>74</v>
      </c>
      <c r="BH59" s="1" t="s">
        <v>71</v>
      </c>
    </row>
    <row r="60" customFormat="false" ht="15" hidden="false" customHeight="false" outlineLevel="0" collapsed="false">
      <c r="A60" s="1" t="s">
        <v>330</v>
      </c>
      <c r="B60" s="1" t="s">
        <v>331</v>
      </c>
      <c r="C60" s="1" t="s">
        <v>173</v>
      </c>
      <c r="D60" s="1" t="s">
        <v>332</v>
      </c>
      <c r="E60" s="1" t="s">
        <v>59</v>
      </c>
      <c r="F60" s="1" t="s">
        <v>63</v>
      </c>
      <c r="G60" s="1" t="s">
        <v>59</v>
      </c>
      <c r="H60" s="1" t="s">
        <v>64</v>
      </c>
      <c r="K60" s="1" t="s">
        <v>61</v>
      </c>
      <c r="L60" s="1" t="s">
        <v>78</v>
      </c>
      <c r="M60" s="1" t="s">
        <v>67</v>
      </c>
      <c r="N60" s="1" t="s">
        <v>79</v>
      </c>
      <c r="O60" s="1" t="s">
        <v>80</v>
      </c>
      <c r="P60" s="1"/>
      <c r="Q60" s="1" t="s">
        <v>70</v>
      </c>
      <c r="U60" s="1" t="s">
        <v>330</v>
      </c>
      <c r="Z60" s="1" t="s">
        <v>71</v>
      </c>
      <c r="AE60" s="1" t="s">
        <v>329</v>
      </c>
      <c r="AH60" s="1" t="s">
        <v>73</v>
      </c>
      <c r="AK60" s="1" t="s">
        <v>71</v>
      </c>
      <c r="AM60" s="1" t="s">
        <v>71</v>
      </c>
      <c r="AN60" s="1" t="s">
        <v>71</v>
      </c>
      <c r="AS60" s="1" t="s">
        <v>71</v>
      </c>
      <c r="AX60" s="1" t="s">
        <v>71</v>
      </c>
      <c r="AY60" s="1" t="s">
        <v>59</v>
      </c>
      <c r="AZ60" s="1" t="s">
        <v>74</v>
      </c>
      <c r="BH60" s="1" t="s">
        <v>71</v>
      </c>
    </row>
    <row r="61" customFormat="false" ht="15" hidden="false" customHeight="false" outlineLevel="0" collapsed="false">
      <c r="A61" s="1" t="s">
        <v>333</v>
      </c>
      <c r="B61" s="1" t="s">
        <v>334</v>
      </c>
      <c r="C61" s="1" t="s">
        <v>288</v>
      </c>
      <c r="D61" s="1" t="s">
        <v>289</v>
      </c>
      <c r="E61" s="1" t="s">
        <v>61</v>
      </c>
      <c r="F61" s="1" t="s">
        <v>101</v>
      </c>
      <c r="G61" s="1" t="s">
        <v>93</v>
      </c>
      <c r="H61" s="1" t="s">
        <v>64</v>
      </c>
      <c r="K61" s="1" t="s">
        <v>126</v>
      </c>
      <c r="L61" s="1" t="s">
        <v>335</v>
      </c>
      <c r="M61" s="1" t="s">
        <v>336</v>
      </c>
      <c r="N61" s="1" t="s">
        <v>105</v>
      </c>
      <c r="O61" s="1" t="s">
        <v>106</v>
      </c>
      <c r="P61" s="1"/>
      <c r="Q61" s="1" t="s">
        <v>70</v>
      </c>
      <c r="U61" s="1" t="s">
        <v>333</v>
      </c>
      <c r="Z61" s="1" t="s">
        <v>71</v>
      </c>
      <c r="AE61" s="1" t="s">
        <v>337</v>
      </c>
      <c r="AH61" s="1" t="s">
        <v>73</v>
      </c>
      <c r="AK61" s="1" t="s">
        <v>71</v>
      </c>
      <c r="AM61" s="1" t="s">
        <v>71</v>
      </c>
      <c r="AN61" s="1" t="s">
        <v>71</v>
      </c>
      <c r="AS61" s="1" t="s">
        <v>71</v>
      </c>
      <c r="AX61" s="1" t="s">
        <v>71</v>
      </c>
      <c r="AY61" s="1" t="s">
        <v>59</v>
      </c>
      <c r="AZ61" s="1" t="s">
        <v>74</v>
      </c>
      <c r="BH61" s="1" t="s">
        <v>71</v>
      </c>
    </row>
    <row r="62" customFormat="false" ht="15" hidden="false" customHeight="false" outlineLevel="0" collapsed="false">
      <c r="A62" s="1" t="s">
        <v>338</v>
      </c>
      <c r="B62" s="1" t="s">
        <v>339</v>
      </c>
      <c r="C62" s="1" t="s">
        <v>188</v>
      </c>
      <c r="D62" s="1" t="s">
        <v>189</v>
      </c>
      <c r="E62" s="1" t="s">
        <v>61</v>
      </c>
      <c r="F62" s="1" t="s">
        <v>101</v>
      </c>
      <c r="G62" s="1" t="s">
        <v>93</v>
      </c>
      <c r="H62" s="1" t="s">
        <v>64</v>
      </c>
      <c r="K62" s="1" t="s">
        <v>163</v>
      </c>
      <c r="L62" s="1" t="s">
        <v>164</v>
      </c>
      <c r="M62" s="1" t="s">
        <v>104</v>
      </c>
      <c r="N62" s="1" t="s">
        <v>166</v>
      </c>
      <c r="O62" s="1" t="s">
        <v>167</v>
      </c>
      <c r="P62" s="1"/>
      <c r="Q62" s="1" t="s">
        <v>70</v>
      </c>
      <c r="U62" s="1" t="s">
        <v>338</v>
      </c>
      <c r="Z62" s="1" t="s">
        <v>71</v>
      </c>
      <c r="AA62" s="1" t="s">
        <v>91</v>
      </c>
      <c r="AE62" s="1" t="s">
        <v>340</v>
      </c>
      <c r="AH62" s="1" t="s">
        <v>73</v>
      </c>
      <c r="AK62" s="1" t="s">
        <v>71</v>
      </c>
      <c r="AM62" s="1" t="s">
        <v>71</v>
      </c>
      <c r="AN62" s="1" t="s">
        <v>71</v>
      </c>
      <c r="AS62" s="1" t="s">
        <v>71</v>
      </c>
      <c r="AX62" s="1" t="s">
        <v>71</v>
      </c>
      <c r="AY62" s="1" t="s">
        <v>59</v>
      </c>
      <c r="AZ62" s="1" t="s">
        <v>74</v>
      </c>
      <c r="BH62" s="1" t="s">
        <v>71</v>
      </c>
    </row>
    <row r="63" customFormat="false" ht="15" hidden="false" customHeight="false" outlineLevel="0" collapsed="false">
      <c r="A63" s="1" t="s">
        <v>341</v>
      </c>
      <c r="B63" s="1" t="s">
        <v>342</v>
      </c>
      <c r="C63" s="1" t="s">
        <v>343</v>
      </c>
      <c r="D63" s="1" t="s">
        <v>344</v>
      </c>
      <c r="E63" s="1" t="s">
        <v>59</v>
      </c>
      <c r="F63" s="1" t="s">
        <v>63</v>
      </c>
      <c r="G63" s="1" t="s">
        <v>59</v>
      </c>
      <c r="H63" s="1" t="s">
        <v>64</v>
      </c>
      <c r="K63" s="1" t="s">
        <v>61</v>
      </c>
      <c r="L63" s="1" t="s">
        <v>78</v>
      </c>
      <c r="M63" s="1" t="s">
        <v>67</v>
      </c>
      <c r="N63" s="1" t="s">
        <v>79</v>
      </c>
      <c r="O63" s="1" t="s">
        <v>80</v>
      </c>
      <c r="P63" s="1"/>
      <c r="Q63" s="1" t="s">
        <v>70</v>
      </c>
      <c r="U63" s="1" t="s">
        <v>341</v>
      </c>
      <c r="Z63" s="1" t="s">
        <v>71</v>
      </c>
      <c r="AE63" s="1" t="s">
        <v>345</v>
      </c>
      <c r="AH63" s="1" t="s">
        <v>73</v>
      </c>
      <c r="AK63" s="1" t="s">
        <v>71</v>
      </c>
      <c r="AM63" s="1" t="s">
        <v>71</v>
      </c>
      <c r="AN63" s="1" t="s">
        <v>71</v>
      </c>
      <c r="AS63" s="1" t="s">
        <v>71</v>
      </c>
      <c r="AX63" s="1" t="s">
        <v>71</v>
      </c>
      <c r="AY63" s="1" t="s">
        <v>59</v>
      </c>
      <c r="AZ63" s="1" t="s">
        <v>74</v>
      </c>
      <c r="BH63" s="1" t="s">
        <v>71</v>
      </c>
    </row>
    <row r="64" customFormat="false" ht="15" hidden="false" customHeight="false" outlineLevel="0" collapsed="false">
      <c r="A64" s="1" t="s">
        <v>346</v>
      </c>
      <c r="B64" s="1" t="s">
        <v>347</v>
      </c>
      <c r="C64" s="1" t="s">
        <v>136</v>
      </c>
      <c r="D64" s="1" t="s">
        <v>208</v>
      </c>
      <c r="E64" s="1" t="s">
        <v>59</v>
      </c>
      <c r="F64" s="1" t="s">
        <v>63</v>
      </c>
      <c r="G64" s="1" t="s">
        <v>59</v>
      </c>
      <c r="H64" s="1" t="s">
        <v>64</v>
      </c>
      <c r="K64" s="1" t="s">
        <v>93</v>
      </c>
      <c r="L64" s="1" t="s">
        <v>95</v>
      </c>
      <c r="M64" s="1" t="s">
        <v>348</v>
      </c>
      <c r="N64" s="1" t="s">
        <v>79</v>
      </c>
      <c r="O64" s="1" t="s">
        <v>80</v>
      </c>
      <c r="P64" s="1"/>
      <c r="Q64" s="1" t="s">
        <v>70</v>
      </c>
      <c r="U64" s="1" t="s">
        <v>346</v>
      </c>
      <c r="Z64" s="1" t="s">
        <v>71</v>
      </c>
      <c r="AA64" s="1" t="s">
        <v>91</v>
      </c>
      <c r="AE64" s="1" t="s">
        <v>349</v>
      </c>
      <c r="AH64" s="1" t="s">
        <v>73</v>
      </c>
      <c r="AK64" s="1" t="s">
        <v>71</v>
      </c>
      <c r="AM64" s="1" t="s">
        <v>71</v>
      </c>
      <c r="AN64" s="1" t="s">
        <v>71</v>
      </c>
      <c r="AS64" s="1" t="s">
        <v>71</v>
      </c>
      <c r="AX64" s="1" t="s">
        <v>71</v>
      </c>
      <c r="BH64" s="1" t="s">
        <v>71</v>
      </c>
    </row>
    <row r="65" customFormat="false" ht="15" hidden="false" customHeight="false" outlineLevel="0" collapsed="false">
      <c r="A65" s="1" t="s">
        <v>350</v>
      </c>
      <c r="B65" s="1" t="s">
        <v>351</v>
      </c>
      <c r="C65" s="1" t="s">
        <v>136</v>
      </c>
      <c r="D65" s="1" t="s">
        <v>208</v>
      </c>
      <c r="E65" s="1" t="s">
        <v>59</v>
      </c>
      <c r="F65" s="1" t="s">
        <v>63</v>
      </c>
      <c r="G65" s="1" t="s">
        <v>59</v>
      </c>
      <c r="H65" s="1" t="s">
        <v>64</v>
      </c>
      <c r="K65" s="1" t="s">
        <v>88</v>
      </c>
      <c r="L65" s="1" t="s">
        <v>89</v>
      </c>
      <c r="M65" s="1" t="s">
        <v>352</v>
      </c>
      <c r="N65" s="1" t="s">
        <v>79</v>
      </c>
      <c r="O65" s="1" t="s">
        <v>80</v>
      </c>
      <c r="P65" s="1"/>
      <c r="Q65" s="1" t="s">
        <v>70</v>
      </c>
      <c r="U65" s="1" t="s">
        <v>350</v>
      </c>
      <c r="Z65" s="1" t="s">
        <v>71</v>
      </c>
      <c r="AA65" s="1" t="s">
        <v>91</v>
      </c>
      <c r="AE65" s="1" t="s">
        <v>349</v>
      </c>
      <c r="AH65" s="1" t="s">
        <v>73</v>
      </c>
      <c r="AK65" s="1" t="s">
        <v>71</v>
      </c>
      <c r="AM65" s="1" t="s">
        <v>71</v>
      </c>
      <c r="AN65" s="1" t="s">
        <v>71</v>
      </c>
      <c r="AS65" s="1" t="s">
        <v>71</v>
      </c>
      <c r="AX65" s="1" t="s">
        <v>71</v>
      </c>
      <c r="BH65" s="1" t="s">
        <v>71</v>
      </c>
    </row>
    <row r="66" customFormat="false" ht="15" hidden="false" customHeight="false" outlineLevel="0" collapsed="false">
      <c r="A66" s="1" t="s">
        <v>353</v>
      </c>
      <c r="B66" s="1" t="s">
        <v>354</v>
      </c>
      <c r="C66" s="1" t="s">
        <v>343</v>
      </c>
      <c r="D66" s="1" t="s">
        <v>344</v>
      </c>
      <c r="E66" s="1" t="s">
        <v>59</v>
      </c>
      <c r="F66" s="1" t="s">
        <v>63</v>
      </c>
      <c r="G66" s="1" t="s">
        <v>59</v>
      </c>
      <c r="H66" s="1" t="s">
        <v>64</v>
      </c>
      <c r="K66" s="1" t="s">
        <v>88</v>
      </c>
      <c r="L66" s="1" t="s">
        <v>89</v>
      </c>
      <c r="M66" s="1" t="s">
        <v>352</v>
      </c>
      <c r="N66" s="1" t="s">
        <v>79</v>
      </c>
      <c r="O66" s="1" t="s">
        <v>80</v>
      </c>
      <c r="P66" s="1"/>
      <c r="Q66" s="1" t="s">
        <v>70</v>
      </c>
      <c r="U66" s="1" t="s">
        <v>353</v>
      </c>
      <c r="Z66" s="1" t="s">
        <v>71</v>
      </c>
      <c r="AE66" s="1" t="s">
        <v>355</v>
      </c>
      <c r="AH66" s="1" t="s">
        <v>73</v>
      </c>
      <c r="AK66" s="1" t="s">
        <v>71</v>
      </c>
      <c r="AM66" s="1" t="s">
        <v>71</v>
      </c>
      <c r="AN66" s="1" t="s">
        <v>71</v>
      </c>
      <c r="AS66" s="1" t="s">
        <v>71</v>
      </c>
      <c r="AX66" s="1" t="s">
        <v>71</v>
      </c>
      <c r="BH66" s="1" t="s">
        <v>71</v>
      </c>
    </row>
    <row r="67" customFormat="false" ht="15" hidden="false" customHeight="false" outlineLevel="0" collapsed="false">
      <c r="A67" s="1" t="s">
        <v>356</v>
      </c>
      <c r="B67" s="1" t="s">
        <v>357</v>
      </c>
      <c r="C67" s="1" t="s">
        <v>343</v>
      </c>
      <c r="D67" s="1" t="s">
        <v>344</v>
      </c>
      <c r="E67" s="1" t="s">
        <v>59</v>
      </c>
      <c r="F67" s="1" t="s">
        <v>63</v>
      </c>
      <c r="G67" s="1" t="s">
        <v>59</v>
      </c>
      <c r="H67" s="1" t="s">
        <v>64</v>
      </c>
      <c r="K67" s="1" t="s">
        <v>93</v>
      </c>
      <c r="L67" s="1" t="s">
        <v>95</v>
      </c>
      <c r="M67" s="1" t="s">
        <v>348</v>
      </c>
      <c r="N67" s="1" t="s">
        <v>79</v>
      </c>
      <c r="O67" s="1" t="s">
        <v>80</v>
      </c>
      <c r="P67" s="1"/>
      <c r="Q67" s="1" t="s">
        <v>70</v>
      </c>
      <c r="U67" s="1" t="s">
        <v>356</v>
      </c>
      <c r="Z67" s="1" t="s">
        <v>71</v>
      </c>
      <c r="AE67" s="1" t="s">
        <v>355</v>
      </c>
      <c r="AH67" s="1" t="s">
        <v>73</v>
      </c>
      <c r="AK67" s="1" t="s">
        <v>71</v>
      </c>
      <c r="AM67" s="1" t="s">
        <v>71</v>
      </c>
      <c r="AN67" s="1" t="s">
        <v>71</v>
      </c>
      <c r="AS67" s="1" t="s">
        <v>71</v>
      </c>
      <c r="AX67" s="1" t="s">
        <v>71</v>
      </c>
      <c r="BH67" s="1" t="s">
        <v>71</v>
      </c>
    </row>
    <row r="68" customFormat="false" ht="15" hidden="false" customHeight="false" outlineLevel="0" collapsed="false">
      <c r="A68" s="1" t="s">
        <v>358</v>
      </c>
      <c r="B68" s="1" t="s">
        <v>359</v>
      </c>
      <c r="C68" s="1" t="s">
        <v>161</v>
      </c>
      <c r="D68" s="1" t="s">
        <v>162</v>
      </c>
      <c r="E68" s="1" t="s">
        <v>61</v>
      </c>
      <c r="F68" s="1" t="s">
        <v>101</v>
      </c>
      <c r="G68" s="1" t="s">
        <v>93</v>
      </c>
      <c r="H68" s="1" t="s">
        <v>64</v>
      </c>
      <c r="K68" s="1" t="s">
        <v>163</v>
      </c>
      <c r="L68" s="1" t="s">
        <v>164</v>
      </c>
      <c r="M68" s="1" t="s">
        <v>104</v>
      </c>
      <c r="N68" s="1" t="s">
        <v>166</v>
      </c>
      <c r="O68" s="1" t="s">
        <v>167</v>
      </c>
      <c r="P68" s="1"/>
      <c r="Q68" s="1" t="s">
        <v>70</v>
      </c>
      <c r="U68" s="1" t="s">
        <v>358</v>
      </c>
      <c r="Z68" s="1" t="s">
        <v>71</v>
      </c>
      <c r="AE68" s="1" t="s">
        <v>360</v>
      </c>
      <c r="AH68" s="1" t="s">
        <v>73</v>
      </c>
      <c r="AK68" s="1" t="s">
        <v>71</v>
      </c>
      <c r="AM68" s="1" t="s">
        <v>71</v>
      </c>
      <c r="AN68" s="1" t="s">
        <v>71</v>
      </c>
      <c r="AS68" s="1" t="s">
        <v>71</v>
      </c>
      <c r="AX68" s="1" t="s">
        <v>71</v>
      </c>
      <c r="AY68" s="1" t="s">
        <v>59</v>
      </c>
      <c r="AZ68" s="1" t="s">
        <v>74</v>
      </c>
      <c r="BH68" s="1" t="s">
        <v>71</v>
      </c>
    </row>
    <row r="69" customFormat="false" ht="15" hidden="false" customHeight="false" outlineLevel="0" collapsed="false">
      <c r="A69" s="1" t="s">
        <v>361</v>
      </c>
      <c r="B69" s="1" t="s">
        <v>362</v>
      </c>
      <c r="C69" s="1" t="s">
        <v>161</v>
      </c>
      <c r="D69" s="1" t="s">
        <v>162</v>
      </c>
      <c r="E69" s="1" t="s">
        <v>61</v>
      </c>
      <c r="F69" s="1" t="s">
        <v>101</v>
      </c>
      <c r="G69" s="1" t="s">
        <v>93</v>
      </c>
      <c r="H69" s="1" t="s">
        <v>64</v>
      </c>
      <c r="K69" s="1" t="s">
        <v>102</v>
      </c>
      <c r="L69" s="1" t="s">
        <v>103</v>
      </c>
      <c r="M69" s="1" t="s">
        <v>104</v>
      </c>
      <c r="N69" s="1" t="s">
        <v>203</v>
      </c>
      <c r="O69" s="1" t="s">
        <v>204</v>
      </c>
      <c r="P69" s="1" t="e">
        <f aca="false">image("https://drive.google.com/uc?export=view&amp;id=1YujH8L82qKoRMt0203mqZ9FGDwDv7LmN")</f>
        <v>#NAME?</v>
      </c>
      <c r="Q69" s="1" t="s">
        <v>205</v>
      </c>
      <c r="U69" s="1" t="s">
        <v>361</v>
      </c>
      <c r="Z69" s="1" t="s">
        <v>71</v>
      </c>
      <c r="AE69" s="1" t="s">
        <v>363</v>
      </c>
      <c r="AH69" s="1" t="s">
        <v>73</v>
      </c>
      <c r="AK69" s="1" t="s">
        <v>71</v>
      </c>
      <c r="AM69" s="1" t="s">
        <v>71</v>
      </c>
      <c r="AN69" s="1" t="s">
        <v>71</v>
      </c>
      <c r="AS69" s="1" t="s">
        <v>71</v>
      </c>
      <c r="AX69" s="1" t="s">
        <v>71</v>
      </c>
      <c r="AY69" s="1" t="s">
        <v>59</v>
      </c>
      <c r="AZ69" s="1" t="s">
        <v>74</v>
      </c>
      <c r="BH69" s="1" t="s">
        <v>71</v>
      </c>
    </row>
    <row r="70" customFormat="false" ht="15" hidden="false" customHeight="false" outlineLevel="0" collapsed="false">
      <c r="A70" s="1" t="s">
        <v>364</v>
      </c>
      <c r="B70" s="1" t="s">
        <v>365</v>
      </c>
      <c r="C70" s="1" t="s">
        <v>161</v>
      </c>
      <c r="D70" s="1" t="s">
        <v>162</v>
      </c>
      <c r="E70" s="1" t="s">
        <v>65</v>
      </c>
      <c r="F70" s="1" t="s">
        <v>119</v>
      </c>
      <c r="G70" s="1" t="s">
        <v>65</v>
      </c>
      <c r="H70" s="1" t="s">
        <v>64</v>
      </c>
      <c r="K70" s="1" t="s">
        <v>177</v>
      </c>
      <c r="L70" s="1" t="s">
        <v>178</v>
      </c>
      <c r="M70" s="1" t="s">
        <v>366</v>
      </c>
      <c r="N70" s="1" t="s">
        <v>123</v>
      </c>
      <c r="O70" s="1" t="s">
        <v>124</v>
      </c>
      <c r="P70" s="1"/>
      <c r="Q70" s="1" t="s">
        <v>70</v>
      </c>
      <c r="U70" s="1" t="s">
        <v>364</v>
      </c>
      <c r="Z70" s="1" t="s">
        <v>71</v>
      </c>
      <c r="AE70" s="1" t="s">
        <v>367</v>
      </c>
      <c r="AH70" s="1" t="s">
        <v>73</v>
      </c>
      <c r="AK70" s="1" t="s">
        <v>71</v>
      </c>
      <c r="AM70" s="1" t="s">
        <v>71</v>
      </c>
      <c r="AN70" s="1" t="s">
        <v>71</v>
      </c>
      <c r="AS70" s="1" t="s">
        <v>71</v>
      </c>
      <c r="AY70" s="1" t="s">
        <v>59</v>
      </c>
      <c r="AZ70" s="1" t="s">
        <v>74</v>
      </c>
      <c r="BH70" s="1" t="s">
        <v>71</v>
      </c>
    </row>
    <row r="71" customFormat="false" ht="15" hidden="false" customHeight="false" outlineLevel="0" collapsed="false">
      <c r="A71" s="1" t="s">
        <v>368</v>
      </c>
      <c r="B71" s="1" t="s">
        <v>369</v>
      </c>
      <c r="C71" s="1" t="s">
        <v>161</v>
      </c>
      <c r="D71" s="1" t="s">
        <v>162</v>
      </c>
      <c r="E71" s="1" t="s">
        <v>65</v>
      </c>
      <c r="F71" s="1" t="s">
        <v>119</v>
      </c>
      <c r="G71" s="1" t="s">
        <v>65</v>
      </c>
      <c r="H71" s="1" t="s">
        <v>64</v>
      </c>
      <c r="K71" s="1" t="s">
        <v>170</v>
      </c>
      <c r="L71" s="1" t="s">
        <v>171</v>
      </c>
      <c r="M71" s="1" t="s">
        <v>104</v>
      </c>
      <c r="N71" s="1" t="s">
        <v>123</v>
      </c>
      <c r="O71" s="1" t="s">
        <v>124</v>
      </c>
      <c r="P71" s="1"/>
      <c r="Q71" s="1" t="s">
        <v>70</v>
      </c>
      <c r="U71" s="1" t="s">
        <v>368</v>
      </c>
      <c r="Z71" s="1" t="s">
        <v>71</v>
      </c>
      <c r="AE71" s="1" t="s">
        <v>367</v>
      </c>
      <c r="AH71" s="1" t="s">
        <v>73</v>
      </c>
      <c r="AK71" s="1" t="s">
        <v>71</v>
      </c>
      <c r="AM71" s="1" t="s">
        <v>71</v>
      </c>
      <c r="AN71" s="1" t="s">
        <v>71</v>
      </c>
      <c r="AS71" s="1" t="s">
        <v>71</v>
      </c>
      <c r="AY71" s="1" t="s">
        <v>59</v>
      </c>
      <c r="AZ71" s="1" t="s">
        <v>74</v>
      </c>
      <c r="BH71" s="1" t="s">
        <v>71</v>
      </c>
    </row>
    <row r="72" customFormat="false" ht="15" hidden="false" customHeight="false" outlineLevel="0" collapsed="false">
      <c r="A72" s="1" t="s">
        <v>370</v>
      </c>
      <c r="B72" s="1" t="s">
        <v>371</v>
      </c>
      <c r="C72" s="1" t="s">
        <v>182</v>
      </c>
      <c r="D72" s="1" t="s">
        <v>239</v>
      </c>
      <c r="E72" s="1" t="s">
        <v>65</v>
      </c>
      <c r="F72" s="1" t="s">
        <v>119</v>
      </c>
      <c r="G72" s="1" t="s">
        <v>61</v>
      </c>
      <c r="H72" s="1" t="s">
        <v>231</v>
      </c>
      <c r="K72" s="1" t="s">
        <v>372</v>
      </c>
      <c r="L72" s="1" t="s">
        <v>373</v>
      </c>
      <c r="M72" s="1" t="s">
        <v>374</v>
      </c>
      <c r="N72" s="1" t="s">
        <v>375</v>
      </c>
      <c r="O72" s="1" t="s">
        <v>376</v>
      </c>
      <c r="P72" s="1"/>
      <c r="Q72" s="1" t="s">
        <v>70</v>
      </c>
      <c r="U72" s="1" t="s">
        <v>245</v>
      </c>
      <c r="Z72" s="1" t="s">
        <v>71</v>
      </c>
      <c r="AE72" s="1" t="s">
        <v>377</v>
      </c>
      <c r="AH72" s="1" t="s">
        <v>73</v>
      </c>
      <c r="AK72" s="1" t="s">
        <v>71</v>
      </c>
      <c r="AM72" s="1" t="s">
        <v>71</v>
      </c>
      <c r="AN72" s="1" t="s">
        <v>71</v>
      </c>
      <c r="AS72" s="1" t="s">
        <v>71</v>
      </c>
      <c r="AX72" s="1" t="s">
        <v>71</v>
      </c>
      <c r="AY72" s="1" t="s">
        <v>59</v>
      </c>
      <c r="AZ72" s="1" t="s">
        <v>74</v>
      </c>
      <c r="BH72" s="1" t="s">
        <v>71</v>
      </c>
    </row>
    <row r="73" customFormat="false" ht="15" hidden="false" customHeight="false" outlineLevel="0" collapsed="false">
      <c r="A73" s="1" t="s">
        <v>378</v>
      </c>
      <c r="B73" s="1" t="s">
        <v>379</v>
      </c>
      <c r="C73" s="1" t="s">
        <v>380</v>
      </c>
      <c r="D73" s="1" t="s">
        <v>381</v>
      </c>
      <c r="E73" s="1" t="s">
        <v>59</v>
      </c>
      <c r="F73" s="1" t="s">
        <v>63</v>
      </c>
      <c r="G73" s="1" t="s">
        <v>59</v>
      </c>
      <c r="H73" s="1" t="s">
        <v>64</v>
      </c>
      <c r="K73" s="1" t="s">
        <v>65</v>
      </c>
      <c r="L73" s="1" t="s">
        <v>66</v>
      </c>
      <c r="M73" s="1" t="s">
        <v>382</v>
      </c>
      <c r="N73" s="1" t="s">
        <v>68</v>
      </c>
      <c r="O73" s="1" t="s">
        <v>69</v>
      </c>
      <c r="P73" s="1"/>
      <c r="Q73" s="1" t="s">
        <v>70</v>
      </c>
      <c r="U73" s="1" t="s">
        <v>378</v>
      </c>
      <c r="Z73" s="1" t="s">
        <v>71</v>
      </c>
      <c r="AE73" s="1" t="s">
        <v>383</v>
      </c>
      <c r="AH73" s="1" t="s">
        <v>73</v>
      </c>
      <c r="AK73" s="1" t="s">
        <v>71</v>
      </c>
      <c r="AM73" s="1" t="s">
        <v>71</v>
      </c>
      <c r="AN73" s="1" t="s">
        <v>71</v>
      </c>
      <c r="AS73" s="1" t="s">
        <v>71</v>
      </c>
      <c r="AX73" s="1" t="s">
        <v>71</v>
      </c>
      <c r="AY73" s="1" t="s">
        <v>59</v>
      </c>
      <c r="AZ73" s="1" t="s">
        <v>74</v>
      </c>
      <c r="BH73" s="1" t="s">
        <v>71</v>
      </c>
    </row>
    <row r="74" customFormat="false" ht="15" hidden="false" customHeight="false" outlineLevel="0" collapsed="false">
      <c r="A74" s="1" t="s">
        <v>384</v>
      </c>
      <c r="B74" s="1" t="s">
        <v>385</v>
      </c>
      <c r="C74" s="1" t="s">
        <v>182</v>
      </c>
      <c r="D74" s="1" t="s">
        <v>239</v>
      </c>
      <c r="E74" s="1" t="s">
        <v>65</v>
      </c>
      <c r="F74" s="1" t="s">
        <v>119</v>
      </c>
      <c r="G74" s="1" t="s">
        <v>88</v>
      </c>
      <c r="H74" s="1" t="s">
        <v>255</v>
      </c>
      <c r="K74" s="1" t="s">
        <v>256</v>
      </c>
      <c r="L74" s="1" t="s">
        <v>257</v>
      </c>
      <c r="M74" s="1" t="s">
        <v>242</v>
      </c>
      <c r="N74" s="1" t="s">
        <v>259</v>
      </c>
      <c r="O74" s="1" t="s">
        <v>260</v>
      </c>
      <c r="P74" s="1"/>
      <c r="Q74" s="1" t="s">
        <v>70</v>
      </c>
      <c r="U74" s="1" t="s">
        <v>245</v>
      </c>
      <c r="Z74" s="1" t="s">
        <v>71</v>
      </c>
      <c r="AE74" s="1" t="s">
        <v>386</v>
      </c>
      <c r="AH74" s="1" t="s">
        <v>73</v>
      </c>
      <c r="AK74" s="1" t="s">
        <v>71</v>
      </c>
      <c r="AM74" s="1" t="s">
        <v>71</v>
      </c>
      <c r="AN74" s="1" t="s">
        <v>71</v>
      </c>
      <c r="AS74" s="1" t="s">
        <v>71</v>
      </c>
      <c r="AX74" s="1" t="s">
        <v>71</v>
      </c>
      <c r="AY74" s="1" t="s">
        <v>59</v>
      </c>
      <c r="AZ74" s="1" t="s">
        <v>74</v>
      </c>
      <c r="BH74" s="1" t="s">
        <v>71</v>
      </c>
    </row>
    <row r="75" customFormat="false" ht="15" hidden="false" customHeight="false" outlineLevel="0" collapsed="false">
      <c r="A75" s="1" t="s">
        <v>387</v>
      </c>
      <c r="B75" s="1" t="s">
        <v>388</v>
      </c>
      <c r="C75" s="1" t="s">
        <v>389</v>
      </c>
      <c r="D75" s="1" t="s">
        <v>390</v>
      </c>
      <c r="E75" s="1" t="s">
        <v>82</v>
      </c>
      <c r="F75" s="1" t="s">
        <v>391</v>
      </c>
      <c r="G75" s="1" t="s">
        <v>182</v>
      </c>
      <c r="H75" s="1" t="s">
        <v>392</v>
      </c>
      <c r="M75" s="1" t="s">
        <v>393</v>
      </c>
      <c r="N75" s="1" t="s">
        <v>394</v>
      </c>
      <c r="O75" s="1" t="s">
        <v>395</v>
      </c>
      <c r="P75" s="1"/>
      <c r="Q75" s="1" t="s">
        <v>70</v>
      </c>
      <c r="U75" s="1" t="s">
        <v>387</v>
      </c>
      <c r="Z75" s="1" t="s">
        <v>71</v>
      </c>
      <c r="AE75" s="1" t="s">
        <v>396</v>
      </c>
      <c r="AH75" s="1" t="s">
        <v>73</v>
      </c>
      <c r="AK75" s="1" t="s">
        <v>71</v>
      </c>
      <c r="AM75" s="1" t="s">
        <v>71</v>
      </c>
      <c r="AN75" s="1" t="s">
        <v>71</v>
      </c>
      <c r="AS75" s="1" t="s">
        <v>71</v>
      </c>
      <c r="BH75" s="1" t="s">
        <v>71</v>
      </c>
    </row>
    <row r="76" customFormat="false" ht="15" hidden="false" customHeight="false" outlineLevel="0" collapsed="false">
      <c r="A76" s="1" t="s">
        <v>397</v>
      </c>
      <c r="B76" s="1" t="s">
        <v>398</v>
      </c>
      <c r="C76" s="1" t="s">
        <v>389</v>
      </c>
      <c r="D76" s="1" t="s">
        <v>390</v>
      </c>
      <c r="E76" s="1" t="s">
        <v>82</v>
      </c>
      <c r="F76" s="1" t="s">
        <v>391</v>
      </c>
      <c r="G76" s="1" t="s">
        <v>182</v>
      </c>
      <c r="H76" s="1" t="s">
        <v>392</v>
      </c>
      <c r="M76" s="1" t="s">
        <v>393</v>
      </c>
      <c r="N76" s="1" t="s">
        <v>399</v>
      </c>
      <c r="O76" s="1" t="s">
        <v>400</v>
      </c>
      <c r="P76" s="1"/>
      <c r="Q76" s="1" t="s">
        <v>70</v>
      </c>
      <c r="U76" s="1" t="s">
        <v>397</v>
      </c>
      <c r="Z76" s="1" t="s">
        <v>71</v>
      </c>
      <c r="AE76" s="1" t="s">
        <v>396</v>
      </c>
      <c r="AF76" s="1" t="s">
        <v>59</v>
      </c>
      <c r="AH76" s="1" t="s">
        <v>73</v>
      </c>
      <c r="AK76" s="1" t="s">
        <v>71</v>
      </c>
      <c r="AM76" s="1" t="s">
        <v>71</v>
      </c>
      <c r="AN76" s="1" t="s">
        <v>71</v>
      </c>
      <c r="AS76" s="1" t="s">
        <v>71</v>
      </c>
      <c r="BH76" s="1" t="s">
        <v>71</v>
      </c>
    </row>
    <row r="77" customFormat="false" ht="15" hidden="false" customHeight="false" outlineLevel="0" collapsed="false">
      <c r="A77" s="1" t="s">
        <v>401</v>
      </c>
      <c r="B77" s="1" t="s">
        <v>402</v>
      </c>
      <c r="C77" s="1" t="s">
        <v>389</v>
      </c>
      <c r="D77" s="1" t="s">
        <v>390</v>
      </c>
      <c r="E77" s="1" t="s">
        <v>82</v>
      </c>
      <c r="F77" s="1" t="s">
        <v>391</v>
      </c>
      <c r="G77" s="1" t="s">
        <v>182</v>
      </c>
      <c r="H77" s="1" t="s">
        <v>392</v>
      </c>
      <c r="M77" s="1" t="s">
        <v>393</v>
      </c>
      <c r="N77" s="1" t="s">
        <v>399</v>
      </c>
      <c r="O77" s="1" t="s">
        <v>400</v>
      </c>
      <c r="P77" s="1"/>
      <c r="Q77" s="1" t="s">
        <v>70</v>
      </c>
      <c r="U77" s="1" t="s">
        <v>401</v>
      </c>
      <c r="Z77" s="1" t="s">
        <v>71</v>
      </c>
      <c r="AE77" s="1" t="s">
        <v>396</v>
      </c>
      <c r="AF77" s="1" t="s">
        <v>59</v>
      </c>
      <c r="AH77" s="1" t="s">
        <v>73</v>
      </c>
      <c r="AK77" s="1" t="s">
        <v>71</v>
      </c>
      <c r="AM77" s="1" t="s">
        <v>71</v>
      </c>
      <c r="AN77" s="1" t="s">
        <v>71</v>
      </c>
      <c r="AS77" s="1" t="s">
        <v>71</v>
      </c>
      <c r="BH77" s="1" t="s">
        <v>71</v>
      </c>
    </row>
    <row r="78" customFormat="false" ht="15" hidden="false" customHeight="false" outlineLevel="0" collapsed="false">
      <c r="A78" s="1" t="s">
        <v>403</v>
      </c>
      <c r="B78" s="1" t="s">
        <v>404</v>
      </c>
      <c r="C78" s="1" t="s">
        <v>150</v>
      </c>
      <c r="D78" s="1" t="s">
        <v>405</v>
      </c>
      <c r="E78" s="1" t="s">
        <v>82</v>
      </c>
      <c r="F78" s="1" t="s">
        <v>391</v>
      </c>
      <c r="G78" s="1" t="s">
        <v>97</v>
      </c>
      <c r="H78" s="1" t="s">
        <v>406</v>
      </c>
      <c r="K78" s="1" t="s">
        <v>407</v>
      </c>
      <c r="L78" s="1" t="s">
        <v>408</v>
      </c>
      <c r="M78" s="1" t="s">
        <v>393</v>
      </c>
      <c r="N78" s="1" t="s">
        <v>409</v>
      </c>
      <c r="O78" s="1" t="s">
        <v>410</v>
      </c>
      <c r="P78" s="1"/>
      <c r="Q78" s="1" t="s">
        <v>70</v>
      </c>
      <c r="U78" s="1" t="s">
        <v>403</v>
      </c>
      <c r="Z78" s="1" t="s">
        <v>71</v>
      </c>
      <c r="AE78" s="1" t="s">
        <v>411</v>
      </c>
      <c r="AH78" s="1" t="s">
        <v>73</v>
      </c>
      <c r="AK78" s="1" t="s">
        <v>71</v>
      </c>
      <c r="AM78" s="1" t="s">
        <v>71</v>
      </c>
      <c r="AN78" s="1" t="s">
        <v>71</v>
      </c>
      <c r="AS78" s="1" t="s">
        <v>71</v>
      </c>
      <c r="AX78" s="1" t="s">
        <v>71</v>
      </c>
      <c r="BH78" s="1" t="s">
        <v>71</v>
      </c>
    </row>
    <row r="79" customFormat="false" ht="15" hidden="false" customHeight="false" outlineLevel="0" collapsed="false">
      <c r="A79" s="1" t="s">
        <v>412</v>
      </c>
      <c r="B79" s="1" t="s">
        <v>413</v>
      </c>
      <c r="C79" s="1" t="s">
        <v>150</v>
      </c>
      <c r="D79" s="1" t="s">
        <v>405</v>
      </c>
      <c r="E79" s="1" t="s">
        <v>82</v>
      </c>
      <c r="F79" s="1" t="s">
        <v>391</v>
      </c>
      <c r="G79" s="1" t="s">
        <v>97</v>
      </c>
      <c r="H79" s="1" t="s">
        <v>406</v>
      </c>
      <c r="M79" s="1" t="s">
        <v>393</v>
      </c>
      <c r="N79" s="1" t="s">
        <v>409</v>
      </c>
      <c r="O79" s="1" t="s">
        <v>410</v>
      </c>
      <c r="P79" s="1"/>
      <c r="Q79" s="1" t="s">
        <v>70</v>
      </c>
      <c r="U79" s="1" t="s">
        <v>412</v>
      </c>
      <c r="Z79" s="1" t="s">
        <v>71</v>
      </c>
      <c r="AE79" s="1" t="s">
        <v>411</v>
      </c>
      <c r="AH79" s="1" t="s">
        <v>73</v>
      </c>
      <c r="AK79" s="1" t="s">
        <v>71</v>
      </c>
      <c r="AM79" s="1" t="s">
        <v>71</v>
      </c>
      <c r="AN79" s="1" t="s">
        <v>71</v>
      </c>
      <c r="AS79" s="1" t="s">
        <v>71</v>
      </c>
      <c r="BH79" s="1" t="s">
        <v>71</v>
      </c>
    </row>
    <row r="80" customFormat="false" ht="15" hidden="false" customHeight="false" outlineLevel="0" collapsed="false">
      <c r="A80" s="1" t="s">
        <v>414</v>
      </c>
      <c r="B80" s="1" t="s">
        <v>415</v>
      </c>
      <c r="C80" s="1" t="s">
        <v>150</v>
      </c>
      <c r="D80" s="1" t="s">
        <v>405</v>
      </c>
      <c r="E80" s="1" t="s">
        <v>82</v>
      </c>
      <c r="F80" s="1" t="s">
        <v>391</v>
      </c>
      <c r="G80" s="1" t="s">
        <v>97</v>
      </c>
      <c r="H80" s="1" t="s">
        <v>406</v>
      </c>
      <c r="M80" s="1" t="s">
        <v>393</v>
      </c>
      <c r="N80" s="1" t="s">
        <v>416</v>
      </c>
      <c r="O80" s="1" t="s">
        <v>417</v>
      </c>
      <c r="P80" s="1"/>
      <c r="Q80" s="1" t="s">
        <v>70</v>
      </c>
      <c r="U80" s="1" t="s">
        <v>414</v>
      </c>
      <c r="Z80" s="1" t="s">
        <v>71</v>
      </c>
      <c r="AE80" s="1" t="s">
        <v>411</v>
      </c>
      <c r="AH80" s="1" t="s">
        <v>73</v>
      </c>
      <c r="AK80" s="1" t="s">
        <v>71</v>
      </c>
      <c r="AM80" s="1" t="s">
        <v>71</v>
      </c>
      <c r="AN80" s="1" t="s">
        <v>71</v>
      </c>
      <c r="AS80" s="1" t="s">
        <v>71</v>
      </c>
      <c r="BH80" s="1" t="s">
        <v>71</v>
      </c>
    </row>
    <row r="81" customFormat="false" ht="15" hidden="false" customHeight="false" outlineLevel="0" collapsed="false">
      <c r="A81" s="1" t="s">
        <v>418</v>
      </c>
      <c r="B81" s="1" t="s">
        <v>419</v>
      </c>
      <c r="C81" s="1" t="s">
        <v>150</v>
      </c>
      <c r="D81" s="1" t="s">
        <v>405</v>
      </c>
      <c r="E81" s="1" t="s">
        <v>82</v>
      </c>
      <c r="F81" s="1" t="s">
        <v>391</v>
      </c>
      <c r="G81" s="1" t="s">
        <v>97</v>
      </c>
      <c r="H81" s="1" t="s">
        <v>406</v>
      </c>
      <c r="M81" s="1" t="s">
        <v>420</v>
      </c>
      <c r="N81" s="1" t="s">
        <v>421</v>
      </c>
      <c r="O81" s="1" t="s">
        <v>422</v>
      </c>
      <c r="P81" s="1"/>
      <c r="Q81" s="1" t="s">
        <v>70</v>
      </c>
      <c r="U81" s="1" t="s">
        <v>418</v>
      </c>
      <c r="Z81" s="1" t="s">
        <v>71</v>
      </c>
      <c r="AE81" s="1" t="s">
        <v>411</v>
      </c>
      <c r="AH81" s="1" t="s">
        <v>73</v>
      </c>
      <c r="AK81" s="1" t="s">
        <v>71</v>
      </c>
      <c r="AM81" s="1" t="s">
        <v>71</v>
      </c>
      <c r="AN81" s="1" t="s">
        <v>71</v>
      </c>
      <c r="AS81" s="1" t="s">
        <v>71</v>
      </c>
      <c r="BH81" s="1" t="s">
        <v>71</v>
      </c>
    </row>
    <row r="82" customFormat="false" ht="15" hidden="false" customHeight="false" outlineLevel="0" collapsed="false">
      <c r="A82" s="1" t="s">
        <v>423</v>
      </c>
      <c r="B82" s="1" t="s">
        <v>424</v>
      </c>
      <c r="C82" s="1" t="s">
        <v>150</v>
      </c>
      <c r="D82" s="1" t="s">
        <v>405</v>
      </c>
      <c r="E82" s="1" t="s">
        <v>82</v>
      </c>
      <c r="F82" s="1" t="s">
        <v>391</v>
      </c>
      <c r="G82" s="1" t="s">
        <v>97</v>
      </c>
      <c r="H82" s="1" t="s">
        <v>406</v>
      </c>
      <c r="M82" s="1" t="s">
        <v>420</v>
      </c>
      <c r="N82" s="1" t="s">
        <v>425</v>
      </c>
      <c r="O82" s="1" t="s">
        <v>400</v>
      </c>
      <c r="P82" s="1"/>
      <c r="Q82" s="1" t="s">
        <v>70</v>
      </c>
      <c r="U82" s="1" t="s">
        <v>423</v>
      </c>
      <c r="Z82" s="1" t="s">
        <v>71</v>
      </c>
      <c r="AE82" s="1" t="s">
        <v>411</v>
      </c>
      <c r="AH82" s="1" t="s">
        <v>73</v>
      </c>
      <c r="AK82" s="1" t="s">
        <v>71</v>
      </c>
      <c r="AM82" s="1" t="s">
        <v>71</v>
      </c>
      <c r="AN82" s="1" t="s">
        <v>71</v>
      </c>
      <c r="AS82" s="1" t="s">
        <v>71</v>
      </c>
      <c r="BH82" s="1" t="s">
        <v>71</v>
      </c>
    </row>
    <row r="83" customFormat="false" ht="15" hidden="false" customHeight="false" outlineLevel="0" collapsed="false">
      <c r="A83" s="1" t="s">
        <v>426</v>
      </c>
      <c r="B83" s="1" t="s">
        <v>427</v>
      </c>
      <c r="C83" s="1" t="s">
        <v>150</v>
      </c>
      <c r="D83" s="1" t="s">
        <v>405</v>
      </c>
      <c r="E83" s="1" t="s">
        <v>82</v>
      </c>
      <c r="F83" s="1" t="s">
        <v>391</v>
      </c>
      <c r="G83" s="1" t="s">
        <v>97</v>
      </c>
      <c r="H83" s="1" t="s">
        <v>406</v>
      </c>
      <c r="M83" s="1" t="s">
        <v>393</v>
      </c>
      <c r="N83" s="1" t="s">
        <v>416</v>
      </c>
      <c r="O83" s="1" t="s">
        <v>417</v>
      </c>
      <c r="P83" s="1"/>
      <c r="Q83" s="1" t="s">
        <v>70</v>
      </c>
      <c r="U83" s="1" t="s">
        <v>426</v>
      </c>
      <c r="Z83" s="1" t="s">
        <v>71</v>
      </c>
      <c r="AE83" s="1" t="s">
        <v>411</v>
      </c>
      <c r="AH83" s="1" t="s">
        <v>73</v>
      </c>
      <c r="AK83" s="1" t="s">
        <v>71</v>
      </c>
      <c r="AM83" s="1" t="s">
        <v>71</v>
      </c>
      <c r="AN83" s="1" t="s">
        <v>71</v>
      </c>
      <c r="AS83" s="1" t="s">
        <v>71</v>
      </c>
      <c r="BH83" s="1" t="s">
        <v>71</v>
      </c>
    </row>
    <row r="84" customFormat="false" ht="15" hidden="false" customHeight="false" outlineLevel="0" collapsed="false">
      <c r="A84" s="1" t="s">
        <v>428</v>
      </c>
      <c r="B84" s="1" t="s">
        <v>429</v>
      </c>
      <c r="C84" s="1" t="s">
        <v>430</v>
      </c>
      <c r="D84" s="1" t="s">
        <v>431</v>
      </c>
      <c r="E84" s="1" t="s">
        <v>88</v>
      </c>
      <c r="F84" s="1" t="s">
        <v>432</v>
      </c>
      <c r="G84" s="1" t="s">
        <v>433</v>
      </c>
      <c r="H84" s="1" t="s">
        <v>434</v>
      </c>
      <c r="K84" s="1" t="s">
        <v>435</v>
      </c>
      <c r="L84" s="1" t="s">
        <v>436</v>
      </c>
      <c r="M84" s="1" t="s">
        <v>393</v>
      </c>
      <c r="N84" s="1" t="s">
        <v>437</v>
      </c>
      <c r="O84" s="1" t="s">
        <v>438</v>
      </c>
      <c r="P84" s="1"/>
      <c r="Q84" s="1" t="s">
        <v>70</v>
      </c>
      <c r="U84" s="1" t="s">
        <v>428</v>
      </c>
      <c r="Z84" s="1" t="s">
        <v>71</v>
      </c>
      <c r="AE84" s="1" t="s">
        <v>411</v>
      </c>
      <c r="AH84" s="1" t="s">
        <v>73</v>
      </c>
      <c r="AK84" s="1" t="s">
        <v>71</v>
      </c>
      <c r="AM84" s="1" t="s">
        <v>71</v>
      </c>
      <c r="AN84" s="1" t="s">
        <v>71</v>
      </c>
      <c r="AS84" s="1" t="s">
        <v>71</v>
      </c>
      <c r="AX84" s="1" t="s">
        <v>71</v>
      </c>
      <c r="BH84" s="1" t="s">
        <v>71</v>
      </c>
    </row>
    <row r="85" customFormat="false" ht="15" hidden="false" customHeight="false" outlineLevel="0" collapsed="false">
      <c r="A85" s="1" t="s">
        <v>439</v>
      </c>
      <c r="B85" s="1" t="s">
        <v>440</v>
      </c>
      <c r="C85" s="1" t="s">
        <v>441</v>
      </c>
      <c r="D85" s="1" t="s">
        <v>442</v>
      </c>
      <c r="E85" s="1" t="s">
        <v>82</v>
      </c>
      <c r="F85" s="1" t="s">
        <v>391</v>
      </c>
      <c r="G85" s="1" t="s">
        <v>443</v>
      </c>
      <c r="H85" s="1" t="s">
        <v>444</v>
      </c>
      <c r="K85" s="1" t="s">
        <v>61</v>
      </c>
      <c r="L85" s="1" t="s">
        <v>445</v>
      </c>
      <c r="M85" s="1" t="s">
        <v>393</v>
      </c>
      <c r="N85" s="1" t="s">
        <v>446</v>
      </c>
      <c r="O85" s="1" t="s">
        <v>447</v>
      </c>
      <c r="P85" s="1"/>
      <c r="Q85" s="1" t="s">
        <v>70</v>
      </c>
      <c r="U85" s="1" t="s">
        <v>439</v>
      </c>
      <c r="Z85" s="1" t="s">
        <v>71</v>
      </c>
      <c r="AE85" s="1" t="s">
        <v>411</v>
      </c>
      <c r="AH85" s="1" t="s">
        <v>73</v>
      </c>
      <c r="AK85" s="1" t="s">
        <v>71</v>
      </c>
      <c r="AM85" s="1" t="s">
        <v>71</v>
      </c>
      <c r="AN85" s="1" t="s">
        <v>71</v>
      </c>
      <c r="AS85" s="1" t="s">
        <v>71</v>
      </c>
      <c r="AX85" s="1" t="s">
        <v>71</v>
      </c>
      <c r="BH85" s="1" t="s">
        <v>71</v>
      </c>
    </row>
    <row r="86" customFormat="false" ht="15" hidden="false" customHeight="false" outlineLevel="0" collapsed="false">
      <c r="A86" s="1" t="s">
        <v>448</v>
      </c>
      <c r="B86" s="1" t="s">
        <v>449</v>
      </c>
      <c r="C86" s="1" t="s">
        <v>150</v>
      </c>
      <c r="D86" s="1" t="s">
        <v>405</v>
      </c>
      <c r="E86" s="1" t="s">
        <v>82</v>
      </c>
      <c r="F86" s="1" t="s">
        <v>391</v>
      </c>
      <c r="G86" s="1" t="s">
        <v>97</v>
      </c>
      <c r="H86" s="1" t="s">
        <v>406</v>
      </c>
      <c r="M86" s="1" t="s">
        <v>393</v>
      </c>
      <c r="N86" s="1" t="s">
        <v>450</v>
      </c>
      <c r="O86" s="1" t="s">
        <v>447</v>
      </c>
      <c r="P86" s="1"/>
      <c r="Q86" s="1" t="s">
        <v>70</v>
      </c>
      <c r="U86" s="1" t="s">
        <v>448</v>
      </c>
      <c r="Z86" s="1" t="s">
        <v>71</v>
      </c>
      <c r="AE86" s="1" t="s">
        <v>411</v>
      </c>
      <c r="AH86" s="1" t="s">
        <v>73</v>
      </c>
      <c r="AK86" s="1" t="s">
        <v>71</v>
      </c>
      <c r="AM86" s="1" t="s">
        <v>71</v>
      </c>
      <c r="AN86" s="1" t="s">
        <v>71</v>
      </c>
      <c r="AS86" s="1" t="s">
        <v>71</v>
      </c>
      <c r="BH86" s="1" t="s">
        <v>71</v>
      </c>
    </row>
    <row r="87" customFormat="false" ht="15" hidden="false" customHeight="false" outlineLevel="0" collapsed="false">
      <c r="A87" s="1" t="s">
        <v>451</v>
      </c>
      <c r="B87" s="1" t="s">
        <v>452</v>
      </c>
      <c r="C87" s="1" t="s">
        <v>150</v>
      </c>
      <c r="D87" s="1" t="s">
        <v>405</v>
      </c>
      <c r="E87" s="1" t="s">
        <v>82</v>
      </c>
      <c r="F87" s="1" t="s">
        <v>391</v>
      </c>
      <c r="G87" s="1" t="s">
        <v>97</v>
      </c>
      <c r="H87" s="1" t="s">
        <v>406</v>
      </c>
      <c r="K87" s="1" t="s">
        <v>453</v>
      </c>
      <c r="L87" s="1" t="s">
        <v>454</v>
      </c>
      <c r="M87" s="1" t="s">
        <v>393</v>
      </c>
      <c r="N87" s="1" t="s">
        <v>455</v>
      </c>
      <c r="O87" s="1" t="s">
        <v>456</v>
      </c>
      <c r="P87" s="1"/>
      <c r="Q87" s="1" t="s">
        <v>70</v>
      </c>
      <c r="U87" s="1" t="s">
        <v>451</v>
      </c>
      <c r="Z87" s="1" t="s">
        <v>71</v>
      </c>
      <c r="AE87" s="1" t="s">
        <v>411</v>
      </c>
      <c r="AH87" s="1" t="s">
        <v>73</v>
      </c>
      <c r="AK87" s="1" t="s">
        <v>71</v>
      </c>
      <c r="AM87" s="1" t="s">
        <v>71</v>
      </c>
      <c r="AN87" s="1" t="s">
        <v>71</v>
      </c>
      <c r="AS87" s="1" t="s">
        <v>71</v>
      </c>
      <c r="AX87" s="1" t="s">
        <v>71</v>
      </c>
      <c r="BH87" s="1" t="s">
        <v>71</v>
      </c>
    </row>
    <row r="88" customFormat="false" ht="15" hidden="false" customHeight="false" outlineLevel="0" collapsed="false">
      <c r="A88" s="1" t="s">
        <v>110</v>
      </c>
      <c r="B88" s="1" t="s">
        <v>457</v>
      </c>
      <c r="C88" s="1" t="s">
        <v>150</v>
      </c>
      <c r="D88" s="1" t="s">
        <v>405</v>
      </c>
      <c r="E88" s="1" t="s">
        <v>82</v>
      </c>
      <c r="F88" s="1" t="s">
        <v>391</v>
      </c>
      <c r="G88" s="1" t="s">
        <v>97</v>
      </c>
      <c r="H88" s="1" t="s">
        <v>406</v>
      </c>
      <c r="K88" s="1" t="s">
        <v>453</v>
      </c>
      <c r="L88" s="1" t="s">
        <v>454</v>
      </c>
      <c r="M88" s="1" t="s">
        <v>393</v>
      </c>
      <c r="N88" s="1" t="s">
        <v>455</v>
      </c>
      <c r="O88" s="1" t="s">
        <v>456</v>
      </c>
      <c r="P88" s="1"/>
      <c r="Q88" s="1" t="s">
        <v>70</v>
      </c>
      <c r="U88" s="1" t="s">
        <v>110</v>
      </c>
      <c r="Z88" s="1" t="s">
        <v>71</v>
      </c>
      <c r="AE88" s="1" t="s">
        <v>411</v>
      </c>
      <c r="AH88" s="1" t="s">
        <v>73</v>
      </c>
      <c r="AK88" s="1" t="s">
        <v>71</v>
      </c>
      <c r="AM88" s="1" t="s">
        <v>71</v>
      </c>
      <c r="AN88" s="1" t="s">
        <v>71</v>
      </c>
      <c r="AS88" s="1" t="s">
        <v>71</v>
      </c>
      <c r="AX88" s="1" t="s">
        <v>71</v>
      </c>
      <c r="BH88" s="1" t="s">
        <v>71</v>
      </c>
    </row>
    <row r="89" customFormat="false" ht="15" hidden="false" customHeight="false" outlineLevel="0" collapsed="false">
      <c r="A89" s="1" t="s">
        <v>458</v>
      </c>
      <c r="B89" s="1" t="s">
        <v>459</v>
      </c>
      <c r="C89" s="1" t="s">
        <v>150</v>
      </c>
      <c r="D89" s="1" t="s">
        <v>405</v>
      </c>
      <c r="E89" s="1" t="s">
        <v>82</v>
      </c>
      <c r="F89" s="1" t="s">
        <v>391</v>
      </c>
      <c r="G89" s="1" t="s">
        <v>97</v>
      </c>
      <c r="H89" s="1" t="s">
        <v>406</v>
      </c>
      <c r="K89" s="1" t="s">
        <v>453</v>
      </c>
      <c r="L89" s="1" t="s">
        <v>454</v>
      </c>
      <c r="M89" s="1" t="s">
        <v>393</v>
      </c>
      <c r="N89" s="1" t="s">
        <v>460</v>
      </c>
      <c r="O89" s="1" t="s">
        <v>461</v>
      </c>
      <c r="P89" s="1"/>
      <c r="Q89" s="1" t="s">
        <v>70</v>
      </c>
      <c r="U89" s="1" t="s">
        <v>458</v>
      </c>
      <c r="Z89" s="1" t="s">
        <v>71</v>
      </c>
      <c r="AE89" s="1" t="s">
        <v>411</v>
      </c>
      <c r="AH89" s="1" t="s">
        <v>73</v>
      </c>
      <c r="AK89" s="1" t="s">
        <v>71</v>
      </c>
      <c r="AM89" s="1" t="s">
        <v>71</v>
      </c>
      <c r="AN89" s="1" t="s">
        <v>71</v>
      </c>
      <c r="AS89" s="1" t="s">
        <v>71</v>
      </c>
      <c r="AX89" s="1" t="s">
        <v>71</v>
      </c>
      <c r="BH89" s="1" t="s">
        <v>71</v>
      </c>
    </row>
    <row r="90" customFormat="false" ht="15" hidden="false" customHeight="false" outlineLevel="0" collapsed="false">
      <c r="A90" s="1" t="s">
        <v>462</v>
      </c>
      <c r="B90" s="1" t="s">
        <v>463</v>
      </c>
      <c r="C90" s="1" t="s">
        <v>152</v>
      </c>
      <c r="D90" s="1" t="s">
        <v>464</v>
      </c>
      <c r="E90" s="1" t="s">
        <v>82</v>
      </c>
      <c r="F90" s="1" t="s">
        <v>391</v>
      </c>
      <c r="G90" s="1" t="s">
        <v>97</v>
      </c>
      <c r="H90" s="1" t="s">
        <v>406</v>
      </c>
      <c r="M90" s="1" t="s">
        <v>465</v>
      </c>
      <c r="N90" s="1" t="s">
        <v>466</v>
      </c>
      <c r="O90" s="1" t="s">
        <v>467</v>
      </c>
      <c r="P90" s="1"/>
      <c r="Q90" s="1" t="s">
        <v>70</v>
      </c>
      <c r="U90" s="1" t="s">
        <v>462</v>
      </c>
      <c r="Z90" s="1" t="s">
        <v>71</v>
      </c>
      <c r="AE90" s="1" t="s">
        <v>468</v>
      </c>
      <c r="AH90" s="1" t="s">
        <v>148</v>
      </c>
      <c r="AK90" s="1" t="s">
        <v>71</v>
      </c>
      <c r="AM90" s="1" t="s">
        <v>71</v>
      </c>
      <c r="AN90" s="1" t="s">
        <v>71</v>
      </c>
      <c r="AS90" s="1" t="s">
        <v>71</v>
      </c>
      <c r="BH90" s="1" t="s">
        <v>71</v>
      </c>
    </row>
    <row r="91" customFormat="false" ht="15" hidden="false" customHeight="false" outlineLevel="0" collapsed="false">
      <c r="A91" s="1" t="s">
        <v>469</v>
      </c>
      <c r="B91" s="1" t="s">
        <v>470</v>
      </c>
      <c r="C91" s="1" t="s">
        <v>471</v>
      </c>
      <c r="D91" s="1" t="s">
        <v>472</v>
      </c>
      <c r="E91" s="1" t="s">
        <v>82</v>
      </c>
      <c r="F91" s="1" t="s">
        <v>391</v>
      </c>
      <c r="G91" s="1" t="s">
        <v>443</v>
      </c>
      <c r="H91" s="1" t="s">
        <v>444</v>
      </c>
      <c r="K91" s="1" t="s">
        <v>61</v>
      </c>
      <c r="L91" s="1" t="s">
        <v>445</v>
      </c>
      <c r="M91" s="1" t="s">
        <v>465</v>
      </c>
      <c r="N91" s="1" t="s">
        <v>473</v>
      </c>
      <c r="O91" s="1" t="s">
        <v>474</v>
      </c>
      <c r="P91" s="1"/>
      <c r="Q91" s="1" t="s">
        <v>70</v>
      </c>
      <c r="U91" s="1" t="s">
        <v>469</v>
      </c>
      <c r="Z91" s="1" t="s">
        <v>71</v>
      </c>
      <c r="AE91" s="1" t="s">
        <v>468</v>
      </c>
      <c r="AH91" s="1" t="s">
        <v>148</v>
      </c>
      <c r="AK91" s="1" t="s">
        <v>71</v>
      </c>
      <c r="AM91" s="1" t="s">
        <v>71</v>
      </c>
      <c r="AN91" s="1" t="s">
        <v>71</v>
      </c>
      <c r="AS91" s="1" t="s">
        <v>71</v>
      </c>
      <c r="AX91" s="1" t="s">
        <v>71</v>
      </c>
      <c r="BH91" s="1" t="s">
        <v>71</v>
      </c>
    </row>
    <row r="92" customFormat="false" ht="15" hidden="false" customHeight="false" outlineLevel="0" collapsed="false">
      <c r="A92" s="1" t="s">
        <v>475</v>
      </c>
      <c r="B92" s="1" t="s">
        <v>476</v>
      </c>
      <c r="C92" s="1" t="s">
        <v>152</v>
      </c>
      <c r="D92" s="1" t="s">
        <v>464</v>
      </c>
      <c r="E92" s="1" t="s">
        <v>82</v>
      </c>
      <c r="F92" s="1" t="s">
        <v>391</v>
      </c>
      <c r="G92" s="1" t="s">
        <v>213</v>
      </c>
      <c r="H92" s="1" t="s">
        <v>477</v>
      </c>
      <c r="K92" s="1" t="s">
        <v>478</v>
      </c>
      <c r="L92" s="1" t="s">
        <v>479</v>
      </c>
      <c r="M92" s="1" t="s">
        <v>465</v>
      </c>
      <c r="N92" s="1" t="s">
        <v>480</v>
      </c>
      <c r="O92" s="1" t="s">
        <v>447</v>
      </c>
      <c r="P92" s="1"/>
      <c r="Q92" s="1" t="s">
        <v>70</v>
      </c>
      <c r="U92" s="1" t="s">
        <v>475</v>
      </c>
      <c r="Z92" s="1" t="s">
        <v>71</v>
      </c>
      <c r="AE92" s="1" t="s">
        <v>468</v>
      </c>
      <c r="AH92" s="1" t="s">
        <v>148</v>
      </c>
      <c r="AK92" s="1" t="s">
        <v>71</v>
      </c>
      <c r="AM92" s="1" t="s">
        <v>71</v>
      </c>
      <c r="AN92" s="1" t="s">
        <v>71</v>
      </c>
      <c r="AS92" s="1" t="s">
        <v>71</v>
      </c>
      <c r="AX92" s="1" t="s">
        <v>71</v>
      </c>
      <c r="BH92" s="1" t="s">
        <v>71</v>
      </c>
    </row>
    <row r="93" customFormat="false" ht="15" hidden="false" customHeight="false" outlineLevel="0" collapsed="false">
      <c r="A93" s="1" t="s">
        <v>481</v>
      </c>
      <c r="B93" s="1" t="s">
        <v>482</v>
      </c>
      <c r="C93" s="1" t="s">
        <v>152</v>
      </c>
      <c r="D93" s="1" t="s">
        <v>464</v>
      </c>
      <c r="E93" s="1" t="s">
        <v>82</v>
      </c>
      <c r="F93" s="1" t="s">
        <v>391</v>
      </c>
      <c r="G93" s="1" t="s">
        <v>97</v>
      </c>
      <c r="H93" s="1" t="s">
        <v>406</v>
      </c>
      <c r="M93" s="1" t="s">
        <v>465</v>
      </c>
      <c r="N93" s="1" t="s">
        <v>483</v>
      </c>
      <c r="O93" s="1" t="s">
        <v>400</v>
      </c>
      <c r="P93" s="1"/>
      <c r="Q93" s="1" t="s">
        <v>70</v>
      </c>
      <c r="U93" s="1" t="s">
        <v>481</v>
      </c>
      <c r="Z93" s="1" t="s">
        <v>71</v>
      </c>
      <c r="AE93" s="1" t="s">
        <v>468</v>
      </c>
      <c r="AH93" s="1" t="s">
        <v>73</v>
      </c>
      <c r="AK93" s="1" t="s">
        <v>71</v>
      </c>
      <c r="AM93" s="1" t="s">
        <v>71</v>
      </c>
      <c r="AN93" s="1" t="s">
        <v>71</v>
      </c>
      <c r="AS93" s="1" t="s">
        <v>71</v>
      </c>
      <c r="BH93" s="1" t="s">
        <v>71</v>
      </c>
    </row>
    <row r="94" customFormat="false" ht="15" hidden="false" customHeight="false" outlineLevel="0" collapsed="false">
      <c r="A94" s="1" t="s">
        <v>484</v>
      </c>
      <c r="B94" s="1" t="s">
        <v>485</v>
      </c>
      <c r="C94" s="1" t="s">
        <v>152</v>
      </c>
      <c r="D94" s="1" t="s">
        <v>464</v>
      </c>
      <c r="E94" s="1" t="s">
        <v>82</v>
      </c>
      <c r="F94" s="1" t="s">
        <v>391</v>
      </c>
      <c r="G94" s="1" t="s">
        <v>97</v>
      </c>
      <c r="H94" s="1" t="s">
        <v>406</v>
      </c>
      <c r="M94" s="1" t="s">
        <v>465</v>
      </c>
      <c r="N94" s="1" t="s">
        <v>486</v>
      </c>
      <c r="O94" s="1" t="s">
        <v>447</v>
      </c>
      <c r="P94" s="1"/>
      <c r="Q94" s="1" t="s">
        <v>70</v>
      </c>
      <c r="U94" s="1" t="s">
        <v>484</v>
      </c>
      <c r="Z94" s="1" t="s">
        <v>71</v>
      </c>
      <c r="AE94" s="1" t="s">
        <v>468</v>
      </c>
      <c r="AH94" s="1" t="s">
        <v>73</v>
      </c>
      <c r="AK94" s="1" t="s">
        <v>71</v>
      </c>
      <c r="AM94" s="1" t="s">
        <v>71</v>
      </c>
      <c r="AN94" s="1" t="s">
        <v>71</v>
      </c>
      <c r="AS94" s="1" t="s">
        <v>71</v>
      </c>
      <c r="BH94" s="1" t="s">
        <v>71</v>
      </c>
    </row>
    <row r="95" customFormat="false" ht="15" hidden="false" customHeight="false" outlineLevel="0" collapsed="false">
      <c r="A95" s="1" t="s">
        <v>487</v>
      </c>
      <c r="B95" s="1" t="s">
        <v>488</v>
      </c>
      <c r="C95" s="1" t="s">
        <v>152</v>
      </c>
      <c r="D95" s="1" t="s">
        <v>464</v>
      </c>
      <c r="E95" s="1" t="s">
        <v>82</v>
      </c>
      <c r="F95" s="1" t="s">
        <v>391</v>
      </c>
      <c r="G95" s="1" t="s">
        <v>97</v>
      </c>
      <c r="H95" s="1" t="s">
        <v>406</v>
      </c>
      <c r="M95" s="1" t="s">
        <v>465</v>
      </c>
      <c r="N95" s="1" t="s">
        <v>489</v>
      </c>
      <c r="O95" s="1" t="s">
        <v>490</v>
      </c>
      <c r="P95" s="1"/>
      <c r="Q95" s="1" t="s">
        <v>70</v>
      </c>
      <c r="U95" s="1" t="s">
        <v>487</v>
      </c>
      <c r="Z95" s="1" t="s">
        <v>71</v>
      </c>
      <c r="AE95" s="1" t="s">
        <v>468</v>
      </c>
      <c r="AH95" s="1" t="s">
        <v>73</v>
      </c>
      <c r="AK95" s="1" t="s">
        <v>71</v>
      </c>
      <c r="AM95" s="1" t="s">
        <v>71</v>
      </c>
      <c r="AN95" s="1" t="s">
        <v>71</v>
      </c>
      <c r="AS95" s="1" t="s">
        <v>71</v>
      </c>
      <c r="BH95" s="1" t="s">
        <v>71</v>
      </c>
    </row>
    <row r="96" customFormat="false" ht="15" hidden="false" customHeight="false" outlineLevel="0" collapsed="false">
      <c r="A96" s="1" t="s">
        <v>491</v>
      </c>
      <c r="B96" s="1" t="s">
        <v>492</v>
      </c>
      <c r="C96" s="1" t="s">
        <v>493</v>
      </c>
      <c r="D96" s="1" t="s">
        <v>494</v>
      </c>
      <c r="E96" s="1" t="s">
        <v>88</v>
      </c>
      <c r="F96" s="1" t="s">
        <v>432</v>
      </c>
      <c r="G96" s="1" t="s">
        <v>229</v>
      </c>
      <c r="H96" s="1" t="s">
        <v>495</v>
      </c>
      <c r="M96" s="1" t="s">
        <v>496</v>
      </c>
      <c r="N96" s="1" t="s">
        <v>497</v>
      </c>
      <c r="O96" s="1" t="s">
        <v>498</v>
      </c>
      <c r="P96" s="1"/>
      <c r="Q96" s="1" t="s">
        <v>70</v>
      </c>
      <c r="U96" s="1" t="s">
        <v>491</v>
      </c>
      <c r="Z96" s="1" t="s">
        <v>71</v>
      </c>
      <c r="AE96" s="1" t="s">
        <v>468</v>
      </c>
      <c r="AH96" s="1" t="s">
        <v>73</v>
      </c>
      <c r="AK96" s="1" t="s">
        <v>71</v>
      </c>
      <c r="AM96" s="1" t="s">
        <v>71</v>
      </c>
      <c r="AN96" s="1" t="s">
        <v>71</v>
      </c>
      <c r="AS96" s="1" t="s">
        <v>71</v>
      </c>
      <c r="BH96" s="1" t="s">
        <v>71</v>
      </c>
    </row>
    <row r="97" customFormat="false" ht="15" hidden="false" customHeight="false" outlineLevel="0" collapsed="false">
      <c r="A97" s="1" t="s">
        <v>499</v>
      </c>
      <c r="B97" s="1" t="s">
        <v>500</v>
      </c>
      <c r="C97" s="1" t="s">
        <v>493</v>
      </c>
      <c r="D97" s="1" t="s">
        <v>494</v>
      </c>
      <c r="E97" s="1" t="s">
        <v>88</v>
      </c>
      <c r="F97" s="1" t="s">
        <v>432</v>
      </c>
      <c r="G97" s="1" t="s">
        <v>229</v>
      </c>
      <c r="H97" s="1" t="s">
        <v>495</v>
      </c>
      <c r="K97" s="1" t="s">
        <v>501</v>
      </c>
      <c r="L97" s="1" t="s">
        <v>502</v>
      </c>
      <c r="M97" s="1" t="s">
        <v>496</v>
      </c>
      <c r="N97" s="1" t="s">
        <v>503</v>
      </c>
      <c r="O97" s="1" t="s">
        <v>504</v>
      </c>
      <c r="P97" s="1"/>
      <c r="Q97" s="1" t="s">
        <v>70</v>
      </c>
      <c r="U97" s="1" t="s">
        <v>499</v>
      </c>
      <c r="Z97" s="1" t="s">
        <v>71</v>
      </c>
      <c r="AE97" s="1" t="s">
        <v>468</v>
      </c>
      <c r="AH97" s="1" t="s">
        <v>73</v>
      </c>
      <c r="AK97" s="1" t="s">
        <v>71</v>
      </c>
      <c r="AM97" s="1" t="s">
        <v>71</v>
      </c>
      <c r="AN97" s="1" t="s">
        <v>71</v>
      </c>
      <c r="AS97" s="1" t="s">
        <v>71</v>
      </c>
      <c r="AX97" s="1" t="s">
        <v>71</v>
      </c>
      <c r="BH97" s="1" t="s">
        <v>71</v>
      </c>
    </row>
    <row r="98" customFormat="false" ht="15" hidden="false" customHeight="false" outlineLevel="0" collapsed="false">
      <c r="A98" s="1" t="s">
        <v>505</v>
      </c>
      <c r="B98" s="1" t="s">
        <v>506</v>
      </c>
      <c r="C98" s="1" t="s">
        <v>493</v>
      </c>
      <c r="D98" s="1" t="s">
        <v>494</v>
      </c>
      <c r="E98" s="1" t="s">
        <v>88</v>
      </c>
      <c r="F98" s="1" t="s">
        <v>432</v>
      </c>
      <c r="G98" s="1" t="s">
        <v>229</v>
      </c>
      <c r="H98" s="1" t="s">
        <v>495</v>
      </c>
      <c r="M98" s="1" t="s">
        <v>496</v>
      </c>
      <c r="N98" s="1" t="s">
        <v>507</v>
      </c>
      <c r="O98" s="1" t="s">
        <v>508</v>
      </c>
      <c r="P98" s="1"/>
      <c r="Q98" s="1" t="s">
        <v>70</v>
      </c>
      <c r="U98" s="1" t="s">
        <v>505</v>
      </c>
      <c r="Z98" s="1" t="s">
        <v>71</v>
      </c>
      <c r="AE98" s="1" t="s">
        <v>468</v>
      </c>
      <c r="AH98" s="1" t="s">
        <v>73</v>
      </c>
      <c r="AK98" s="1" t="s">
        <v>71</v>
      </c>
      <c r="AM98" s="1" t="s">
        <v>71</v>
      </c>
      <c r="AN98" s="1" t="s">
        <v>71</v>
      </c>
      <c r="AS98" s="1" t="s">
        <v>71</v>
      </c>
      <c r="BH98" s="1" t="s">
        <v>71</v>
      </c>
    </row>
    <row r="99" customFormat="false" ht="15" hidden="false" customHeight="false" outlineLevel="0" collapsed="false">
      <c r="A99" s="1" t="s">
        <v>509</v>
      </c>
      <c r="B99" s="1" t="s">
        <v>510</v>
      </c>
      <c r="C99" s="1" t="s">
        <v>157</v>
      </c>
      <c r="D99" s="1" t="s">
        <v>511</v>
      </c>
      <c r="E99" s="1" t="s">
        <v>82</v>
      </c>
      <c r="F99" s="1" t="s">
        <v>391</v>
      </c>
      <c r="G99" s="1" t="s">
        <v>97</v>
      </c>
      <c r="H99" s="1" t="s">
        <v>406</v>
      </c>
      <c r="M99" s="1" t="s">
        <v>496</v>
      </c>
      <c r="N99" s="1" t="s">
        <v>512</v>
      </c>
      <c r="O99" s="1" t="s">
        <v>513</v>
      </c>
      <c r="P99" s="1"/>
      <c r="Q99" s="1" t="s">
        <v>70</v>
      </c>
      <c r="U99" s="1" t="s">
        <v>509</v>
      </c>
      <c r="Z99" s="1" t="s">
        <v>71</v>
      </c>
      <c r="AE99" s="1" t="s">
        <v>514</v>
      </c>
      <c r="AH99" s="1" t="s">
        <v>73</v>
      </c>
      <c r="AK99" s="1" t="s">
        <v>71</v>
      </c>
      <c r="AM99" s="1" t="s">
        <v>71</v>
      </c>
      <c r="AN99" s="1" t="s">
        <v>71</v>
      </c>
      <c r="AS99" s="1" t="s">
        <v>71</v>
      </c>
      <c r="BH99" s="1" t="s">
        <v>71</v>
      </c>
    </row>
    <row r="100" customFormat="false" ht="15" hidden="false" customHeight="false" outlineLevel="0" collapsed="false">
      <c r="A100" s="1" t="s">
        <v>515</v>
      </c>
      <c r="B100" s="1" t="s">
        <v>516</v>
      </c>
      <c r="C100" s="1" t="s">
        <v>157</v>
      </c>
      <c r="D100" s="1" t="s">
        <v>511</v>
      </c>
      <c r="E100" s="1" t="s">
        <v>82</v>
      </c>
      <c r="F100" s="1" t="s">
        <v>391</v>
      </c>
      <c r="G100" s="1" t="s">
        <v>182</v>
      </c>
      <c r="H100" s="1" t="s">
        <v>392</v>
      </c>
      <c r="K100" s="1" t="s">
        <v>65</v>
      </c>
      <c r="L100" s="1" t="s">
        <v>517</v>
      </c>
      <c r="M100" s="1" t="s">
        <v>496</v>
      </c>
      <c r="N100" s="1" t="s">
        <v>518</v>
      </c>
      <c r="O100" s="1" t="s">
        <v>519</v>
      </c>
      <c r="P100" s="1"/>
      <c r="Q100" s="1" t="s">
        <v>70</v>
      </c>
      <c r="U100" s="1" t="s">
        <v>515</v>
      </c>
      <c r="Z100" s="1" t="s">
        <v>71</v>
      </c>
      <c r="AE100" s="1" t="s">
        <v>514</v>
      </c>
      <c r="AH100" s="1" t="s">
        <v>73</v>
      </c>
      <c r="AK100" s="1" t="s">
        <v>71</v>
      </c>
      <c r="AM100" s="1" t="s">
        <v>71</v>
      </c>
      <c r="AN100" s="1" t="s">
        <v>71</v>
      </c>
      <c r="AS100" s="1" t="s">
        <v>71</v>
      </c>
      <c r="AX100" s="1" t="s">
        <v>71</v>
      </c>
      <c r="BH100" s="1" t="s">
        <v>71</v>
      </c>
    </row>
    <row r="101" customFormat="false" ht="15" hidden="false" customHeight="false" outlineLevel="0" collapsed="false">
      <c r="A101" s="1" t="s">
        <v>520</v>
      </c>
      <c r="B101" s="1" t="s">
        <v>521</v>
      </c>
      <c r="C101" s="1" t="s">
        <v>157</v>
      </c>
      <c r="D101" s="1" t="s">
        <v>511</v>
      </c>
      <c r="E101" s="1" t="s">
        <v>82</v>
      </c>
      <c r="F101" s="1" t="s">
        <v>391</v>
      </c>
      <c r="G101" s="1" t="s">
        <v>213</v>
      </c>
      <c r="H101" s="1" t="s">
        <v>477</v>
      </c>
      <c r="K101" s="1" t="s">
        <v>478</v>
      </c>
      <c r="L101" s="1" t="s">
        <v>479</v>
      </c>
      <c r="M101" s="1" t="s">
        <v>496</v>
      </c>
      <c r="N101" s="1" t="s">
        <v>522</v>
      </c>
      <c r="O101" s="1" t="s">
        <v>523</v>
      </c>
      <c r="P101" s="1"/>
      <c r="Q101" s="1" t="s">
        <v>70</v>
      </c>
      <c r="U101" s="1" t="s">
        <v>520</v>
      </c>
      <c r="Z101" s="1" t="s">
        <v>71</v>
      </c>
      <c r="AE101" s="1" t="s">
        <v>514</v>
      </c>
      <c r="AH101" s="1" t="s">
        <v>73</v>
      </c>
      <c r="AK101" s="1" t="s">
        <v>71</v>
      </c>
      <c r="AM101" s="1" t="s">
        <v>71</v>
      </c>
      <c r="AN101" s="1" t="s">
        <v>71</v>
      </c>
      <c r="AS101" s="1" t="s">
        <v>71</v>
      </c>
      <c r="AX101" s="1" t="s">
        <v>71</v>
      </c>
      <c r="BH101" s="1" t="s">
        <v>71</v>
      </c>
    </row>
    <row r="102" customFormat="false" ht="15" hidden="false" customHeight="false" outlineLevel="0" collapsed="false">
      <c r="A102" s="1" t="s">
        <v>524</v>
      </c>
      <c r="B102" s="1" t="s">
        <v>525</v>
      </c>
      <c r="C102" s="1" t="s">
        <v>526</v>
      </c>
      <c r="D102" s="1" t="s">
        <v>527</v>
      </c>
      <c r="E102" s="1" t="s">
        <v>82</v>
      </c>
      <c r="F102" s="1" t="s">
        <v>391</v>
      </c>
      <c r="G102" s="1" t="s">
        <v>213</v>
      </c>
      <c r="H102" s="1" t="s">
        <v>477</v>
      </c>
      <c r="K102" s="1" t="s">
        <v>478</v>
      </c>
      <c r="L102" s="1" t="s">
        <v>479</v>
      </c>
      <c r="M102" s="1" t="s">
        <v>496</v>
      </c>
      <c r="N102" s="1" t="s">
        <v>518</v>
      </c>
      <c r="O102" s="1" t="s">
        <v>519</v>
      </c>
      <c r="P102" s="1"/>
      <c r="Q102" s="1" t="s">
        <v>70</v>
      </c>
      <c r="U102" s="1" t="s">
        <v>524</v>
      </c>
      <c r="Z102" s="1" t="s">
        <v>71</v>
      </c>
      <c r="AE102" s="1" t="s">
        <v>514</v>
      </c>
      <c r="AH102" s="1" t="s">
        <v>73</v>
      </c>
      <c r="AK102" s="1" t="s">
        <v>71</v>
      </c>
      <c r="AM102" s="1" t="s">
        <v>71</v>
      </c>
      <c r="AN102" s="1" t="s">
        <v>71</v>
      </c>
      <c r="AS102" s="1" t="s">
        <v>71</v>
      </c>
      <c r="AX102" s="1" t="s">
        <v>71</v>
      </c>
      <c r="BH102" s="1" t="s">
        <v>71</v>
      </c>
    </row>
    <row r="103" customFormat="false" ht="15" hidden="false" customHeight="false" outlineLevel="0" collapsed="false">
      <c r="A103" s="1" t="s">
        <v>528</v>
      </c>
      <c r="B103" s="1" t="s">
        <v>529</v>
      </c>
      <c r="C103" s="1" t="s">
        <v>526</v>
      </c>
      <c r="D103" s="1" t="s">
        <v>527</v>
      </c>
      <c r="E103" s="1" t="s">
        <v>82</v>
      </c>
      <c r="F103" s="1" t="s">
        <v>391</v>
      </c>
      <c r="G103" s="1" t="s">
        <v>213</v>
      </c>
      <c r="H103" s="1" t="s">
        <v>477</v>
      </c>
      <c r="K103" s="1" t="s">
        <v>478</v>
      </c>
      <c r="L103" s="1" t="s">
        <v>479</v>
      </c>
      <c r="M103" s="1" t="s">
        <v>496</v>
      </c>
      <c r="N103" s="1" t="s">
        <v>530</v>
      </c>
      <c r="O103" s="1" t="s">
        <v>531</v>
      </c>
      <c r="P103" s="1"/>
      <c r="Q103" s="1" t="s">
        <v>70</v>
      </c>
      <c r="U103" s="1" t="s">
        <v>528</v>
      </c>
      <c r="Z103" s="1" t="s">
        <v>71</v>
      </c>
      <c r="AE103" s="1" t="s">
        <v>514</v>
      </c>
      <c r="AH103" s="1" t="s">
        <v>73</v>
      </c>
      <c r="AK103" s="1" t="s">
        <v>71</v>
      </c>
      <c r="AM103" s="1" t="s">
        <v>71</v>
      </c>
      <c r="AN103" s="1" t="s">
        <v>71</v>
      </c>
      <c r="AS103" s="1" t="s">
        <v>71</v>
      </c>
      <c r="AX103" s="1" t="s">
        <v>71</v>
      </c>
      <c r="BH103" s="1" t="s">
        <v>71</v>
      </c>
    </row>
    <row r="104" customFormat="false" ht="15" hidden="false" customHeight="false" outlineLevel="0" collapsed="false">
      <c r="A104" s="1" t="s">
        <v>532</v>
      </c>
      <c r="B104" s="1" t="s">
        <v>533</v>
      </c>
      <c r="C104" s="1" t="s">
        <v>526</v>
      </c>
      <c r="D104" s="1" t="s">
        <v>527</v>
      </c>
      <c r="E104" s="1" t="s">
        <v>82</v>
      </c>
      <c r="F104" s="1" t="s">
        <v>391</v>
      </c>
      <c r="G104" s="1" t="s">
        <v>97</v>
      </c>
      <c r="H104" s="1" t="s">
        <v>406</v>
      </c>
      <c r="M104" s="1" t="s">
        <v>496</v>
      </c>
      <c r="N104" s="1" t="s">
        <v>530</v>
      </c>
      <c r="O104" s="1" t="s">
        <v>531</v>
      </c>
      <c r="P104" s="1"/>
      <c r="Q104" s="1" t="s">
        <v>70</v>
      </c>
      <c r="U104" s="1" t="s">
        <v>532</v>
      </c>
      <c r="Z104" s="1" t="s">
        <v>71</v>
      </c>
      <c r="AE104" s="1" t="s">
        <v>514</v>
      </c>
      <c r="AH104" s="1" t="s">
        <v>73</v>
      </c>
      <c r="AK104" s="1" t="s">
        <v>71</v>
      </c>
      <c r="AM104" s="1" t="s">
        <v>71</v>
      </c>
      <c r="AN104" s="1" t="s">
        <v>71</v>
      </c>
      <c r="AS104" s="1" t="s">
        <v>71</v>
      </c>
      <c r="BH104" s="1" t="s">
        <v>71</v>
      </c>
    </row>
    <row r="105" customFormat="false" ht="15" hidden="false" customHeight="false" outlineLevel="0" collapsed="false">
      <c r="A105" s="1" t="s">
        <v>534</v>
      </c>
      <c r="B105" s="1" t="s">
        <v>535</v>
      </c>
      <c r="C105" s="1" t="s">
        <v>526</v>
      </c>
      <c r="D105" s="1" t="s">
        <v>527</v>
      </c>
      <c r="E105" s="1" t="s">
        <v>82</v>
      </c>
      <c r="F105" s="1" t="s">
        <v>391</v>
      </c>
      <c r="G105" s="1" t="s">
        <v>213</v>
      </c>
      <c r="H105" s="1" t="s">
        <v>477</v>
      </c>
      <c r="K105" s="1" t="s">
        <v>478</v>
      </c>
      <c r="L105" s="1" t="s">
        <v>479</v>
      </c>
      <c r="M105" s="1" t="s">
        <v>496</v>
      </c>
      <c r="N105" s="1" t="s">
        <v>536</v>
      </c>
      <c r="O105" s="1" t="s">
        <v>537</v>
      </c>
      <c r="P105" s="1"/>
      <c r="Q105" s="1" t="s">
        <v>70</v>
      </c>
      <c r="U105" s="1" t="s">
        <v>534</v>
      </c>
      <c r="Z105" s="1" t="s">
        <v>71</v>
      </c>
      <c r="AE105" s="1" t="s">
        <v>514</v>
      </c>
      <c r="AH105" s="1" t="s">
        <v>73</v>
      </c>
      <c r="AK105" s="1" t="s">
        <v>71</v>
      </c>
      <c r="AM105" s="1" t="s">
        <v>71</v>
      </c>
      <c r="AN105" s="1" t="s">
        <v>71</v>
      </c>
      <c r="AS105" s="1" t="s">
        <v>71</v>
      </c>
      <c r="AX105" s="1" t="s">
        <v>71</v>
      </c>
      <c r="BH105" s="1" t="s">
        <v>71</v>
      </c>
    </row>
    <row r="106" customFormat="false" ht="15" hidden="false" customHeight="false" outlineLevel="0" collapsed="false">
      <c r="A106" s="1" t="s">
        <v>538</v>
      </c>
      <c r="B106" s="1" t="s">
        <v>539</v>
      </c>
      <c r="C106" s="1" t="s">
        <v>220</v>
      </c>
      <c r="D106" s="1" t="s">
        <v>540</v>
      </c>
      <c r="E106" s="1" t="s">
        <v>82</v>
      </c>
      <c r="F106" s="1" t="s">
        <v>391</v>
      </c>
      <c r="G106" s="1" t="s">
        <v>97</v>
      </c>
      <c r="H106" s="1" t="s">
        <v>406</v>
      </c>
      <c r="M106" s="1" t="s">
        <v>496</v>
      </c>
      <c r="N106" s="1" t="s">
        <v>541</v>
      </c>
      <c r="O106" s="1" t="s">
        <v>400</v>
      </c>
      <c r="P106" s="1"/>
      <c r="Q106" s="1" t="s">
        <v>70</v>
      </c>
      <c r="U106" s="1" t="s">
        <v>538</v>
      </c>
      <c r="Z106" s="1" t="s">
        <v>71</v>
      </c>
      <c r="AE106" s="1" t="s">
        <v>514</v>
      </c>
      <c r="AH106" s="1" t="s">
        <v>73</v>
      </c>
      <c r="AK106" s="1" t="s">
        <v>71</v>
      </c>
      <c r="AM106" s="1" t="s">
        <v>71</v>
      </c>
      <c r="AN106" s="1" t="s">
        <v>71</v>
      </c>
      <c r="AS106" s="1" t="s">
        <v>71</v>
      </c>
      <c r="BH106" s="1" t="s">
        <v>71</v>
      </c>
    </row>
    <row r="107" customFormat="false" ht="15" hidden="false" customHeight="false" outlineLevel="0" collapsed="false">
      <c r="A107" s="1" t="s">
        <v>542</v>
      </c>
      <c r="B107" s="1" t="s">
        <v>543</v>
      </c>
      <c r="C107" s="1" t="s">
        <v>544</v>
      </c>
      <c r="D107" s="1" t="s">
        <v>545</v>
      </c>
      <c r="E107" s="1" t="s">
        <v>82</v>
      </c>
      <c r="F107" s="1" t="s">
        <v>391</v>
      </c>
      <c r="G107" s="1" t="s">
        <v>97</v>
      </c>
      <c r="H107" s="1" t="s">
        <v>406</v>
      </c>
      <c r="M107" s="1" t="s">
        <v>393</v>
      </c>
      <c r="N107" s="1" t="s">
        <v>518</v>
      </c>
      <c r="O107" s="1" t="s">
        <v>519</v>
      </c>
      <c r="P107" s="1"/>
      <c r="Q107" s="1" t="s">
        <v>70</v>
      </c>
      <c r="U107" s="1" t="s">
        <v>542</v>
      </c>
      <c r="Z107" s="1" t="s">
        <v>71</v>
      </c>
      <c r="AE107" s="1" t="s">
        <v>514</v>
      </c>
      <c r="AH107" s="1" t="s">
        <v>73</v>
      </c>
      <c r="AK107" s="1" t="s">
        <v>71</v>
      </c>
      <c r="AM107" s="1" t="s">
        <v>71</v>
      </c>
      <c r="AN107" s="1" t="s">
        <v>71</v>
      </c>
      <c r="AS107" s="1" t="s">
        <v>71</v>
      </c>
      <c r="BH107" s="1" t="s">
        <v>71</v>
      </c>
    </row>
    <row r="108" customFormat="false" ht="15" hidden="false" customHeight="false" outlineLevel="0" collapsed="false">
      <c r="A108" s="1" t="s">
        <v>546</v>
      </c>
      <c r="B108" s="1" t="s">
        <v>547</v>
      </c>
      <c r="C108" s="1" t="s">
        <v>548</v>
      </c>
      <c r="D108" s="1" t="s">
        <v>549</v>
      </c>
      <c r="E108" s="1" t="s">
        <v>82</v>
      </c>
      <c r="F108" s="1" t="s">
        <v>391</v>
      </c>
      <c r="G108" s="1" t="s">
        <v>97</v>
      </c>
      <c r="H108" s="1" t="s">
        <v>406</v>
      </c>
      <c r="M108" s="1" t="s">
        <v>550</v>
      </c>
      <c r="N108" s="1" t="s">
        <v>551</v>
      </c>
      <c r="O108" s="1" t="s">
        <v>447</v>
      </c>
      <c r="P108" s="1"/>
      <c r="Q108" s="1" t="s">
        <v>70</v>
      </c>
      <c r="U108" s="1" t="s">
        <v>546</v>
      </c>
      <c r="Z108" s="1" t="s">
        <v>71</v>
      </c>
      <c r="AE108" s="1" t="s">
        <v>514</v>
      </c>
      <c r="AH108" s="1" t="s">
        <v>73</v>
      </c>
      <c r="AK108" s="1" t="s">
        <v>71</v>
      </c>
      <c r="AM108" s="1" t="s">
        <v>71</v>
      </c>
      <c r="AN108" s="1" t="s">
        <v>71</v>
      </c>
      <c r="AS108" s="1" t="s">
        <v>71</v>
      </c>
      <c r="BH108" s="1" t="s">
        <v>71</v>
      </c>
    </row>
    <row r="109" customFormat="false" ht="15" hidden="false" customHeight="false" outlineLevel="0" collapsed="false">
      <c r="A109" s="1" t="s">
        <v>552</v>
      </c>
      <c r="B109" s="1" t="s">
        <v>553</v>
      </c>
      <c r="C109" s="1" t="s">
        <v>554</v>
      </c>
      <c r="D109" s="1" t="s">
        <v>555</v>
      </c>
      <c r="E109" s="1" t="s">
        <v>82</v>
      </c>
      <c r="F109" s="1" t="s">
        <v>391</v>
      </c>
      <c r="G109" s="1" t="s">
        <v>97</v>
      </c>
      <c r="H109" s="1" t="s">
        <v>406</v>
      </c>
      <c r="M109" s="1" t="s">
        <v>556</v>
      </c>
      <c r="N109" s="1" t="s">
        <v>557</v>
      </c>
      <c r="O109" s="1" t="s">
        <v>558</v>
      </c>
      <c r="P109" s="1"/>
      <c r="Q109" s="1" t="s">
        <v>70</v>
      </c>
      <c r="U109" s="1" t="s">
        <v>552</v>
      </c>
      <c r="Z109" s="1" t="s">
        <v>71</v>
      </c>
      <c r="AE109" s="1" t="s">
        <v>514</v>
      </c>
      <c r="AH109" s="1" t="s">
        <v>73</v>
      </c>
      <c r="AK109" s="1" t="s">
        <v>71</v>
      </c>
      <c r="AM109" s="1" t="s">
        <v>71</v>
      </c>
      <c r="AN109" s="1" t="s">
        <v>71</v>
      </c>
      <c r="AS109" s="1" t="s">
        <v>71</v>
      </c>
      <c r="BH109" s="1" t="s">
        <v>71</v>
      </c>
    </row>
    <row r="110" customFormat="false" ht="15" hidden="false" customHeight="false" outlineLevel="0" collapsed="false">
      <c r="A110" s="1" t="s">
        <v>559</v>
      </c>
      <c r="B110" s="1" t="s">
        <v>560</v>
      </c>
      <c r="C110" s="1" t="s">
        <v>561</v>
      </c>
      <c r="D110" s="1" t="s">
        <v>562</v>
      </c>
      <c r="E110" s="1" t="s">
        <v>82</v>
      </c>
      <c r="F110" s="1" t="s">
        <v>391</v>
      </c>
      <c r="G110" s="1" t="s">
        <v>97</v>
      </c>
      <c r="H110" s="1" t="s">
        <v>406</v>
      </c>
      <c r="M110" s="1" t="s">
        <v>550</v>
      </c>
      <c r="N110" s="1" t="s">
        <v>563</v>
      </c>
      <c r="O110" s="1" t="s">
        <v>400</v>
      </c>
      <c r="P110" s="1"/>
      <c r="Q110" s="1" t="s">
        <v>70</v>
      </c>
      <c r="U110" s="1" t="s">
        <v>559</v>
      </c>
      <c r="Z110" s="1" t="s">
        <v>71</v>
      </c>
      <c r="AE110" s="1" t="s">
        <v>514</v>
      </c>
      <c r="AH110" s="1" t="s">
        <v>73</v>
      </c>
      <c r="AK110" s="1" t="s">
        <v>71</v>
      </c>
      <c r="AM110" s="1" t="s">
        <v>71</v>
      </c>
      <c r="AN110" s="1" t="s">
        <v>71</v>
      </c>
      <c r="AS110" s="1" t="s">
        <v>71</v>
      </c>
      <c r="BH110" s="1" t="s">
        <v>71</v>
      </c>
    </row>
    <row r="111" customFormat="false" ht="15" hidden="false" customHeight="false" outlineLevel="0" collapsed="false">
      <c r="A111" s="1" t="s">
        <v>564</v>
      </c>
      <c r="B111" s="1" t="s">
        <v>565</v>
      </c>
      <c r="C111" s="1" t="s">
        <v>159</v>
      </c>
      <c r="D111" s="1" t="s">
        <v>566</v>
      </c>
      <c r="E111" s="1" t="s">
        <v>82</v>
      </c>
      <c r="F111" s="1" t="s">
        <v>391</v>
      </c>
      <c r="G111" s="1" t="s">
        <v>97</v>
      </c>
      <c r="H111" s="1" t="s">
        <v>406</v>
      </c>
      <c r="M111" s="1" t="s">
        <v>393</v>
      </c>
      <c r="N111" s="1" t="s">
        <v>536</v>
      </c>
      <c r="O111" s="1" t="s">
        <v>537</v>
      </c>
      <c r="P111" s="1"/>
      <c r="Q111" s="1" t="s">
        <v>70</v>
      </c>
      <c r="U111" s="1" t="s">
        <v>564</v>
      </c>
      <c r="Z111" s="1" t="s">
        <v>71</v>
      </c>
      <c r="AE111" s="1" t="s">
        <v>514</v>
      </c>
      <c r="AH111" s="1" t="s">
        <v>73</v>
      </c>
      <c r="AK111" s="1" t="s">
        <v>71</v>
      </c>
      <c r="AM111" s="1" t="s">
        <v>71</v>
      </c>
      <c r="AN111" s="1" t="s">
        <v>71</v>
      </c>
      <c r="AS111" s="1" t="s">
        <v>71</v>
      </c>
      <c r="BH111" s="1" t="s">
        <v>71</v>
      </c>
    </row>
    <row r="112" customFormat="false" ht="15" hidden="false" customHeight="false" outlineLevel="0" collapsed="false">
      <c r="A112" s="1" t="s">
        <v>567</v>
      </c>
      <c r="B112" s="1" t="s">
        <v>568</v>
      </c>
      <c r="C112" s="1" t="s">
        <v>159</v>
      </c>
      <c r="D112" s="1" t="s">
        <v>566</v>
      </c>
      <c r="E112" s="1" t="s">
        <v>82</v>
      </c>
      <c r="F112" s="1" t="s">
        <v>391</v>
      </c>
      <c r="G112" s="1" t="s">
        <v>97</v>
      </c>
      <c r="H112" s="1" t="s">
        <v>406</v>
      </c>
      <c r="M112" s="1" t="s">
        <v>393</v>
      </c>
      <c r="N112" s="1" t="s">
        <v>569</v>
      </c>
      <c r="O112" s="1" t="s">
        <v>570</v>
      </c>
      <c r="P112" s="1"/>
      <c r="Q112" s="1" t="s">
        <v>70</v>
      </c>
      <c r="U112" s="1" t="s">
        <v>567</v>
      </c>
      <c r="Z112" s="1" t="s">
        <v>71</v>
      </c>
      <c r="AE112" s="1" t="s">
        <v>514</v>
      </c>
      <c r="AH112" s="1" t="s">
        <v>73</v>
      </c>
      <c r="AK112" s="1" t="s">
        <v>71</v>
      </c>
      <c r="AM112" s="1" t="s">
        <v>71</v>
      </c>
      <c r="AN112" s="1" t="s">
        <v>71</v>
      </c>
      <c r="AS112" s="1" t="s">
        <v>71</v>
      </c>
      <c r="BH112" s="1" t="s">
        <v>71</v>
      </c>
    </row>
    <row r="113" customFormat="false" ht="15" hidden="false" customHeight="false" outlineLevel="0" collapsed="false">
      <c r="A113" s="1" t="s">
        <v>571</v>
      </c>
      <c r="B113" s="1" t="s">
        <v>572</v>
      </c>
      <c r="C113" s="1" t="s">
        <v>573</v>
      </c>
      <c r="D113" s="1" t="s">
        <v>574</v>
      </c>
      <c r="E113" s="1" t="s">
        <v>82</v>
      </c>
      <c r="F113" s="1" t="s">
        <v>391</v>
      </c>
      <c r="G113" s="1" t="s">
        <v>213</v>
      </c>
      <c r="H113" s="1" t="s">
        <v>477</v>
      </c>
      <c r="K113" s="1" t="s">
        <v>575</v>
      </c>
      <c r="L113" s="1" t="s">
        <v>576</v>
      </c>
      <c r="M113" s="1" t="s">
        <v>577</v>
      </c>
      <c r="N113" s="1" t="s">
        <v>578</v>
      </c>
      <c r="O113" s="1" t="s">
        <v>579</v>
      </c>
      <c r="P113" s="1"/>
      <c r="Q113" s="1" t="s">
        <v>70</v>
      </c>
      <c r="U113" s="1" t="s">
        <v>571</v>
      </c>
      <c r="Z113" s="1" t="s">
        <v>71</v>
      </c>
      <c r="AE113" s="1" t="s">
        <v>514</v>
      </c>
      <c r="AH113" s="1" t="s">
        <v>73</v>
      </c>
      <c r="AK113" s="1" t="s">
        <v>71</v>
      </c>
      <c r="AM113" s="1" t="s">
        <v>71</v>
      </c>
      <c r="AN113" s="1" t="s">
        <v>71</v>
      </c>
      <c r="AS113" s="1" t="s">
        <v>71</v>
      </c>
      <c r="AX113" s="1" t="s">
        <v>71</v>
      </c>
      <c r="BH113" s="1" t="s">
        <v>71</v>
      </c>
    </row>
    <row r="114" customFormat="false" ht="15" hidden="false" customHeight="false" outlineLevel="0" collapsed="false">
      <c r="A114" s="1" t="s">
        <v>580</v>
      </c>
      <c r="B114" s="1" t="s">
        <v>581</v>
      </c>
      <c r="C114" s="1" t="s">
        <v>573</v>
      </c>
      <c r="D114" s="1" t="s">
        <v>574</v>
      </c>
      <c r="E114" s="1" t="s">
        <v>82</v>
      </c>
      <c r="F114" s="1" t="s">
        <v>391</v>
      </c>
      <c r="G114" s="1" t="s">
        <v>213</v>
      </c>
      <c r="H114" s="1" t="s">
        <v>477</v>
      </c>
      <c r="K114" s="1" t="s">
        <v>582</v>
      </c>
      <c r="L114" s="1" t="s">
        <v>583</v>
      </c>
      <c r="M114" s="1" t="s">
        <v>577</v>
      </c>
      <c r="N114" s="1" t="s">
        <v>584</v>
      </c>
      <c r="O114" s="1" t="s">
        <v>585</v>
      </c>
      <c r="P114" s="1"/>
      <c r="Q114" s="1" t="s">
        <v>70</v>
      </c>
      <c r="U114" s="1" t="s">
        <v>580</v>
      </c>
      <c r="Z114" s="1" t="s">
        <v>71</v>
      </c>
      <c r="AE114" s="1" t="s">
        <v>514</v>
      </c>
      <c r="AH114" s="1" t="s">
        <v>73</v>
      </c>
      <c r="AK114" s="1" t="s">
        <v>71</v>
      </c>
      <c r="AM114" s="1" t="s">
        <v>71</v>
      </c>
      <c r="AN114" s="1" t="s">
        <v>71</v>
      </c>
      <c r="AS114" s="1" t="s">
        <v>71</v>
      </c>
      <c r="AX114" s="1" t="s">
        <v>71</v>
      </c>
      <c r="BH114" s="1" t="s">
        <v>71</v>
      </c>
    </row>
    <row r="115" customFormat="false" ht="15" hidden="false" customHeight="false" outlineLevel="0" collapsed="false">
      <c r="A115" s="1" t="s">
        <v>586</v>
      </c>
      <c r="B115" s="1" t="s">
        <v>587</v>
      </c>
      <c r="C115" s="1" t="s">
        <v>573</v>
      </c>
      <c r="D115" s="1" t="s">
        <v>574</v>
      </c>
      <c r="E115" s="1" t="s">
        <v>82</v>
      </c>
      <c r="F115" s="1" t="s">
        <v>391</v>
      </c>
      <c r="G115" s="1" t="s">
        <v>213</v>
      </c>
      <c r="H115" s="1" t="s">
        <v>477</v>
      </c>
      <c r="K115" s="1" t="s">
        <v>237</v>
      </c>
      <c r="L115" s="1" t="s">
        <v>587</v>
      </c>
      <c r="M115" s="1" t="s">
        <v>577</v>
      </c>
      <c r="N115" s="1" t="s">
        <v>588</v>
      </c>
      <c r="O115" s="1" t="s">
        <v>589</v>
      </c>
      <c r="P115" s="1"/>
      <c r="Q115" s="1" t="s">
        <v>70</v>
      </c>
      <c r="U115" s="1" t="s">
        <v>586</v>
      </c>
      <c r="Z115" s="1" t="s">
        <v>71</v>
      </c>
      <c r="AE115" s="1" t="s">
        <v>514</v>
      </c>
      <c r="AH115" s="1" t="s">
        <v>73</v>
      </c>
      <c r="AK115" s="1" t="s">
        <v>71</v>
      </c>
      <c r="AM115" s="1" t="s">
        <v>71</v>
      </c>
      <c r="AN115" s="1" t="s">
        <v>71</v>
      </c>
      <c r="AS115" s="1" t="s">
        <v>71</v>
      </c>
      <c r="AX115" s="1" t="s">
        <v>71</v>
      </c>
      <c r="BH115" s="1" t="s">
        <v>71</v>
      </c>
    </row>
    <row r="116" customFormat="false" ht="15" hidden="false" customHeight="false" outlineLevel="0" collapsed="false">
      <c r="A116" s="1" t="s">
        <v>590</v>
      </c>
      <c r="B116" s="1" t="s">
        <v>591</v>
      </c>
      <c r="C116" s="1" t="s">
        <v>161</v>
      </c>
      <c r="D116" s="1" t="s">
        <v>162</v>
      </c>
      <c r="E116" s="1" t="s">
        <v>61</v>
      </c>
      <c r="F116" s="1" t="s">
        <v>101</v>
      </c>
      <c r="G116" s="1" t="s">
        <v>93</v>
      </c>
      <c r="H116" s="1" t="s">
        <v>64</v>
      </c>
      <c r="M116" s="1" t="s">
        <v>592</v>
      </c>
      <c r="N116" s="1" t="s">
        <v>203</v>
      </c>
      <c r="O116" s="1" t="s">
        <v>204</v>
      </c>
      <c r="P116" s="1"/>
      <c r="Q116" s="1" t="s">
        <v>70</v>
      </c>
      <c r="U116" s="1" t="s">
        <v>590</v>
      </c>
      <c r="Z116" s="1" t="s">
        <v>71</v>
      </c>
      <c r="AE116" s="1" t="s">
        <v>593</v>
      </c>
      <c r="AH116" s="1" t="s">
        <v>73</v>
      </c>
      <c r="AK116" s="1" t="s">
        <v>71</v>
      </c>
      <c r="AM116" s="1" t="s">
        <v>71</v>
      </c>
      <c r="AN116" s="1" t="s">
        <v>71</v>
      </c>
      <c r="AS116" s="1" t="s">
        <v>71</v>
      </c>
      <c r="AY116" s="1" t="s">
        <v>59</v>
      </c>
      <c r="AZ116" s="1" t="s">
        <v>74</v>
      </c>
      <c r="BH116" s="1" t="s">
        <v>71</v>
      </c>
    </row>
    <row r="117" customFormat="false" ht="15" hidden="false" customHeight="false" outlineLevel="0" collapsed="false">
      <c r="A117" s="1" t="s">
        <v>594</v>
      </c>
      <c r="B117" s="1" t="s">
        <v>595</v>
      </c>
      <c r="C117" s="1" t="s">
        <v>152</v>
      </c>
      <c r="D117" s="1" t="s">
        <v>464</v>
      </c>
      <c r="E117" s="1" t="s">
        <v>82</v>
      </c>
      <c r="F117" s="1" t="s">
        <v>391</v>
      </c>
      <c r="G117" s="1" t="s">
        <v>97</v>
      </c>
      <c r="H117" s="1" t="s">
        <v>406</v>
      </c>
      <c r="M117" s="1" t="s">
        <v>465</v>
      </c>
      <c r="N117" s="1" t="s">
        <v>596</v>
      </c>
      <c r="O117" s="1" t="s">
        <v>400</v>
      </c>
      <c r="P117" s="1"/>
      <c r="Q117" s="1" t="s">
        <v>70</v>
      </c>
      <c r="U117" s="1" t="s">
        <v>594</v>
      </c>
      <c r="Z117" s="1" t="s">
        <v>71</v>
      </c>
      <c r="AE117" s="1" t="s">
        <v>597</v>
      </c>
      <c r="AH117" s="1" t="s">
        <v>148</v>
      </c>
      <c r="AK117" s="1" t="s">
        <v>71</v>
      </c>
      <c r="AM117" s="1" t="s">
        <v>71</v>
      </c>
      <c r="AN117" s="1" t="s">
        <v>71</v>
      </c>
      <c r="AS117" s="1" t="s">
        <v>71</v>
      </c>
      <c r="BH117" s="1" t="s">
        <v>71</v>
      </c>
    </row>
    <row r="118" customFormat="false" ht="15" hidden="false" customHeight="false" outlineLevel="0" collapsed="false">
      <c r="A118" s="1" t="s">
        <v>598</v>
      </c>
      <c r="B118" s="1" t="s">
        <v>599</v>
      </c>
      <c r="C118" s="1" t="s">
        <v>152</v>
      </c>
      <c r="D118" s="1" t="s">
        <v>464</v>
      </c>
      <c r="E118" s="1" t="s">
        <v>82</v>
      </c>
      <c r="F118" s="1" t="s">
        <v>391</v>
      </c>
      <c r="G118" s="1" t="s">
        <v>97</v>
      </c>
      <c r="H118" s="1" t="s">
        <v>406</v>
      </c>
      <c r="M118" s="1" t="s">
        <v>465</v>
      </c>
      <c r="N118" s="1" t="s">
        <v>600</v>
      </c>
      <c r="O118" s="1" t="s">
        <v>447</v>
      </c>
      <c r="P118" s="1"/>
      <c r="Q118" s="1" t="s">
        <v>70</v>
      </c>
      <c r="U118" s="1" t="s">
        <v>598</v>
      </c>
      <c r="Z118" s="1" t="s">
        <v>71</v>
      </c>
      <c r="AE118" s="1" t="s">
        <v>597</v>
      </c>
      <c r="AH118" s="1" t="s">
        <v>148</v>
      </c>
      <c r="AK118" s="1" t="s">
        <v>71</v>
      </c>
      <c r="AM118" s="1" t="s">
        <v>71</v>
      </c>
      <c r="AN118" s="1" t="s">
        <v>71</v>
      </c>
      <c r="AS118" s="1" t="s">
        <v>71</v>
      </c>
      <c r="BH118" s="1" t="s">
        <v>71</v>
      </c>
    </row>
    <row r="119" customFormat="false" ht="15" hidden="false" customHeight="false" outlineLevel="0" collapsed="false">
      <c r="A119" s="1" t="s">
        <v>601</v>
      </c>
      <c r="B119" s="1" t="s">
        <v>602</v>
      </c>
      <c r="C119" s="1" t="s">
        <v>161</v>
      </c>
      <c r="D119" s="1" t="s">
        <v>162</v>
      </c>
      <c r="E119" s="1" t="s">
        <v>61</v>
      </c>
      <c r="F119" s="1" t="s">
        <v>101</v>
      </c>
      <c r="G119" s="1" t="s">
        <v>93</v>
      </c>
      <c r="H119" s="1" t="s">
        <v>64</v>
      </c>
      <c r="M119" s="1" t="s">
        <v>104</v>
      </c>
      <c r="N119" s="1" t="s">
        <v>203</v>
      </c>
      <c r="O119" s="1" t="s">
        <v>204</v>
      </c>
      <c r="P119" s="1"/>
      <c r="Q119" s="1" t="s">
        <v>70</v>
      </c>
      <c r="U119" s="1" t="s">
        <v>601</v>
      </c>
      <c r="Z119" s="1" t="s">
        <v>71</v>
      </c>
      <c r="AE119" s="1" t="s">
        <v>597</v>
      </c>
      <c r="AH119" s="1" t="s">
        <v>73</v>
      </c>
      <c r="AK119" s="1" t="s">
        <v>71</v>
      </c>
      <c r="AM119" s="1" t="s">
        <v>71</v>
      </c>
      <c r="AN119" s="1" t="s">
        <v>71</v>
      </c>
      <c r="AS119" s="1" t="s">
        <v>71</v>
      </c>
      <c r="AY119" s="1" t="s">
        <v>59</v>
      </c>
      <c r="AZ119" s="1" t="s">
        <v>74</v>
      </c>
      <c r="BH119" s="1" t="s">
        <v>71</v>
      </c>
    </row>
    <row r="120" customFormat="false" ht="15" hidden="false" customHeight="false" outlineLevel="0" collapsed="false">
      <c r="A120" s="1" t="s">
        <v>603</v>
      </c>
      <c r="B120" s="1" t="s">
        <v>604</v>
      </c>
      <c r="C120" s="1" t="s">
        <v>161</v>
      </c>
      <c r="D120" s="1" t="s">
        <v>162</v>
      </c>
      <c r="E120" s="1" t="s">
        <v>61</v>
      </c>
      <c r="F120" s="1" t="s">
        <v>101</v>
      </c>
      <c r="G120" s="1" t="s">
        <v>93</v>
      </c>
      <c r="H120" s="1" t="s">
        <v>64</v>
      </c>
      <c r="K120" s="1" t="s">
        <v>229</v>
      </c>
      <c r="L120" s="1" t="s">
        <v>605</v>
      </c>
      <c r="M120" s="1" t="s">
        <v>122</v>
      </c>
      <c r="N120" s="1" t="s">
        <v>105</v>
      </c>
      <c r="O120" s="1" t="s">
        <v>106</v>
      </c>
      <c r="P120" s="1" t="e">
        <f aca="false">image("https://drive.google.com/uc?export=view&amp;id=1mon__5k1LfI9ZT89RVJN_fDnZUuQdblw")</f>
        <v>#NAME?</v>
      </c>
      <c r="Q120" s="1" t="s">
        <v>205</v>
      </c>
      <c r="U120" s="1" t="s">
        <v>603</v>
      </c>
      <c r="Z120" s="1" t="s">
        <v>71</v>
      </c>
      <c r="AE120" s="1" t="s">
        <v>597</v>
      </c>
      <c r="AH120" s="1" t="s">
        <v>73</v>
      </c>
      <c r="AK120" s="1" t="s">
        <v>71</v>
      </c>
      <c r="AM120" s="1" t="s">
        <v>71</v>
      </c>
      <c r="AN120" s="1" t="s">
        <v>71</v>
      </c>
      <c r="AS120" s="1" t="s">
        <v>71</v>
      </c>
      <c r="AX120" s="1" t="s">
        <v>71</v>
      </c>
      <c r="AY120" s="1" t="s">
        <v>59</v>
      </c>
      <c r="AZ120" s="1" t="s">
        <v>74</v>
      </c>
      <c r="BH120" s="1" t="s">
        <v>71</v>
      </c>
    </row>
    <row r="121" customFormat="false" ht="15" hidden="false" customHeight="false" outlineLevel="0" collapsed="false">
      <c r="A121" s="1" t="s">
        <v>606</v>
      </c>
      <c r="B121" s="1" t="s">
        <v>607</v>
      </c>
      <c r="C121" s="1" t="s">
        <v>152</v>
      </c>
      <c r="D121" s="1" t="s">
        <v>464</v>
      </c>
      <c r="E121" s="1" t="s">
        <v>82</v>
      </c>
      <c r="F121" s="1" t="s">
        <v>391</v>
      </c>
      <c r="G121" s="1" t="s">
        <v>97</v>
      </c>
      <c r="H121" s="1" t="s">
        <v>406</v>
      </c>
      <c r="M121" s="1" t="s">
        <v>465</v>
      </c>
      <c r="N121" s="1" t="s">
        <v>608</v>
      </c>
      <c r="O121" s="1" t="s">
        <v>609</v>
      </c>
      <c r="P121" s="1"/>
      <c r="Q121" s="1" t="s">
        <v>70</v>
      </c>
      <c r="U121" s="1" t="s">
        <v>606</v>
      </c>
      <c r="Z121" s="1" t="s">
        <v>71</v>
      </c>
      <c r="AE121" s="1" t="s">
        <v>610</v>
      </c>
      <c r="AH121" s="1" t="s">
        <v>73</v>
      </c>
      <c r="AK121" s="1" t="s">
        <v>71</v>
      </c>
      <c r="AM121" s="1" t="s">
        <v>71</v>
      </c>
      <c r="AN121" s="1" t="s">
        <v>71</v>
      </c>
      <c r="AS121" s="1" t="s">
        <v>71</v>
      </c>
      <c r="BH121" s="1" t="s">
        <v>71</v>
      </c>
    </row>
    <row r="122" customFormat="false" ht="15" hidden="false" customHeight="false" outlineLevel="0" collapsed="false">
      <c r="A122" s="1" t="s">
        <v>611</v>
      </c>
      <c r="B122" s="1" t="s">
        <v>612</v>
      </c>
      <c r="C122" s="1" t="s">
        <v>152</v>
      </c>
      <c r="D122" s="1" t="s">
        <v>464</v>
      </c>
      <c r="E122" s="1" t="s">
        <v>82</v>
      </c>
      <c r="F122" s="1" t="s">
        <v>391</v>
      </c>
      <c r="G122" s="1" t="s">
        <v>97</v>
      </c>
      <c r="H122" s="1" t="s">
        <v>406</v>
      </c>
      <c r="M122" s="1" t="s">
        <v>465</v>
      </c>
      <c r="N122" s="1" t="s">
        <v>613</v>
      </c>
      <c r="O122" s="1" t="s">
        <v>400</v>
      </c>
      <c r="P122" s="1"/>
      <c r="Q122" s="1" t="s">
        <v>70</v>
      </c>
      <c r="U122" s="1" t="s">
        <v>611</v>
      </c>
      <c r="Z122" s="1" t="s">
        <v>71</v>
      </c>
      <c r="AE122" s="1" t="s">
        <v>610</v>
      </c>
      <c r="AH122" s="1" t="s">
        <v>73</v>
      </c>
      <c r="AK122" s="1" t="s">
        <v>71</v>
      </c>
      <c r="AM122" s="1" t="s">
        <v>71</v>
      </c>
      <c r="AN122" s="1" t="s">
        <v>71</v>
      </c>
      <c r="AS122" s="1" t="s">
        <v>71</v>
      </c>
      <c r="BH122" s="1" t="s">
        <v>71</v>
      </c>
    </row>
    <row r="123" customFormat="false" ht="15" hidden="false" customHeight="false" outlineLevel="0" collapsed="false">
      <c r="A123" s="1" t="s">
        <v>614</v>
      </c>
      <c r="B123" s="1" t="s">
        <v>615</v>
      </c>
      <c r="C123" s="1" t="s">
        <v>616</v>
      </c>
      <c r="D123" s="1" t="s">
        <v>617</v>
      </c>
      <c r="E123" s="1" t="s">
        <v>82</v>
      </c>
      <c r="F123" s="1" t="s">
        <v>391</v>
      </c>
      <c r="G123" s="1" t="s">
        <v>443</v>
      </c>
      <c r="H123" s="1" t="s">
        <v>444</v>
      </c>
      <c r="K123" s="1" t="s">
        <v>618</v>
      </c>
      <c r="L123" s="1" t="s">
        <v>619</v>
      </c>
      <c r="M123" s="1" t="s">
        <v>496</v>
      </c>
      <c r="N123" s="1" t="s">
        <v>620</v>
      </c>
      <c r="O123" s="1" t="s">
        <v>621</v>
      </c>
      <c r="P123" s="1"/>
      <c r="Q123" s="1" t="s">
        <v>70</v>
      </c>
      <c r="U123" s="1" t="s">
        <v>614</v>
      </c>
      <c r="Z123" s="1" t="s">
        <v>71</v>
      </c>
      <c r="AE123" s="1" t="s">
        <v>610</v>
      </c>
      <c r="AH123" s="1" t="s">
        <v>73</v>
      </c>
      <c r="AK123" s="1" t="s">
        <v>71</v>
      </c>
      <c r="AM123" s="1" t="s">
        <v>71</v>
      </c>
      <c r="AN123" s="1" t="s">
        <v>71</v>
      </c>
      <c r="AS123" s="1" t="s">
        <v>71</v>
      </c>
      <c r="AX123" s="1" t="s">
        <v>71</v>
      </c>
      <c r="BH123" s="1" t="s">
        <v>71</v>
      </c>
    </row>
    <row r="124" customFormat="false" ht="15" hidden="false" customHeight="false" outlineLevel="0" collapsed="false">
      <c r="A124" s="1" t="s">
        <v>622</v>
      </c>
      <c r="B124" s="1" t="s">
        <v>623</v>
      </c>
      <c r="C124" s="1" t="s">
        <v>290</v>
      </c>
      <c r="D124" s="1" t="s">
        <v>624</v>
      </c>
      <c r="E124" s="1" t="s">
        <v>82</v>
      </c>
      <c r="F124" s="1" t="s">
        <v>391</v>
      </c>
      <c r="G124" s="1" t="s">
        <v>97</v>
      </c>
      <c r="H124" s="1" t="s">
        <v>406</v>
      </c>
      <c r="K124" s="1" t="s">
        <v>407</v>
      </c>
      <c r="L124" s="1" t="s">
        <v>408</v>
      </c>
      <c r="M124" s="1" t="s">
        <v>496</v>
      </c>
      <c r="N124" s="1" t="s">
        <v>625</v>
      </c>
      <c r="O124" s="1" t="s">
        <v>626</v>
      </c>
      <c r="P124" s="1"/>
      <c r="Q124" s="1" t="s">
        <v>70</v>
      </c>
      <c r="U124" s="1" t="s">
        <v>622</v>
      </c>
      <c r="Z124" s="1" t="s">
        <v>71</v>
      </c>
      <c r="AE124" s="1" t="s">
        <v>627</v>
      </c>
      <c r="AH124" s="1" t="s">
        <v>73</v>
      </c>
      <c r="AK124" s="1" t="s">
        <v>71</v>
      </c>
      <c r="AM124" s="1" t="s">
        <v>71</v>
      </c>
      <c r="AN124" s="1" t="s">
        <v>71</v>
      </c>
      <c r="AS124" s="1" t="s">
        <v>71</v>
      </c>
      <c r="AX124" s="1" t="s">
        <v>71</v>
      </c>
      <c r="BH124" s="1" t="s">
        <v>71</v>
      </c>
    </row>
    <row r="125" customFormat="false" ht="15" hidden="false" customHeight="false" outlineLevel="0" collapsed="false">
      <c r="A125" s="1" t="s">
        <v>628</v>
      </c>
      <c r="B125" s="1" t="s">
        <v>629</v>
      </c>
      <c r="C125" s="1" t="s">
        <v>161</v>
      </c>
      <c r="D125" s="1" t="s">
        <v>162</v>
      </c>
      <c r="E125" s="1" t="s">
        <v>65</v>
      </c>
      <c r="F125" s="1" t="s">
        <v>119</v>
      </c>
      <c r="G125" s="1" t="s">
        <v>65</v>
      </c>
      <c r="H125" s="1" t="s">
        <v>64</v>
      </c>
      <c r="K125" s="1" t="s">
        <v>443</v>
      </c>
      <c r="L125" s="1" t="s">
        <v>630</v>
      </c>
      <c r="M125" s="1" t="s">
        <v>104</v>
      </c>
      <c r="N125" s="1" t="s">
        <v>123</v>
      </c>
      <c r="O125" s="1" t="s">
        <v>124</v>
      </c>
      <c r="P125" s="1"/>
      <c r="Q125" s="1" t="s">
        <v>70</v>
      </c>
      <c r="U125" s="1" t="s">
        <v>628</v>
      </c>
      <c r="Z125" s="1" t="s">
        <v>71</v>
      </c>
      <c r="AE125" s="1" t="s">
        <v>627</v>
      </c>
      <c r="AH125" s="1" t="s">
        <v>73</v>
      </c>
      <c r="AK125" s="1" t="s">
        <v>71</v>
      </c>
      <c r="AM125" s="1" t="s">
        <v>71</v>
      </c>
      <c r="AN125" s="1" t="s">
        <v>71</v>
      </c>
      <c r="AS125" s="1" t="s">
        <v>71</v>
      </c>
      <c r="AY125" s="1" t="s">
        <v>59</v>
      </c>
      <c r="AZ125" s="1" t="s">
        <v>74</v>
      </c>
      <c r="BH125" s="1" t="s">
        <v>71</v>
      </c>
    </row>
    <row r="126" customFormat="false" ht="15" hidden="false" customHeight="false" outlineLevel="0" collapsed="false">
      <c r="A126" s="1" t="s">
        <v>631</v>
      </c>
      <c r="B126" s="1" t="s">
        <v>632</v>
      </c>
      <c r="C126" s="1" t="s">
        <v>161</v>
      </c>
      <c r="D126" s="1" t="s">
        <v>162</v>
      </c>
      <c r="E126" s="1" t="s">
        <v>65</v>
      </c>
      <c r="F126" s="1" t="s">
        <v>119</v>
      </c>
      <c r="G126" s="1" t="s">
        <v>65</v>
      </c>
      <c r="H126" s="1" t="s">
        <v>64</v>
      </c>
      <c r="K126" s="1" t="s">
        <v>182</v>
      </c>
      <c r="L126" s="1" t="s">
        <v>183</v>
      </c>
      <c r="M126" s="1" t="s">
        <v>104</v>
      </c>
      <c r="N126" s="1" t="s">
        <v>123</v>
      </c>
      <c r="O126" s="1" t="s">
        <v>124</v>
      </c>
      <c r="P126" s="1"/>
      <c r="Q126" s="1" t="s">
        <v>70</v>
      </c>
      <c r="U126" s="1" t="s">
        <v>631</v>
      </c>
      <c r="Z126" s="1" t="s">
        <v>71</v>
      </c>
      <c r="AE126" s="1" t="s">
        <v>627</v>
      </c>
      <c r="AH126" s="1" t="s">
        <v>73</v>
      </c>
      <c r="AK126" s="1" t="s">
        <v>71</v>
      </c>
      <c r="AM126" s="1" t="s">
        <v>71</v>
      </c>
      <c r="AN126" s="1" t="s">
        <v>71</v>
      </c>
      <c r="AS126" s="1" t="s">
        <v>71</v>
      </c>
      <c r="AX126" s="1" t="s">
        <v>71</v>
      </c>
      <c r="AY126" s="1" t="s">
        <v>59</v>
      </c>
      <c r="AZ126" s="1" t="s">
        <v>74</v>
      </c>
      <c r="BH126" s="1" t="s">
        <v>71</v>
      </c>
    </row>
    <row r="127" customFormat="false" ht="15" hidden="false" customHeight="false" outlineLevel="0" collapsed="false">
      <c r="A127" s="1" t="s">
        <v>633</v>
      </c>
      <c r="B127" s="1" t="s">
        <v>634</v>
      </c>
      <c r="C127" s="1" t="s">
        <v>526</v>
      </c>
      <c r="D127" s="1" t="s">
        <v>527</v>
      </c>
      <c r="E127" s="1" t="s">
        <v>82</v>
      </c>
      <c r="F127" s="1" t="s">
        <v>391</v>
      </c>
      <c r="G127" s="1" t="s">
        <v>97</v>
      </c>
      <c r="H127" s="1" t="s">
        <v>406</v>
      </c>
      <c r="M127" s="1" t="s">
        <v>393</v>
      </c>
      <c r="N127" s="1" t="s">
        <v>483</v>
      </c>
      <c r="O127" s="1" t="s">
        <v>400</v>
      </c>
      <c r="P127" s="1"/>
      <c r="Q127" s="1" t="s">
        <v>70</v>
      </c>
      <c r="U127" s="1" t="s">
        <v>633</v>
      </c>
      <c r="Z127" s="1" t="s">
        <v>71</v>
      </c>
      <c r="AE127" s="1" t="s">
        <v>635</v>
      </c>
      <c r="AH127" s="1" t="s">
        <v>73</v>
      </c>
      <c r="AK127" s="1" t="s">
        <v>71</v>
      </c>
      <c r="AM127" s="1" t="s">
        <v>71</v>
      </c>
      <c r="AN127" s="1" t="s">
        <v>71</v>
      </c>
      <c r="AS127" s="1" t="s">
        <v>71</v>
      </c>
      <c r="BH127" s="1" t="s">
        <v>71</v>
      </c>
    </row>
    <row r="128" customFormat="false" ht="15" hidden="false" customHeight="false" outlineLevel="0" collapsed="false">
      <c r="A128" s="1" t="s">
        <v>453</v>
      </c>
      <c r="B128" s="1" t="s">
        <v>636</v>
      </c>
      <c r="C128" s="1" t="s">
        <v>526</v>
      </c>
      <c r="D128" s="1" t="s">
        <v>527</v>
      </c>
      <c r="E128" s="1" t="s">
        <v>82</v>
      </c>
      <c r="F128" s="1" t="s">
        <v>391</v>
      </c>
      <c r="G128" s="1" t="s">
        <v>97</v>
      </c>
      <c r="H128" s="1" t="s">
        <v>406</v>
      </c>
      <c r="M128" s="1" t="s">
        <v>393</v>
      </c>
      <c r="N128" s="1" t="s">
        <v>483</v>
      </c>
      <c r="O128" s="1" t="s">
        <v>400</v>
      </c>
      <c r="P128" s="1"/>
      <c r="Q128" s="1" t="s">
        <v>70</v>
      </c>
      <c r="U128" s="1" t="s">
        <v>453</v>
      </c>
      <c r="Z128" s="1" t="s">
        <v>71</v>
      </c>
      <c r="AE128" s="1" t="s">
        <v>635</v>
      </c>
      <c r="AH128" s="1" t="s">
        <v>73</v>
      </c>
      <c r="AK128" s="1" t="s">
        <v>71</v>
      </c>
      <c r="AM128" s="1" t="s">
        <v>71</v>
      </c>
      <c r="AN128" s="1" t="s">
        <v>71</v>
      </c>
      <c r="AS128" s="1" t="s">
        <v>71</v>
      </c>
      <c r="BH128" s="1" t="s">
        <v>71</v>
      </c>
    </row>
    <row r="129" customFormat="false" ht="15" hidden="false" customHeight="false" outlineLevel="0" collapsed="false">
      <c r="A129" s="1" t="s">
        <v>637</v>
      </c>
      <c r="B129" s="1" t="s">
        <v>638</v>
      </c>
      <c r="C129" s="1" t="s">
        <v>220</v>
      </c>
      <c r="D129" s="1" t="s">
        <v>540</v>
      </c>
      <c r="E129" s="1" t="s">
        <v>82</v>
      </c>
      <c r="F129" s="1" t="s">
        <v>391</v>
      </c>
      <c r="G129" s="1" t="s">
        <v>97</v>
      </c>
      <c r="H129" s="1" t="s">
        <v>406</v>
      </c>
      <c r="M129" s="1" t="s">
        <v>393</v>
      </c>
      <c r="N129" s="1" t="s">
        <v>639</v>
      </c>
      <c r="O129" s="1" t="s">
        <v>640</v>
      </c>
      <c r="P129" s="1"/>
      <c r="Q129" s="1" t="s">
        <v>70</v>
      </c>
      <c r="U129" s="1" t="s">
        <v>637</v>
      </c>
      <c r="Z129" s="1" t="s">
        <v>71</v>
      </c>
      <c r="AE129" s="1" t="s">
        <v>635</v>
      </c>
      <c r="AH129" s="1" t="s">
        <v>73</v>
      </c>
      <c r="AK129" s="1" t="s">
        <v>71</v>
      </c>
      <c r="AM129" s="1" t="s">
        <v>71</v>
      </c>
      <c r="AN129" s="1" t="s">
        <v>71</v>
      </c>
      <c r="AS129" s="1" t="s">
        <v>71</v>
      </c>
      <c r="BH129" s="1" t="s">
        <v>71</v>
      </c>
    </row>
    <row r="130" customFormat="false" ht="15" hidden="false" customHeight="false" outlineLevel="0" collapsed="false">
      <c r="A130" s="1" t="s">
        <v>641</v>
      </c>
      <c r="B130" s="1" t="s">
        <v>529</v>
      </c>
      <c r="C130" s="1" t="s">
        <v>157</v>
      </c>
      <c r="D130" s="1" t="s">
        <v>511</v>
      </c>
      <c r="E130" s="1" t="s">
        <v>82</v>
      </c>
      <c r="F130" s="1" t="s">
        <v>391</v>
      </c>
      <c r="G130" s="1" t="s">
        <v>97</v>
      </c>
      <c r="H130" s="1" t="s">
        <v>406</v>
      </c>
      <c r="M130" s="1" t="s">
        <v>393</v>
      </c>
      <c r="N130" s="1" t="s">
        <v>642</v>
      </c>
      <c r="O130" s="1" t="s">
        <v>447</v>
      </c>
      <c r="P130" s="1"/>
      <c r="Q130" s="1" t="s">
        <v>70</v>
      </c>
      <c r="U130" s="1" t="s">
        <v>641</v>
      </c>
      <c r="Z130" s="1" t="s">
        <v>71</v>
      </c>
      <c r="AE130" s="1" t="s">
        <v>635</v>
      </c>
      <c r="AH130" s="1" t="s">
        <v>73</v>
      </c>
      <c r="AK130" s="1" t="s">
        <v>71</v>
      </c>
      <c r="AM130" s="1" t="s">
        <v>71</v>
      </c>
      <c r="AN130" s="1" t="s">
        <v>71</v>
      </c>
      <c r="AS130" s="1" t="s">
        <v>71</v>
      </c>
      <c r="BH130" s="1" t="s">
        <v>71</v>
      </c>
    </row>
    <row r="131" customFormat="false" ht="15" hidden="false" customHeight="false" outlineLevel="0" collapsed="false">
      <c r="A131" s="1" t="s">
        <v>643</v>
      </c>
      <c r="B131" s="1" t="s">
        <v>644</v>
      </c>
      <c r="C131" s="1" t="s">
        <v>157</v>
      </c>
      <c r="D131" s="1" t="s">
        <v>511</v>
      </c>
      <c r="E131" s="1" t="s">
        <v>82</v>
      </c>
      <c r="F131" s="1" t="s">
        <v>391</v>
      </c>
      <c r="G131" s="1" t="s">
        <v>213</v>
      </c>
      <c r="H131" s="1" t="s">
        <v>477</v>
      </c>
      <c r="K131" s="1" t="s">
        <v>478</v>
      </c>
      <c r="L131" s="1" t="s">
        <v>479</v>
      </c>
      <c r="M131" s="1" t="s">
        <v>393</v>
      </c>
      <c r="N131" s="1" t="s">
        <v>645</v>
      </c>
      <c r="O131" s="1" t="s">
        <v>646</v>
      </c>
      <c r="P131" s="1"/>
      <c r="Q131" s="1" t="s">
        <v>70</v>
      </c>
      <c r="U131" s="1" t="s">
        <v>643</v>
      </c>
      <c r="Z131" s="1" t="s">
        <v>71</v>
      </c>
      <c r="AE131" s="1" t="s">
        <v>635</v>
      </c>
      <c r="AH131" s="1" t="s">
        <v>73</v>
      </c>
      <c r="AK131" s="1" t="s">
        <v>71</v>
      </c>
      <c r="AM131" s="1" t="s">
        <v>71</v>
      </c>
      <c r="AN131" s="1" t="s">
        <v>71</v>
      </c>
      <c r="AS131" s="1" t="s">
        <v>71</v>
      </c>
      <c r="AX131" s="1" t="s">
        <v>71</v>
      </c>
      <c r="BH131" s="1" t="s">
        <v>71</v>
      </c>
    </row>
    <row r="132" customFormat="false" ht="15" hidden="false" customHeight="false" outlineLevel="0" collapsed="false">
      <c r="A132" s="1" t="s">
        <v>647</v>
      </c>
      <c r="B132" s="1" t="s">
        <v>648</v>
      </c>
      <c r="C132" s="1" t="s">
        <v>157</v>
      </c>
      <c r="D132" s="1" t="s">
        <v>511</v>
      </c>
      <c r="E132" s="1" t="s">
        <v>82</v>
      </c>
      <c r="F132" s="1" t="s">
        <v>391</v>
      </c>
      <c r="G132" s="1" t="s">
        <v>213</v>
      </c>
      <c r="H132" s="1" t="s">
        <v>477</v>
      </c>
      <c r="K132" s="1" t="s">
        <v>478</v>
      </c>
      <c r="L132" s="1" t="s">
        <v>479</v>
      </c>
      <c r="M132" s="1" t="s">
        <v>393</v>
      </c>
      <c r="N132" s="1" t="s">
        <v>600</v>
      </c>
      <c r="O132" s="1" t="s">
        <v>447</v>
      </c>
      <c r="P132" s="1"/>
      <c r="Q132" s="1" t="s">
        <v>70</v>
      </c>
      <c r="U132" s="1" t="s">
        <v>647</v>
      </c>
      <c r="Z132" s="1" t="s">
        <v>71</v>
      </c>
      <c r="AE132" s="1" t="s">
        <v>635</v>
      </c>
      <c r="AH132" s="1" t="s">
        <v>73</v>
      </c>
      <c r="AK132" s="1" t="s">
        <v>71</v>
      </c>
      <c r="AM132" s="1" t="s">
        <v>71</v>
      </c>
      <c r="AN132" s="1" t="s">
        <v>71</v>
      </c>
      <c r="AS132" s="1" t="s">
        <v>71</v>
      </c>
      <c r="AX132" s="1" t="s">
        <v>71</v>
      </c>
      <c r="BH132" s="1" t="s">
        <v>71</v>
      </c>
    </row>
    <row r="133" customFormat="false" ht="15" hidden="false" customHeight="false" outlineLevel="0" collapsed="false">
      <c r="A133" s="1" t="s">
        <v>649</v>
      </c>
      <c r="B133" s="1" t="s">
        <v>529</v>
      </c>
      <c r="C133" s="1" t="s">
        <v>157</v>
      </c>
      <c r="D133" s="1" t="s">
        <v>511</v>
      </c>
      <c r="E133" s="1" t="s">
        <v>82</v>
      </c>
      <c r="F133" s="1" t="s">
        <v>391</v>
      </c>
      <c r="G133" s="1" t="s">
        <v>97</v>
      </c>
      <c r="H133" s="1" t="s">
        <v>406</v>
      </c>
      <c r="M133" s="1" t="s">
        <v>393</v>
      </c>
      <c r="N133" s="1" t="s">
        <v>650</v>
      </c>
      <c r="O133" s="1" t="s">
        <v>447</v>
      </c>
      <c r="P133" s="1"/>
      <c r="Q133" s="1" t="s">
        <v>70</v>
      </c>
      <c r="U133" s="1" t="s">
        <v>649</v>
      </c>
      <c r="Z133" s="1" t="s">
        <v>71</v>
      </c>
      <c r="AE133" s="1" t="s">
        <v>635</v>
      </c>
      <c r="AH133" s="1" t="s">
        <v>73</v>
      </c>
      <c r="AK133" s="1" t="s">
        <v>71</v>
      </c>
      <c r="AM133" s="1" t="s">
        <v>71</v>
      </c>
      <c r="AN133" s="1" t="s">
        <v>71</v>
      </c>
      <c r="AS133" s="1" t="s">
        <v>71</v>
      </c>
      <c r="BH133" s="1" t="s">
        <v>71</v>
      </c>
    </row>
    <row r="134" customFormat="false" ht="15" hidden="false" customHeight="false" outlineLevel="0" collapsed="false">
      <c r="A134" s="1" t="s">
        <v>651</v>
      </c>
      <c r="B134" s="1" t="s">
        <v>652</v>
      </c>
      <c r="C134" s="1" t="s">
        <v>152</v>
      </c>
      <c r="D134" s="1" t="s">
        <v>464</v>
      </c>
      <c r="E134" s="1" t="s">
        <v>82</v>
      </c>
      <c r="F134" s="1" t="s">
        <v>391</v>
      </c>
      <c r="G134" s="1" t="s">
        <v>213</v>
      </c>
      <c r="H134" s="1" t="s">
        <v>477</v>
      </c>
      <c r="K134" s="1" t="s">
        <v>478</v>
      </c>
      <c r="L134" s="1" t="s">
        <v>479</v>
      </c>
      <c r="M134" s="1" t="s">
        <v>465</v>
      </c>
      <c r="N134" s="1" t="s">
        <v>518</v>
      </c>
      <c r="O134" s="1" t="s">
        <v>519</v>
      </c>
      <c r="P134" s="1"/>
      <c r="Q134" s="1" t="s">
        <v>70</v>
      </c>
      <c r="U134" s="1" t="s">
        <v>651</v>
      </c>
      <c r="Z134" s="1" t="s">
        <v>71</v>
      </c>
      <c r="AE134" s="1" t="s">
        <v>635</v>
      </c>
      <c r="AH134" s="1" t="s">
        <v>73</v>
      </c>
      <c r="AK134" s="1" t="s">
        <v>71</v>
      </c>
      <c r="AM134" s="1" t="s">
        <v>71</v>
      </c>
      <c r="AN134" s="1" t="s">
        <v>71</v>
      </c>
      <c r="AS134" s="1" t="s">
        <v>71</v>
      </c>
      <c r="AX134" s="1" t="s">
        <v>71</v>
      </c>
      <c r="BH134" s="1" t="s">
        <v>71</v>
      </c>
    </row>
    <row r="135" customFormat="false" ht="15" hidden="false" customHeight="false" outlineLevel="0" collapsed="false">
      <c r="A135" s="1" t="s">
        <v>653</v>
      </c>
      <c r="B135" s="1" t="s">
        <v>654</v>
      </c>
      <c r="C135" s="1" t="s">
        <v>152</v>
      </c>
      <c r="D135" s="1" t="s">
        <v>464</v>
      </c>
      <c r="E135" s="1" t="s">
        <v>82</v>
      </c>
      <c r="F135" s="1" t="s">
        <v>391</v>
      </c>
      <c r="G135" s="1" t="s">
        <v>97</v>
      </c>
      <c r="H135" s="1" t="s">
        <v>406</v>
      </c>
      <c r="M135" s="1" t="s">
        <v>465</v>
      </c>
      <c r="N135" s="1" t="s">
        <v>518</v>
      </c>
      <c r="O135" s="1" t="s">
        <v>519</v>
      </c>
      <c r="P135" s="1"/>
      <c r="Q135" s="1" t="s">
        <v>70</v>
      </c>
      <c r="U135" s="1" t="s">
        <v>653</v>
      </c>
      <c r="Z135" s="1" t="s">
        <v>71</v>
      </c>
      <c r="AE135" s="1" t="s">
        <v>635</v>
      </c>
      <c r="AH135" s="1" t="s">
        <v>73</v>
      </c>
      <c r="AK135" s="1" t="s">
        <v>71</v>
      </c>
      <c r="AM135" s="1" t="s">
        <v>71</v>
      </c>
      <c r="AN135" s="1" t="s">
        <v>71</v>
      </c>
      <c r="AS135" s="1" t="s">
        <v>71</v>
      </c>
      <c r="BH135" s="1" t="s">
        <v>71</v>
      </c>
    </row>
    <row r="136" customFormat="false" ht="15" hidden="false" customHeight="false" outlineLevel="0" collapsed="false">
      <c r="A136" s="1" t="s">
        <v>655</v>
      </c>
      <c r="B136" s="1" t="s">
        <v>656</v>
      </c>
      <c r="C136" s="1" t="s">
        <v>657</v>
      </c>
      <c r="D136" s="1" t="s">
        <v>658</v>
      </c>
      <c r="E136" s="1" t="s">
        <v>82</v>
      </c>
      <c r="F136" s="1" t="s">
        <v>391</v>
      </c>
      <c r="G136" s="1" t="s">
        <v>97</v>
      </c>
      <c r="H136" s="1" t="s">
        <v>406</v>
      </c>
      <c r="M136" s="1" t="s">
        <v>393</v>
      </c>
      <c r="N136" s="1" t="s">
        <v>483</v>
      </c>
      <c r="O136" s="1" t="s">
        <v>400</v>
      </c>
      <c r="P136" s="1"/>
      <c r="Q136" s="1" t="s">
        <v>70</v>
      </c>
      <c r="U136" s="1" t="s">
        <v>655</v>
      </c>
      <c r="Z136" s="1" t="s">
        <v>71</v>
      </c>
      <c r="AE136" s="1" t="s">
        <v>635</v>
      </c>
      <c r="AH136" s="1" t="s">
        <v>73</v>
      </c>
      <c r="AK136" s="1" t="s">
        <v>71</v>
      </c>
      <c r="AM136" s="1" t="s">
        <v>71</v>
      </c>
      <c r="AN136" s="1" t="s">
        <v>71</v>
      </c>
      <c r="AS136" s="1" t="s">
        <v>71</v>
      </c>
      <c r="BH136" s="1" t="s">
        <v>71</v>
      </c>
    </row>
    <row r="137" customFormat="false" ht="15" hidden="false" customHeight="false" outlineLevel="0" collapsed="false">
      <c r="A137" s="1" t="s">
        <v>659</v>
      </c>
      <c r="B137" s="1" t="s">
        <v>660</v>
      </c>
      <c r="C137" s="1" t="s">
        <v>152</v>
      </c>
      <c r="D137" s="1" t="s">
        <v>464</v>
      </c>
      <c r="E137" s="1" t="s">
        <v>82</v>
      </c>
      <c r="F137" s="1" t="s">
        <v>391</v>
      </c>
      <c r="G137" s="1" t="s">
        <v>213</v>
      </c>
      <c r="H137" s="1" t="s">
        <v>477</v>
      </c>
      <c r="K137" s="1" t="s">
        <v>478</v>
      </c>
      <c r="L137" s="1" t="s">
        <v>479</v>
      </c>
      <c r="M137" s="1" t="s">
        <v>465</v>
      </c>
      <c r="N137" s="1" t="s">
        <v>480</v>
      </c>
      <c r="O137" s="1" t="s">
        <v>447</v>
      </c>
      <c r="P137" s="1"/>
      <c r="Q137" s="1" t="s">
        <v>70</v>
      </c>
      <c r="U137" s="1" t="s">
        <v>659</v>
      </c>
      <c r="Z137" s="1" t="s">
        <v>71</v>
      </c>
      <c r="AE137" s="1" t="s">
        <v>661</v>
      </c>
      <c r="AH137" s="1" t="s">
        <v>73</v>
      </c>
      <c r="AK137" s="1" t="s">
        <v>71</v>
      </c>
      <c r="AM137" s="1" t="s">
        <v>71</v>
      </c>
      <c r="AN137" s="1" t="s">
        <v>71</v>
      </c>
      <c r="AS137" s="1" t="s">
        <v>71</v>
      </c>
      <c r="AX137" s="1" t="s">
        <v>71</v>
      </c>
      <c r="BH137" s="1" t="s">
        <v>71</v>
      </c>
    </row>
    <row r="138" customFormat="false" ht="15" hidden="false" customHeight="false" outlineLevel="0" collapsed="false">
      <c r="A138" s="1" t="s">
        <v>662</v>
      </c>
      <c r="B138" s="1" t="s">
        <v>663</v>
      </c>
      <c r="C138" s="1" t="s">
        <v>664</v>
      </c>
      <c r="D138" s="1" t="s">
        <v>665</v>
      </c>
      <c r="E138" s="1" t="s">
        <v>82</v>
      </c>
      <c r="F138" s="1" t="s">
        <v>391</v>
      </c>
      <c r="G138" s="1" t="s">
        <v>443</v>
      </c>
      <c r="H138" s="1" t="s">
        <v>444</v>
      </c>
      <c r="K138" s="1" t="s">
        <v>666</v>
      </c>
      <c r="L138" s="1" t="s">
        <v>667</v>
      </c>
      <c r="M138" s="1" t="s">
        <v>496</v>
      </c>
      <c r="N138" s="1" t="s">
        <v>668</v>
      </c>
      <c r="O138" s="1" t="s">
        <v>669</v>
      </c>
      <c r="P138" s="1"/>
      <c r="Q138" s="1" t="s">
        <v>70</v>
      </c>
      <c r="U138" s="1" t="s">
        <v>662</v>
      </c>
      <c r="Z138" s="1" t="s">
        <v>71</v>
      </c>
      <c r="AE138" s="1" t="s">
        <v>661</v>
      </c>
      <c r="AH138" s="1" t="s">
        <v>73</v>
      </c>
      <c r="AK138" s="1" t="s">
        <v>71</v>
      </c>
      <c r="AM138" s="1" t="s">
        <v>71</v>
      </c>
      <c r="AN138" s="1" t="s">
        <v>71</v>
      </c>
      <c r="AS138" s="1" t="s">
        <v>71</v>
      </c>
      <c r="AX138" s="1" t="s">
        <v>71</v>
      </c>
      <c r="BH138" s="1" t="s">
        <v>71</v>
      </c>
    </row>
    <row r="139" customFormat="false" ht="15" hidden="false" customHeight="false" outlineLevel="0" collapsed="false">
      <c r="A139" s="1" t="s">
        <v>670</v>
      </c>
      <c r="B139" s="1" t="s">
        <v>671</v>
      </c>
      <c r="C139" s="1" t="s">
        <v>152</v>
      </c>
      <c r="D139" s="1" t="s">
        <v>464</v>
      </c>
      <c r="E139" s="1" t="s">
        <v>82</v>
      </c>
      <c r="F139" s="1" t="s">
        <v>391</v>
      </c>
      <c r="G139" s="1" t="s">
        <v>213</v>
      </c>
      <c r="H139" s="1" t="s">
        <v>477</v>
      </c>
      <c r="K139" s="1" t="s">
        <v>478</v>
      </c>
      <c r="L139" s="1" t="s">
        <v>479</v>
      </c>
      <c r="M139" s="1" t="s">
        <v>465</v>
      </c>
      <c r="N139" s="1" t="s">
        <v>672</v>
      </c>
      <c r="O139" s="1" t="s">
        <v>673</v>
      </c>
      <c r="P139" s="1"/>
      <c r="Q139" s="1" t="s">
        <v>70</v>
      </c>
      <c r="U139" s="1" t="s">
        <v>670</v>
      </c>
      <c r="Z139" s="1" t="s">
        <v>71</v>
      </c>
      <c r="AE139" s="1" t="s">
        <v>661</v>
      </c>
      <c r="AH139" s="1" t="s">
        <v>73</v>
      </c>
      <c r="AK139" s="1" t="s">
        <v>71</v>
      </c>
      <c r="AM139" s="1" t="s">
        <v>71</v>
      </c>
      <c r="AN139" s="1" t="s">
        <v>71</v>
      </c>
      <c r="AS139" s="1" t="s">
        <v>71</v>
      </c>
      <c r="AX139" s="1" t="s">
        <v>71</v>
      </c>
      <c r="BH139" s="1" t="s">
        <v>71</v>
      </c>
    </row>
    <row r="140" customFormat="false" ht="15" hidden="false" customHeight="false" outlineLevel="0" collapsed="false">
      <c r="A140" s="1" t="s">
        <v>674</v>
      </c>
      <c r="B140" s="1" t="s">
        <v>675</v>
      </c>
      <c r="C140" s="1" t="s">
        <v>152</v>
      </c>
      <c r="D140" s="1" t="s">
        <v>464</v>
      </c>
      <c r="E140" s="1" t="s">
        <v>82</v>
      </c>
      <c r="F140" s="1" t="s">
        <v>391</v>
      </c>
      <c r="G140" s="1" t="s">
        <v>213</v>
      </c>
      <c r="H140" s="1" t="s">
        <v>477</v>
      </c>
      <c r="K140" s="1" t="s">
        <v>478</v>
      </c>
      <c r="L140" s="1" t="s">
        <v>479</v>
      </c>
      <c r="M140" s="1" t="s">
        <v>465</v>
      </c>
      <c r="N140" s="1" t="s">
        <v>672</v>
      </c>
      <c r="O140" s="1" t="s">
        <v>673</v>
      </c>
      <c r="P140" s="1"/>
      <c r="Q140" s="1" t="s">
        <v>70</v>
      </c>
      <c r="U140" s="1" t="s">
        <v>674</v>
      </c>
      <c r="Z140" s="1" t="s">
        <v>71</v>
      </c>
      <c r="AE140" s="1" t="s">
        <v>661</v>
      </c>
      <c r="AH140" s="1" t="s">
        <v>73</v>
      </c>
      <c r="AK140" s="1" t="s">
        <v>71</v>
      </c>
      <c r="AM140" s="1" t="s">
        <v>71</v>
      </c>
      <c r="AN140" s="1" t="s">
        <v>71</v>
      </c>
      <c r="AS140" s="1" t="s">
        <v>71</v>
      </c>
      <c r="AX140" s="1" t="s">
        <v>71</v>
      </c>
      <c r="BH140" s="1" t="s">
        <v>71</v>
      </c>
    </row>
    <row r="141" customFormat="false" ht="15" hidden="false" customHeight="false" outlineLevel="0" collapsed="false">
      <c r="A141" s="1" t="s">
        <v>676</v>
      </c>
      <c r="B141" s="1" t="s">
        <v>677</v>
      </c>
      <c r="C141" s="1" t="s">
        <v>157</v>
      </c>
      <c r="D141" s="1" t="s">
        <v>511</v>
      </c>
      <c r="E141" s="1" t="s">
        <v>82</v>
      </c>
      <c r="F141" s="1" t="s">
        <v>391</v>
      </c>
      <c r="G141" s="1" t="s">
        <v>213</v>
      </c>
      <c r="H141" s="1" t="s">
        <v>477</v>
      </c>
      <c r="K141" s="1" t="s">
        <v>478</v>
      </c>
      <c r="L141" s="1" t="s">
        <v>479</v>
      </c>
      <c r="M141" s="1" t="s">
        <v>496</v>
      </c>
      <c r="N141" s="1" t="s">
        <v>489</v>
      </c>
      <c r="O141" s="1" t="s">
        <v>490</v>
      </c>
      <c r="P141" s="1"/>
      <c r="Q141" s="1" t="s">
        <v>70</v>
      </c>
      <c r="U141" s="1" t="s">
        <v>676</v>
      </c>
      <c r="Z141" s="1" t="s">
        <v>71</v>
      </c>
      <c r="AE141" s="1" t="s">
        <v>661</v>
      </c>
      <c r="AH141" s="1" t="s">
        <v>73</v>
      </c>
      <c r="AK141" s="1" t="s">
        <v>71</v>
      </c>
      <c r="AM141" s="1" t="s">
        <v>71</v>
      </c>
      <c r="AN141" s="1" t="s">
        <v>71</v>
      </c>
      <c r="AS141" s="1" t="s">
        <v>71</v>
      </c>
      <c r="AX141" s="1" t="s">
        <v>71</v>
      </c>
      <c r="BH141" s="1" t="s">
        <v>71</v>
      </c>
    </row>
    <row r="142" customFormat="false" ht="15" hidden="false" customHeight="false" outlineLevel="0" collapsed="false">
      <c r="A142" s="1" t="s">
        <v>678</v>
      </c>
      <c r="B142" s="1" t="s">
        <v>679</v>
      </c>
      <c r="C142" s="1" t="s">
        <v>157</v>
      </c>
      <c r="D142" s="1" t="s">
        <v>511</v>
      </c>
      <c r="E142" s="1" t="s">
        <v>82</v>
      </c>
      <c r="F142" s="1" t="s">
        <v>391</v>
      </c>
      <c r="G142" s="1" t="s">
        <v>97</v>
      </c>
      <c r="H142" s="1" t="s">
        <v>406</v>
      </c>
      <c r="M142" s="1" t="s">
        <v>496</v>
      </c>
      <c r="N142" s="1" t="s">
        <v>680</v>
      </c>
      <c r="O142" s="1" t="s">
        <v>681</v>
      </c>
      <c r="P142" s="1"/>
      <c r="Q142" s="1" t="s">
        <v>70</v>
      </c>
      <c r="U142" s="1" t="s">
        <v>678</v>
      </c>
      <c r="Z142" s="1" t="s">
        <v>71</v>
      </c>
      <c r="AE142" s="1" t="s">
        <v>682</v>
      </c>
      <c r="AH142" s="1" t="s">
        <v>73</v>
      </c>
      <c r="AK142" s="1" t="s">
        <v>71</v>
      </c>
      <c r="AM142" s="1" t="s">
        <v>71</v>
      </c>
      <c r="AN142" s="1" t="s">
        <v>71</v>
      </c>
      <c r="AS142" s="1" t="s">
        <v>71</v>
      </c>
      <c r="BH142" s="1" t="s">
        <v>71</v>
      </c>
    </row>
    <row r="143" customFormat="false" ht="15" hidden="false" customHeight="false" outlineLevel="0" collapsed="false">
      <c r="A143" s="1" t="s">
        <v>683</v>
      </c>
      <c r="B143" s="1" t="s">
        <v>684</v>
      </c>
      <c r="C143" s="1" t="s">
        <v>157</v>
      </c>
      <c r="D143" s="1" t="s">
        <v>511</v>
      </c>
      <c r="E143" s="1" t="s">
        <v>82</v>
      </c>
      <c r="F143" s="1" t="s">
        <v>391</v>
      </c>
      <c r="G143" s="1" t="s">
        <v>97</v>
      </c>
      <c r="H143" s="1" t="s">
        <v>406</v>
      </c>
      <c r="M143" s="1" t="s">
        <v>496</v>
      </c>
      <c r="N143" s="1" t="s">
        <v>685</v>
      </c>
      <c r="O143" s="1" t="s">
        <v>400</v>
      </c>
      <c r="P143" s="1"/>
      <c r="Q143" s="1" t="s">
        <v>70</v>
      </c>
      <c r="U143" s="1" t="s">
        <v>683</v>
      </c>
      <c r="Z143" s="1" t="s">
        <v>71</v>
      </c>
      <c r="AE143" s="1" t="s">
        <v>682</v>
      </c>
      <c r="AH143" s="1" t="s">
        <v>73</v>
      </c>
      <c r="AK143" s="1" t="s">
        <v>71</v>
      </c>
      <c r="AM143" s="1" t="s">
        <v>71</v>
      </c>
      <c r="AN143" s="1" t="s">
        <v>71</v>
      </c>
      <c r="AS143" s="1" t="s">
        <v>71</v>
      </c>
      <c r="BH143" s="1" t="s">
        <v>71</v>
      </c>
    </row>
    <row r="144" customFormat="false" ht="15" hidden="false" customHeight="false" outlineLevel="0" collapsed="false">
      <c r="A144" s="1" t="s">
        <v>686</v>
      </c>
      <c r="B144" s="1" t="s">
        <v>687</v>
      </c>
      <c r="C144" s="1" t="s">
        <v>157</v>
      </c>
      <c r="D144" s="1" t="s">
        <v>511</v>
      </c>
      <c r="E144" s="1" t="s">
        <v>82</v>
      </c>
      <c r="F144" s="1" t="s">
        <v>391</v>
      </c>
      <c r="G144" s="1" t="s">
        <v>97</v>
      </c>
      <c r="H144" s="1" t="s">
        <v>406</v>
      </c>
      <c r="M144" s="1" t="s">
        <v>496</v>
      </c>
      <c r="N144" s="1" t="s">
        <v>688</v>
      </c>
      <c r="O144" s="1" t="s">
        <v>689</v>
      </c>
      <c r="P144" s="1"/>
      <c r="Q144" s="1" t="s">
        <v>70</v>
      </c>
      <c r="U144" s="1" t="s">
        <v>686</v>
      </c>
      <c r="Z144" s="1" t="s">
        <v>71</v>
      </c>
      <c r="AE144" s="1" t="s">
        <v>682</v>
      </c>
      <c r="AH144" s="1" t="s">
        <v>73</v>
      </c>
      <c r="AK144" s="1" t="s">
        <v>71</v>
      </c>
      <c r="AM144" s="1" t="s">
        <v>71</v>
      </c>
      <c r="AN144" s="1" t="s">
        <v>71</v>
      </c>
      <c r="AS144" s="1" t="s">
        <v>71</v>
      </c>
      <c r="BH144" s="1" t="s">
        <v>71</v>
      </c>
    </row>
    <row r="145" customFormat="false" ht="15" hidden="false" customHeight="false" outlineLevel="0" collapsed="false">
      <c r="A145" s="1" t="s">
        <v>690</v>
      </c>
      <c r="B145" s="1" t="s">
        <v>691</v>
      </c>
      <c r="C145" s="1" t="s">
        <v>157</v>
      </c>
      <c r="D145" s="1" t="s">
        <v>511</v>
      </c>
      <c r="E145" s="1" t="s">
        <v>82</v>
      </c>
      <c r="F145" s="1" t="s">
        <v>391</v>
      </c>
      <c r="G145" s="1" t="s">
        <v>97</v>
      </c>
      <c r="H145" s="1" t="s">
        <v>406</v>
      </c>
      <c r="M145" s="1" t="s">
        <v>692</v>
      </c>
      <c r="N145" s="1" t="s">
        <v>536</v>
      </c>
      <c r="O145" s="1" t="s">
        <v>537</v>
      </c>
      <c r="P145" s="1"/>
      <c r="Q145" s="1" t="s">
        <v>70</v>
      </c>
      <c r="U145" s="1" t="s">
        <v>690</v>
      </c>
      <c r="Z145" s="1" t="s">
        <v>71</v>
      </c>
      <c r="AE145" s="1" t="s">
        <v>682</v>
      </c>
      <c r="AH145" s="1" t="s">
        <v>73</v>
      </c>
      <c r="AK145" s="1" t="s">
        <v>71</v>
      </c>
      <c r="AM145" s="1" t="s">
        <v>71</v>
      </c>
      <c r="AN145" s="1" t="s">
        <v>71</v>
      </c>
      <c r="AS145" s="1" t="s">
        <v>71</v>
      </c>
      <c r="BH145" s="1" t="s">
        <v>71</v>
      </c>
    </row>
    <row r="146" customFormat="false" ht="15" hidden="false" customHeight="false" outlineLevel="0" collapsed="false">
      <c r="A146" s="1" t="s">
        <v>693</v>
      </c>
      <c r="B146" s="1" t="s">
        <v>694</v>
      </c>
      <c r="C146" s="1" t="s">
        <v>157</v>
      </c>
      <c r="D146" s="1" t="s">
        <v>511</v>
      </c>
      <c r="E146" s="1" t="s">
        <v>82</v>
      </c>
      <c r="F146" s="1" t="s">
        <v>391</v>
      </c>
      <c r="G146" s="1" t="s">
        <v>182</v>
      </c>
      <c r="H146" s="1" t="s">
        <v>392</v>
      </c>
      <c r="K146" s="1" t="s">
        <v>65</v>
      </c>
      <c r="L146" s="1" t="s">
        <v>517</v>
      </c>
      <c r="M146" s="1" t="s">
        <v>496</v>
      </c>
      <c r="N146" s="1" t="s">
        <v>551</v>
      </c>
      <c r="O146" s="1" t="s">
        <v>447</v>
      </c>
      <c r="P146" s="1"/>
      <c r="Q146" s="1" t="s">
        <v>70</v>
      </c>
      <c r="U146" s="1" t="s">
        <v>693</v>
      </c>
      <c r="Z146" s="1" t="s">
        <v>71</v>
      </c>
      <c r="AE146" s="1" t="s">
        <v>682</v>
      </c>
      <c r="AH146" s="1" t="s">
        <v>73</v>
      </c>
      <c r="AK146" s="1" t="s">
        <v>71</v>
      </c>
      <c r="AM146" s="1" t="s">
        <v>71</v>
      </c>
      <c r="AN146" s="1" t="s">
        <v>71</v>
      </c>
      <c r="AS146" s="1" t="s">
        <v>71</v>
      </c>
      <c r="AX146" s="1" t="s">
        <v>71</v>
      </c>
      <c r="BH146" s="1" t="s">
        <v>71</v>
      </c>
    </row>
    <row r="147" customFormat="false" ht="15" hidden="false" customHeight="false" outlineLevel="0" collapsed="false">
      <c r="A147" s="1" t="s">
        <v>695</v>
      </c>
      <c r="B147" s="1" t="s">
        <v>696</v>
      </c>
      <c r="C147" s="1" t="s">
        <v>182</v>
      </c>
      <c r="D147" s="1" t="s">
        <v>239</v>
      </c>
      <c r="E147" s="1" t="s">
        <v>65</v>
      </c>
      <c r="F147" s="1" t="s">
        <v>119</v>
      </c>
      <c r="G147" s="1" t="s">
        <v>61</v>
      </c>
      <c r="H147" s="1" t="s">
        <v>231</v>
      </c>
      <c r="K147" s="1" t="s">
        <v>372</v>
      </c>
      <c r="L147" s="1" t="s">
        <v>373</v>
      </c>
      <c r="M147" s="1" t="s">
        <v>374</v>
      </c>
      <c r="N147" s="1" t="s">
        <v>375</v>
      </c>
      <c r="O147" s="1" t="s">
        <v>376</v>
      </c>
      <c r="P147" s="1"/>
      <c r="Q147" s="1" t="s">
        <v>70</v>
      </c>
      <c r="U147" s="1" t="s">
        <v>245</v>
      </c>
      <c r="Z147" s="1" t="s">
        <v>71</v>
      </c>
      <c r="AE147" s="1" t="s">
        <v>697</v>
      </c>
      <c r="AH147" s="1" t="s">
        <v>73</v>
      </c>
      <c r="AK147" s="1" t="s">
        <v>71</v>
      </c>
      <c r="AM147" s="1" t="s">
        <v>71</v>
      </c>
      <c r="AN147" s="1" t="s">
        <v>71</v>
      </c>
      <c r="AS147" s="1" t="s">
        <v>71</v>
      </c>
      <c r="AX147" s="1" t="s">
        <v>71</v>
      </c>
      <c r="AY147" s="1" t="s">
        <v>59</v>
      </c>
      <c r="AZ147" s="1" t="s">
        <v>74</v>
      </c>
      <c r="BH147" s="1" t="s">
        <v>71</v>
      </c>
    </row>
    <row r="148" customFormat="false" ht="15" hidden="false" customHeight="false" outlineLevel="0" collapsed="false">
      <c r="A148" s="1" t="s">
        <v>698</v>
      </c>
      <c r="B148" s="1" t="s">
        <v>699</v>
      </c>
      <c r="C148" s="1" t="s">
        <v>161</v>
      </c>
      <c r="D148" s="1" t="s">
        <v>162</v>
      </c>
      <c r="E148" s="1" t="s">
        <v>61</v>
      </c>
      <c r="F148" s="1" t="s">
        <v>101</v>
      </c>
      <c r="G148" s="1" t="s">
        <v>93</v>
      </c>
      <c r="H148" s="1" t="s">
        <v>64</v>
      </c>
      <c r="K148" s="1" t="s">
        <v>213</v>
      </c>
      <c r="L148" s="1" t="s">
        <v>700</v>
      </c>
      <c r="M148" s="1" t="s">
        <v>104</v>
      </c>
      <c r="N148" s="1" t="s">
        <v>701</v>
      </c>
      <c r="O148" s="1" t="s">
        <v>702</v>
      </c>
      <c r="P148" s="1"/>
      <c r="Q148" s="1" t="s">
        <v>70</v>
      </c>
      <c r="U148" s="1" t="s">
        <v>698</v>
      </c>
      <c r="Z148" s="1" t="s">
        <v>71</v>
      </c>
      <c r="AE148" s="1" t="s">
        <v>703</v>
      </c>
      <c r="AH148" s="1" t="s">
        <v>73</v>
      </c>
      <c r="AK148" s="1" t="s">
        <v>71</v>
      </c>
      <c r="AM148" s="1" t="s">
        <v>71</v>
      </c>
      <c r="AN148" s="1" t="s">
        <v>71</v>
      </c>
      <c r="AS148" s="1" t="s">
        <v>71</v>
      </c>
      <c r="AX148" s="1" t="s">
        <v>71</v>
      </c>
      <c r="AY148" s="1" t="s">
        <v>59</v>
      </c>
      <c r="AZ148" s="1" t="s">
        <v>74</v>
      </c>
      <c r="BH148" s="1" t="s">
        <v>71</v>
      </c>
    </row>
    <row r="149" customFormat="false" ht="15" hidden="false" customHeight="false" outlineLevel="0" collapsed="false">
      <c r="A149" s="1" t="s">
        <v>704</v>
      </c>
      <c r="B149" s="1" t="s">
        <v>705</v>
      </c>
      <c r="C149" s="1" t="s">
        <v>706</v>
      </c>
      <c r="D149" s="1" t="s">
        <v>707</v>
      </c>
      <c r="E149" s="1" t="s">
        <v>82</v>
      </c>
      <c r="F149" s="1" t="s">
        <v>391</v>
      </c>
      <c r="G149" s="1" t="s">
        <v>97</v>
      </c>
      <c r="H149" s="1" t="s">
        <v>406</v>
      </c>
      <c r="M149" s="1" t="s">
        <v>708</v>
      </c>
      <c r="N149" s="1" t="s">
        <v>709</v>
      </c>
      <c r="O149" s="1" t="s">
        <v>710</v>
      </c>
      <c r="P149" s="1"/>
      <c r="Q149" s="1" t="s">
        <v>70</v>
      </c>
      <c r="U149" s="1" t="s">
        <v>704</v>
      </c>
      <c r="Z149" s="1" t="s">
        <v>71</v>
      </c>
      <c r="AE149" s="1" t="s">
        <v>711</v>
      </c>
      <c r="AH149" s="1" t="s">
        <v>73</v>
      </c>
      <c r="AK149" s="1" t="s">
        <v>71</v>
      </c>
      <c r="AM149" s="1" t="s">
        <v>71</v>
      </c>
      <c r="AN149" s="1" t="s">
        <v>71</v>
      </c>
      <c r="AS149" s="1" t="s">
        <v>71</v>
      </c>
      <c r="BH149" s="1" t="s">
        <v>71</v>
      </c>
    </row>
    <row r="150" customFormat="false" ht="15" hidden="false" customHeight="false" outlineLevel="0" collapsed="false">
      <c r="A150" s="1" t="s">
        <v>712</v>
      </c>
      <c r="B150" s="1" t="s">
        <v>713</v>
      </c>
      <c r="C150" s="1" t="s">
        <v>706</v>
      </c>
      <c r="D150" s="1" t="s">
        <v>707</v>
      </c>
      <c r="E150" s="1" t="s">
        <v>82</v>
      </c>
      <c r="F150" s="1" t="s">
        <v>391</v>
      </c>
      <c r="G150" s="1" t="s">
        <v>97</v>
      </c>
      <c r="H150" s="1" t="s">
        <v>406</v>
      </c>
      <c r="M150" s="1" t="s">
        <v>708</v>
      </c>
      <c r="N150" s="1" t="s">
        <v>709</v>
      </c>
      <c r="O150" s="1" t="s">
        <v>710</v>
      </c>
      <c r="P150" s="1"/>
      <c r="Q150" s="1" t="s">
        <v>70</v>
      </c>
      <c r="U150" s="1" t="s">
        <v>712</v>
      </c>
      <c r="Z150" s="1" t="s">
        <v>71</v>
      </c>
      <c r="AE150" s="1" t="s">
        <v>711</v>
      </c>
      <c r="AH150" s="1" t="s">
        <v>73</v>
      </c>
      <c r="AK150" s="1" t="s">
        <v>71</v>
      </c>
      <c r="AM150" s="1" t="s">
        <v>71</v>
      </c>
      <c r="AN150" s="1" t="s">
        <v>71</v>
      </c>
      <c r="AS150" s="1" t="s">
        <v>71</v>
      </c>
      <c r="BH150" s="1" t="s">
        <v>71</v>
      </c>
    </row>
    <row r="151" customFormat="false" ht="15" hidden="false" customHeight="false" outlineLevel="0" collapsed="false">
      <c r="A151" s="1" t="s">
        <v>714</v>
      </c>
      <c r="B151" s="1" t="s">
        <v>715</v>
      </c>
      <c r="C151" s="1" t="s">
        <v>706</v>
      </c>
      <c r="D151" s="1" t="s">
        <v>707</v>
      </c>
      <c r="E151" s="1" t="s">
        <v>82</v>
      </c>
      <c r="F151" s="1" t="s">
        <v>391</v>
      </c>
      <c r="G151" s="1" t="s">
        <v>97</v>
      </c>
      <c r="H151" s="1" t="s">
        <v>406</v>
      </c>
      <c r="M151" s="1" t="s">
        <v>708</v>
      </c>
      <c r="N151" s="1" t="s">
        <v>709</v>
      </c>
      <c r="O151" s="1" t="s">
        <v>710</v>
      </c>
      <c r="P151" s="1"/>
      <c r="Q151" s="1" t="s">
        <v>70</v>
      </c>
      <c r="U151" s="1" t="s">
        <v>714</v>
      </c>
      <c r="Z151" s="1" t="s">
        <v>71</v>
      </c>
      <c r="AE151" s="1" t="s">
        <v>711</v>
      </c>
      <c r="AH151" s="1" t="s">
        <v>73</v>
      </c>
      <c r="AK151" s="1" t="s">
        <v>71</v>
      </c>
      <c r="AM151" s="1" t="s">
        <v>71</v>
      </c>
      <c r="AN151" s="1" t="s">
        <v>71</v>
      </c>
      <c r="AS151" s="1" t="s">
        <v>71</v>
      </c>
      <c r="BH151" s="1" t="s">
        <v>71</v>
      </c>
    </row>
    <row r="152" customFormat="false" ht="15" hidden="false" customHeight="false" outlineLevel="0" collapsed="false">
      <c r="A152" s="1" t="s">
        <v>716</v>
      </c>
      <c r="B152" s="1" t="s">
        <v>717</v>
      </c>
      <c r="C152" s="1" t="s">
        <v>706</v>
      </c>
      <c r="D152" s="1" t="s">
        <v>707</v>
      </c>
      <c r="E152" s="1" t="s">
        <v>82</v>
      </c>
      <c r="F152" s="1" t="s">
        <v>391</v>
      </c>
      <c r="G152" s="1" t="s">
        <v>97</v>
      </c>
      <c r="H152" s="1" t="s">
        <v>406</v>
      </c>
      <c r="M152" s="1" t="s">
        <v>708</v>
      </c>
      <c r="N152" s="1" t="s">
        <v>709</v>
      </c>
      <c r="O152" s="1" t="s">
        <v>710</v>
      </c>
      <c r="P152" s="1"/>
      <c r="Q152" s="1" t="s">
        <v>70</v>
      </c>
      <c r="U152" s="1" t="s">
        <v>716</v>
      </c>
      <c r="Z152" s="1" t="s">
        <v>71</v>
      </c>
      <c r="AE152" s="1" t="s">
        <v>711</v>
      </c>
      <c r="AH152" s="1" t="s">
        <v>73</v>
      </c>
      <c r="AK152" s="1" t="s">
        <v>71</v>
      </c>
      <c r="AM152" s="1" t="s">
        <v>71</v>
      </c>
      <c r="AN152" s="1" t="s">
        <v>71</v>
      </c>
      <c r="AS152" s="1" t="s">
        <v>71</v>
      </c>
      <c r="BH152" s="1" t="s">
        <v>71</v>
      </c>
    </row>
    <row r="153" customFormat="false" ht="15" hidden="false" customHeight="false" outlineLevel="0" collapsed="false">
      <c r="A153" s="1" t="s">
        <v>718</v>
      </c>
      <c r="B153" s="1" t="s">
        <v>719</v>
      </c>
      <c r="C153" s="1" t="s">
        <v>706</v>
      </c>
      <c r="D153" s="1" t="s">
        <v>707</v>
      </c>
      <c r="E153" s="1" t="s">
        <v>82</v>
      </c>
      <c r="F153" s="1" t="s">
        <v>391</v>
      </c>
      <c r="G153" s="1" t="s">
        <v>97</v>
      </c>
      <c r="H153" s="1" t="s">
        <v>406</v>
      </c>
      <c r="M153" s="1" t="s">
        <v>708</v>
      </c>
      <c r="N153" s="1" t="s">
        <v>709</v>
      </c>
      <c r="O153" s="1" t="s">
        <v>710</v>
      </c>
      <c r="P153" s="1"/>
      <c r="Q153" s="1" t="s">
        <v>70</v>
      </c>
      <c r="U153" s="1" t="s">
        <v>718</v>
      </c>
      <c r="Z153" s="1" t="s">
        <v>71</v>
      </c>
      <c r="AE153" s="1" t="s">
        <v>711</v>
      </c>
      <c r="AH153" s="1" t="s">
        <v>73</v>
      </c>
      <c r="AK153" s="1" t="s">
        <v>71</v>
      </c>
      <c r="AM153" s="1" t="s">
        <v>71</v>
      </c>
      <c r="AN153" s="1" t="s">
        <v>71</v>
      </c>
      <c r="AS153" s="1" t="s">
        <v>71</v>
      </c>
      <c r="BH153" s="1" t="s">
        <v>71</v>
      </c>
    </row>
    <row r="154" customFormat="false" ht="15" hidden="false" customHeight="false" outlineLevel="0" collapsed="false">
      <c r="A154" s="1" t="s">
        <v>720</v>
      </c>
      <c r="B154" s="1" t="s">
        <v>721</v>
      </c>
      <c r="C154" s="1" t="s">
        <v>152</v>
      </c>
      <c r="D154" s="1" t="s">
        <v>464</v>
      </c>
      <c r="E154" s="1" t="s">
        <v>82</v>
      </c>
      <c r="F154" s="1" t="s">
        <v>391</v>
      </c>
      <c r="G154" s="1" t="s">
        <v>97</v>
      </c>
      <c r="H154" s="1" t="s">
        <v>406</v>
      </c>
      <c r="M154" s="1" t="s">
        <v>496</v>
      </c>
      <c r="N154" s="1" t="s">
        <v>569</v>
      </c>
      <c r="O154" s="1" t="s">
        <v>570</v>
      </c>
      <c r="P154" s="1"/>
      <c r="Q154" s="1" t="s">
        <v>70</v>
      </c>
      <c r="U154" s="1" t="s">
        <v>720</v>
      </c>
      <c r="Z154" s="1" t="s">
        <v>71</v>
      </c>
      <c r="AE154" s="1" t="s">
        <v>722</v>
      </c>
      <c r="AH154" s="1" t="s">
        <v>73</v>
      </c>
      <c r="AK154" s="1" t="s">
        <v>71</v>
      </c>
      <c r="AM154" s="1" t="s">
        <v>71</v>
      </c>
      <c r="AN154" s="1" t="s">
        <v>71</v>
      </c>
      <c r="AS154" s="1" t="s">
        <v>71</v>
      </c>
      <c r="BH154" s="1" t="s">
        <v>71</v>
      </c>
    </row>
    <row r="155" customFormat="false" ht="15" hidden="false" customHeight="false" outlineLevel="0" collapsed="false">
      <c r="A155" s="1" t="s">
        <v>723</v>
      </c>
      <c r="B155" s="1" t="s">
        <v>724</v>
      </c>
      <c r="C155" s="1" t="s">
        <v>152</v>
      </c>
      <c r="D155" s="1" t="s">
        <v>464</v>
      </c>
      <c r="E155" s="1" t="s">
        <v>82</v>
      </c>
      <c r="F155" s="1" t="s">
        <v>391</v>
      </c>
      <c r="G155" s="1" t="s">
        <v>97</v>
      </c>
      <c r="H155" s="1" t="s">
        <v>406</v>
      </c>
      <c r="M155" s="1" t="s">
        <v>465</v>
      </c>
      <c r="N155" s="1" t="s">
        <v>569</v>
      </c>
      <c r="O155" s="1" t="s">
        <v>570</v>
      </c>
      <c r="P155" s="1"/>
      <c r="Q155" s="1" t="s">
        <v>70</v>
      </c>
      <c r="U155" s="1" t="s">
        <v>723</v>
      </c>
      <c r="Z155" s="1" t="s">
        <v>71</v>
      </c>
      <c r="AE155" s="1" t="s">
        <v>722</v>
      </c>
      <c r="AH155" s="1" t="s">
        <v>73</v>
      </c>
      <c r="AK155" s="1" t="s">
        <v>71</v>
      </c>
      <c r="AM155" s="1" t="s">
        <v>71</v>
      </c>
      <c r="AN155" s="1" t="s">
        <v>71</v>
      </c>
      <c r="AS155" s="1" t="s">
        <v>71</v>
      </c>
      <c r="BH155" s="1" t="s">
        <v>71</v>
      </c>
    </row>
    <row r="156" customFormat="false" ht="15" hidden="false" customHeight="false" outlineLevel="0" collapsed="false">
      <c r="A156" s="1" t="s">
        <v>725</v>
      </c>
      <c r="B156" s="1" t="s">
        <v>726</v>
      </c>
      <c r="C156" s="1" t="s">
        <v>657</v>
      </c>
      <c r="D156" s="1" t="s">
        <v>658</v>
      </c>
      <c r="E156" s="1" t="s">
        <v>82</v>
      </c>
      <c r="F156" s="1" t="s">
        <v>391</v>
      </c>
      <c r="G156" s="1" t="s">
        <v>97</v>
      </c>
      <c r="H156" s="1" t="s">
        <v>406</v>
      </c>
      <c r="M156" s="1" t="s">
        <v>496</v>
      </c>
      <c r="N156" s="1" t="s">
        <v>672</v>
      </c>
      <c r="O156" s="1" t="s">
        <v>673</v>
      </c>
      <c r="P156" s="1"/>
      <c r="Q156" s="1" t="s">
        <v>70</v>
      </c>
      <c r="U156" s="1" t="s">
        <v>725</v>
      </c>
      <c r="Z156" s="1" t="s">
        <v>71</v>
      </c>
      <c r="AE156" s="1" t="s">
        <v>722</v>
      </c>
      <c r="AH156" s="1" t="s">
        <v>73</v>
      </c>
      <c r="AK156" s="1" t="s">
        <v>71</v>
      </c>
      <c r="AM156" s="1" t="s">
        <v>71</v>
      </c>
      <c r="AN156" s="1" t="s">
        <v>71</v>
      </c>
      <c r="AS156" s="1" t="s">
        <v>71</v>
      </c>
      <c r="BH156" s="1" t="s">
        <v>71</v>
      </c>
    </row>
    <row r="157" customFormat="false" ht="15" hidden="false" customHeight="false" outlineLevel="0" collapsed="false">
      <c r="A157" s="1" t="s">
        <v>727</v>
      </c>
      <c r="B157" s="1" t="s">
        <v>726</v>
      </c>
      <c r="C157" s="1" t="s">
        <v>657</v>
      </c>
      <c r="D157" s="1" t="s">
        <v>658</v>
      </c>
      <c r="E157" s="1" t="s">
        <v>82</v>
      </c>
      <c r="F157" s="1" t="s">
        <v>391</v>
      </c>
      <c r="G157" s="1" t="s">
        <v>97</v>
      </c>
      <c r="H157" s="1" t="s">
        <v>406</v>
      </c>
      <c r="M157" s="1" t="s">
        <v>496</v>
      </c>
      <c r="N157" s="1" t="s">
        <v>672</v>
      </c>
      <c r="O157" s="1" t="s">
        <v>673</v>
      </c>
      <c r="P157" s="1"/>
      <c r="Q157" s="1" t="s">
        <v>70</v>
      </c>
      <c r="U157" s="1" t="s">
        <v>727</v>
      </c>
      <c r="Z157" s="1" t="s">
        <v>71</v>
      </c>
      <c r="AE157" s="1" t="s">
        <v>722</v>
      </c>
      <c r="AH157" s="1" t="s">
        <v>73</v>
      </c>
      <c r="AK157" s="1" t="s">
        <v>71</v>
      </c>
      <c r="AM157" s="1" t="s">
        <v>71</v>
      </c>
      <c r="AN157" s="1" t="s">
        <v>71</v>
      </c>
      <c r="AS157" s="1" t="s">
        <v>71</v>
      </c>
      <c r="BH157" s="1" t="s">
        <v>71</v>
      </c>
    </row>
    <row r="158" customFormat="false" ht="15" hidden="false" customHeight="false" outlineLevel="0" collapsed="false">
      <c r="A158" s="1" t="s">
        <v>728</v>
      </c>
      <c r="B158" s="1" t="s">
        <v>729</v>
      </c>
      <c r="C158" s="1" t="s">
        <v>657</v>
      </c>
      <c r="D158" s="1" t="s">
        <v>658</v>
      </c>
      <c r="E158" s="1" t="s">
        <v>82</v>
      </c>
      <c r="F158" s="1" t="s">
        <v>391</v>
      </c>
      <c r="G158" s="1" t="s">
        <v>97</v>
      </c>
      <c r="H158" s="1" t="s">
        <v>406</v>
      </c>
      <c r="M158" s="1" t="s">
        <v>496</v>
      </c>
      <c r="N158" s="1" t="s">
        <v>522</v>
      </c>
      <c r="O158" s="1" t="s">
        <v>523</v>
      </c>
      <c r="P158" s="1"/>
      <c r="Q158" s="1" t="s">
        <v>70</v>
      </c>
      <c r="U158" s="1" t="s">
        <v>728</v>
      </c>
      <c r="Z158" s="1" t="s">
        <v>71</v>
      </c>
      <c r="AE158" s="1" t="s">
        <v>722</v>
      </c>
      <c r="AH158" s="1" t="s">
        <v>73</v>
      </c>
      <c r="AK158" s="1" t="s">
        <v>71</v>
      </c>
      <c r="AM158" s="1" t="s">
        <v>71</v>
      </c>
      <c r="AN158" s="1" t="s">
        <v>71</v>
      </c>
      <c r="AS158" s="1" t="s">
        <v>71</v>
      </c>
      <c r="BH158" s="1" t="s">
        <v>71</v>
      </c>
    </row>
    <row r="159" customFormat="false" ht="15" hidden="false" customHeight="false" outlineLevel="0" collapsed="false">
      <c r="A159" s="1" t="s">
        <v>730</v>
      </c>
      <c r="B159" s="1" t="s">
        <v>731</v>
      </c>
      <c r="C159" s="1" t="s">
        <v>657</v>
      </c>
      <c r="D159" s="1" t="s">
        <v>658</v>
      </c>
      <c r="E159" s="1" t="s">
        <v>82</v>
      </c>
      <c r="F159" s="1" t="s">
        <v>391</v>
      </c>
      <c r="G159" s="1" t="s">
        <v>97</v>
      </c>
      <c r="H159" s="1" t="s">
        <v>406</v>
      </c>
      <c r="M159" s="1" t="s">
        <v>496</v>
      </c>
      <c r="N159" s="1" t="s">
        <v>522</v>
      </c>
      <c r="O159" s="1" t="s">
        <v>523</v>
      </c>
      <c r="P159" s="1"/>
      <c r="Q159" s="1" t="s">
        <v>70</v>
      </c>
      <c r="U159" s="1" t="s">
        <v>730</v>
      </c>
      <c r="Z159" s="1" t="s">
        <v>71</v>
      </c>
      <c r="AE159" s="1" t="s">
        <v>722</v>
      </c>
      <c r="AH159" s="1" t="s">
        <v>73</v>
      </c>
      <c r="AK159" s="1" t="s">
        <v>71</v>
      </c>
      <c r="AM159" s="1" t="s">
        <v>71</v>
      </c>
      <c r="AN159" s="1" t="s">
        <v>71</v>
      </c>
      <c r="AS159" s="1" t="s">
        <v>71</v>
      </c>
      <c r="BH159" s="1" t="s">
        <v>71</v>
      </c>
    </row>
    <row r="160" customFormat="false" ht="15" hidden="false" customHeight="false" outlineLevel="0" collapsed="false">
      <c r="A160" s="1" t="s">
        <v>732</v>
      </c>
      <c r="B160" s="1" t="s">
        <v>733</v>
      </c>
      <c r="C160" s="1" t="s">
        <v>657</v>
      </c>
      <c r="D160" s="1" t="s">
        <v>658</v>
      </c>
      <c r="E160" s="1" t="s">
        <v>82</v>
      </c>
      <c r="F160" s="1" t="s">
        <v>391</v>
      </c>
      <c r="G160" s="1" t="s">
        <v>97</v>
      </c>
      <c r="H160" s="1" t="s">
        <v>406</v>
      </c>
      <c r="M160" s="1" t="s">
        <v>496</v>
      </c>
      <c r="N160" s="1" t="s">
        <v>522</v>
      </c>
      <c r="O160" s="1" t="s">
        <v>523</v>
      </c>
      <c r="P160" s="1"/>
      <c r="Q160" s="1" t="s">
        <v>70</v>
      </c>
      <c r="U160" s="1" t="s">
        <v>732</v>
      </c>
      <c r="Z160" s="1" t="s">
        <v>71</v>
      </c>
      <c r="AE160" s="1" t="s">
        <v>722</v>
      </c>
      <c r="AH160" s="1" t="s">
        <v>73</v>
      </c>
      <c r="AK160" s="1" t="s">
        <v>71</v>
      </c>
      <c r="AM160" s="1" t="s">
        <v>71</v>
      </c>
      <c r="AN160" s="1" t="s">
        <v>71</v>
      </c>
      <c r="AS160" s="1" t="s">
        <v>71</v>
      </c>
      <c r="BH160" s="1" t="s">
        <v>71</v>
      </c>
    </row>
    <row r="161" customFormat="false" ht="15" hidden="false" customHeight="false" outlineLevel="0" collapsed="false">
      <c r="A161" s="1" t="s">
        <v>734</v>
      </c>
      <c r="B161" s="1" t="s">
        <v>735</v>
      </c>
      <c r="C161" s="1" t="s">
        <v>657</v>
      </c>
      <c r="D161" s="1" t="s">
        <v>658</v>
      </c>
      <c r="E161" s="1" t="s">
        <v>82</v>
      </c>
      <c r="F161" s="1" t="s">
        <v>391</v>
      </c>
      <c r="G161" s="1" t="s">
        <v>97</v>
      </c>
      <c r="H161" s="1" t="s">
        <v>406</v>
      </c>
      <c r="M161" s="1" t="s">
        <v>496</v>
      </c>
      <c r="N161" s="1" t="s">
        <v>522</v>
      </c>
      <c r="O161" s="1" t="s">
        <v>523</v>
      </c>
      <c r="P161" s="1"/>
      <c r="Q161" s="1" t="s">
        <v>70</v>
      </c>
      <c r="U161" s="1" t="s">
        <v>734</v>
      </c>
      <c r="Z161" s="1" t="s">
        <v>71</v>
      </c>
      <c r="AE161" s="1" t="s">
        <v>722</v>
      </c>
      <c r="AH161" s="1" t="s">
        <v>73</v>
      </c>
      <c r="AK161" s="1" t="s">
        <v>71</v>
      </c>
      <c r="AM161" s="1" t="s">
        <v>71</v>
      </c>
      <c r="AN161" s="1" t="s">
        <v>71</v>
      </c>
      <c r="AS161" s="1" t="s">
        <v>71</v>
      </c>
      <c r="BH161" s="1" t="s">
        <v>71</v>
      </c>
    </row>
    <row r="162" customFormat="false" ht="15" hidden="false" customHeight="false" outlineLevel="0" collapsed="false">
      <c r="A162" s="1" t="s">
        <v>736</v>
      </c>
      <c r="B162" s="1" t="s">
        <v>737</v>
      </c>
      <c r="C162" s="1" t="s">
        <v>657</v>
      </c>
      <c r="D162" s="1" t="s">
        <v>658</v>
      </c>
      <c r="E162" s="1" t="s">
        <v>82</v>
      </c>
      <c r="F162" s="1" t="s">
        <v>391</v>
      </c>
      <c r="G162" s="1" t="s">
        <v>97</v>
      </c>
      <c r="H162" s="1" t="s">
        <v>406</v>
      </c>
      <c r="M162" s="1" t="s">
        <v>496</v>
      </c>
      <c r="N162" s="1" t="s">
        <v>596</v>
      </c>
      <c r="O162" s="1" t="s">
        <v>400</v>
      </c>
      <c r="P162" s="1"/>
      <c r="Q162" s="1" t="s">
        <v>70</v>
      </c>
      <c r="U162" s="1" t="s">
        <v>736</v>
      </c>
      <c r="Z162" s="1" t="s">
        <v>71</v>
      </c>
      <c r="AE162" s="1" t="s">
        <v>722</v>
      </c>
      <c r="AH162" s="1" t="s">
        <v>73</v>
      </c>
      <c r="AK162" s="1" t="s">
        <v>71</v>
      </c>
      <c r="AM162" s="1" t="s">
        <v>71</v>
      </c>
      <c r="AN162" s="1" t="s">
        <v>71</v>
      </c>
      <c r="AS162" s="1" t="s">
        <v>71</v>
      </c>
      <c r="BH162" s="1" t="s">
        <v>71</v>
      </c>
    </row>
    <row r="163" customFormat="false" ht="15" hidden="false" customHeight="false" outlineLevel="0" collapsed="false">
      <c r="A163" s="1" t="s">
        <v>738</v>
      </c>
      <c r="B163" s="1" t="s">
        <v>739</v>
      </c>
      <c r="C163" s="1" t="s">
        <v>657</v>
      </c>
      <c r="D163" s="1" t="s">
        <v>658</v>
      </c>
      <c r="E163" s="1" t="s">
        <v>82</v>
      </c>
      <c r="F163" s="1" t="s">
        <v>391</v>
      </c>
      <c r="G163" s="1" t="s">
        <v>97</v>
      </c>
      <c r="H163" s="1" t="s">
        <v>406</v>
      </c>
      <c r="M163" s="1" t="s">
        <v>496</v>
      </c>
      <c r="N163" s="1" t="s">
        <v>740</v>
      </c>
      <c r="O163" s="1" t="s">
        <v>741</v>
      </c>
      <c r="P163" s="1"/>
      <c r="Q163" s="1" t="s">
        <v>70</v>
      </c>
      <c r="U163" s="1" t="s">
        <v>738</v>
      </c>
      <c r="Z163" s="1" t="s">
        <v>71</v>
      </c>
      <c r="AE163" s="1" t="s">
        <v>722</v>
      </c>
      <c r="AH163" s="1" t="s">
        <v>73</v>
      </c>
      <c r="AK163" s="1" t="s">
        <v>71</v>
      </c>
      <c r="AM163" s="1" t="s">
        <v>71</v>
      </c>
      <c r="AN163" s="1" t="s">
        <v>71</v>
      </c>
      <c r="AS163" s="1" t="s">
        <v>71</v>
      </c>
      <c r="BH163" s="1" t="s">
        <v>71</v>
      </c>
    </row>
    <row r="164" customFormat="false" ht="15" hidden="false" customHeight="false" outlineLevel="0" collapsed="false">
      <c r="A164" s="1" t="s">
        <v>742</v>
      </c>
      <c r="B164" s="1" t="s">
        <v>743</v>
      </c>
      <c r="C164" s="1" t="s">
        <v>657</v>
      </c>
      <c r="D164" s="1" t="s">
        <v>658</v>
      </c>
      <c r="E164" s="1" t="s">
        <v>82</v>
      </c>
      <c r="F164" s="1" t="s">
        <v>391</v>
      </c>
      <c r="G164" s="1" t="s">
        <v>213</v>
      </c>
      <c r="H164" s="1" t="s">
        <v>477</v>
      </c>
      <c r="K164" s="1" t="s">
        <v>478</v>
      </c>
      <c r="L164" s="1" t="s">
        <v>479</v>
      </c>
      <c r="M164" s="1" t="s">
        <v>496</v>
      </c>
      <c r="N164" s="1" t="s">
        <v>740</v>
      </c>
      <c r="O164" s="1" t="s">
        <v>741</v>
      </c>
      <c r="P164" s="1"/>
      <c r="Q164" s="1" t="s">
        <v>70</v>
      </c>
      <c r="U164" s="1" t="s">
        <v>742</v>
      </c>
      <c r="Z164" s="1" t="s">
        <v>71</v>
      </c>
      <c r="AE164" s="1" t="s">
        <v>722</v>
      </c>
      <c r="AH164" s="1" t="s">
        <v>73</v>
      </c>
      <c r="AK164" s="1" t="s">
        <v>71</v>
      </c>
      <c r="AM164" s="1" t="s">
        <v>71</v>
      </c>
      <c r="AN164" s="1" t="s">
        <v>71</v>
      </c>
      <c r="AS164" s="1" t="s">
        <v>71</v>
      </c>
      <c r="AX164" s="1" t="s">
        <v>71</v>
      </c>
      <c r="BH164" s="1" t="s">
        <v>71</v>
      </c>
    </row>
    <row r="165" customFormat="false" ht="15" hidden="false" customHeight="false" outlineLevel="0" collapsed="false">
      <c r="A165" s="1" t="s">
        <v>744</v>
      </c>
      <c r="B165" s="1" t="s">
        <v>745</v>
      </c>
      <c r="C165" s="1" t="s">
        <v>657</v>
      </c>
      <c r="D165" s="1" t="s">
        <v>658</v>
      </c>
      <c r="E165" s="1" t="s">
        <v>82</v>
      </c>
      <c r="F165" s="1" t="s">
        <v>391</v>
      </c>
      <c r="G165" s="1" t="s">
        <v>213</v>
      </c>
      <c r="H165" s="1" t="s">
        <v>477</v>
      </c>
      <c r="K165" s="1" t="s">
        <v>478</v>
      </c>
      <c r="L165" s="1" t="s">
        <v>479</v>
      </c>
      <c r="M165" s="1" t="s">
        <v>496</v>
      </c>
      <c r="N165" s="1" t="s">
        <v>446</v>
      </c>
      <c r="O165" s="1" t="s">
        <v>447</v>
      </c>
      <c r="P165" s="1"/>
      <c r="Q165" s="1" t="s">
        <v>70</v>
      </c>
      <c r="U165" s="1" t="s">
        <v>744</v>
      </c>
      <c r="Z165" s="1" t="s">
        <v>71</v>
      </c>
      <c r="AE165" s="1" t="s">
        <v>722</v>
      </c>
      <c r="AH165" s="1" t="s">
        <v>73</v>
      </c>
      <c r="AK165" s="1" t="s">
        <v>71</v>
      </c>
      <c r="AM165" s="1" t="s">
        <v>71</v>
      </c>
      <c r="AN165" s="1" t="s">
        <v>71</v>
      </c>
      <c r="AS165" s="1" t="s">
        <v>71</v>
      </c>
      <c r="AX165" s="1" t="s">
        <v>71</v>
      </c>
      <c r="BH165" s="1" t="s">
        <v>71</v>
      </c>
    </row>
    <row r="166" customFormat="false" ht="15" hidden="false" customHeight="false" outlineLevel="0" collapsed="false">
      <c r="A166" s="1" t="s">
        <v>746</v>
      </c>
      <c r="B166" s="1" t="s">
        <v>747</v>
      </c>
      <c r="C166" s="1" t="s">
        <v>657</v>
      </c>
      <c r="D166" s="1" t="s">
        <v>658</v>
      </c>
      <c r="E166" s="1" t="s">
        <v>82</v>
      </c>
      <c r="F166" s="1" t="s">
        <v>391</v>
      </c>
      <c r="G166" s="1" t="s">
        <v>97</v>
      </c>
      <c r="H166" s="1" t="s">
        <v>406</v>
      </c>
      <c r="M166" s="1" t="s">
        <v>496</v>
      </c>
      <c r="N166" s="1" t="s">
        <v>522</v>
      </c>
      <c r="O166" s="1" t="s">
        <v>523</v>
      </c>
      <c r="P166" s="1"/>
      <c r="Q166" s="1" t="s">
        <v>70</v>
      </c>
      <c r="U166" s="1" t="s">
        <v>746</v>
      </c>
      <c r="Z166" s="1" t="s">
        <v>71</v>
      </c>
      <c r="AE166" s="1" t="s">
        <v>722</v>
      </c>
      <c r="AH166" s="1" t="s">
        <v>73</v>
      </c>
      <c r="AK166" s="1" t="s">
        <v>71</v>
      </c>
      <c r="AM166" s="1" t="s">
        <v>71</v>
      </c>
      <c r="AN166" s="1" t="s">
        <v>71</v>
      </c>
      <c r="AS166" s="1" t="s">
        <v>71</v>
      </c>
      <c r="BH166" s="1" t="s">
        <v>71</v>
      </c>
    </row>
    <row r="167" customFormat="false" ht="15" hidden="false" customHeight="false" outlineLevel="0" collapsed="false">
      <c r="A167" s="1" t="s">
        <v>748</v>
      </c>
      <c r="B167" s="1" t="s">
        <v>749</v>
      </c>
      <c r="C167" s="1" t="s">
        <v>657</v>
      </c>
      <c r="D167" s="1" t="s">
        <v>658</v>
      </c>
      <c r="E167" s="1" t="s">
        <v>82</v>
      </c>
      <c r="F167" s="1" t="s">
        <v>391</v>
      </c>
      <c r="G167" s="1" t="s">
        <v>97</v>
      </c>
      <c r="H167" s="1" t="s">
        <v>406</v>
      </c>
      <c r="M167" s="1" t="s">
        <v>496</v>
      </c>
      <c r="N167" s="1" t="s">
        <v>596</v>
      </c>
      <c r="O167" s="1" t="s">
        <v>400</v>
      </c>
      <c r="P167" s="1"/>
      <c r="Q167" s="1" t="s">
        <v>70</v>
      </c>
      <c r="U167" s="1" t="s">
        <v>748</v>
      </c>
      <c r="Z167" s="1" t="s">
        <v>71</v>
      </c>
      <c r="AE167" s="1" t="s">
        <v>722</v>
      </c>
      <c r="AH167" s="1" t="s">
        <v>73</v>
      </c>
      <c r="AK167" s="1" t="s">
        <v>71</v>
      </c>
      <c r="AM167" s="1" t="s">
        <v>71</v>
      </c>
      <c r="AN167" s="1" t="s">
        <v>71</v>
      </c>
      <c r="AS167" s="1" t="s">
        <v>71</v>
      </c>
      <c r="BH167" s="1" t="s">
        <v>71</v>
      </c>
    </row>
    <row r="168" customFormat="false" ht="15" hidden="false" customHeight="false" outlineLevel="0" collapsed="false">
      <c r="A168" s="1" t="s">
        <v>750</v>
      </c>
      <c r="B168" s="1" t="s">
        <v>751</v>
      </c>
      <c r="C168" s="1" t="s">
        <v>471</v>
      </c>
      <c r="D168" s="1" t="s">
        <v>472</v>
      </c>
      <c r="E168" s="1" t="s">
        <v>82</v>
      </c>
      <c r="F168" s="1" t="s">
        <v>391</v>
      </c>
      <c r="G168" s="1" t="s">
        <v>443</v>
      </c>
      <c r="H168" s="1" t="s">
        <v>444</v>
      </c>
      <c r="K168" s="1" t="s">
        <v>61</v>
      </c>
      <c r="L168" s="1" t="s">
        <v>445</v>
      </c>
      <c r="M168" s="1" t="s">
        <v>496</v>
      </c>
      <c r="N168" s="1" t="s">
        <v>446</v>
      </c>
      <c r="O168" s="1" t="s">
        <v>447</v>
      </c>
      <c r="P168" s="1"/>
      <c r="Q168" s="1" t="s">
        <v>70</v>
      </c>
      <c r="U168" s="1" t="s">
        <v>750</v>
      </c>
      <c r="Z168" s="1" t="s">
        <v>71</v>
      </c>
      <c r="AE168" s="1" t="s">
        <v>722</v>
      </c>
      <c r="AH168" s="1" t="s">
        <v>73</v>
      </c>
      <c r="AK168" s="1" t="s">
        <v>71</v>
      </c>
      <c r="AM168" s="1" t="s">
        <v>71</v>
      </c>
      <c r="AN168" s="1" t="s">
        <v>71</v>
      </c>
      <c r="AS168" s="1" t="s">
        <v>71</v>
      </c>
      <c r="AX168" s="1" t="s">
        <v>71</v>
      </c>
      <c r="BH168" s="1" t="s">
        <v>71</v>
      </c>
    </row>
    <row r="169" customFormat="false" ht="15" hidden="false" customHeight="false" outlineLevel="0" collapsed="false">
      <c r="A169" s="1" t="s">
        <v>752</v>
      </c>
      <c r="B169" s="1" t="s">
        <v>753</v>
      </c>
      <c r="C169" s="1" t="s">
        <v>657</v>
      </c>
      <c r="D169" s="1" t="s">
        <v>658</v>
      </c>
      <c r="E169" s="1" t="s">
        <v>82</v>
      </c>
      <c r="F169" s="1" t="s">
        <v>391</v>
      </c>
      <c r="G169" s="1" t="s">
        <v>97</v>
      </c>
      <c r="H169" s="1" t="s">
        <v>406</v>
      </c>
      <c r="M169" s="1" t="s">
        <v>496</v>
      </c>
      <c r="N169" s="1" t="s">
        <v>522</v>
      </c>
      <c r="O169" s="1" t="s">
        <v>523</v>
      </c>
      <c r="P169" s="1"/>
      <c r="Q169" s="1" t="s">
        <v>70</v>
      </c>
      <c r="U169" s="1" t="s">
        <v>752</v>
      </c>
      <c r="Z169" s="1" t="s">
        <v>71</v>
      </c>
      <c r="AE169" s="1" t="s">
        <v>722</v>
      </c>
      <c r="AH169" s="1" t="s">
        <v>73</v>
      </c>
      <c r="AK169" s="1" t="s">
        <v>71</v>
      </c>
      <c r="AM169" s="1" t="s">
        <v>71</v>
      </c>
      <c r="AN169" s="1" t="s">
        <v>71</v>
      </c>
      <c r="AS169" s="1" t="s">
        <v>71</v>
      </c>
      <c r="BH169" s="1" t="s">
        <v>71</v>
      </c>
    </row>
    <row r="170" customFormat="false" ht="15" hidden="false" customHeight="false" outlineLevel="0" collapsed="false">
      <c r="A170" s="1" t="s">
        <v>754</v>
      </c>
      <c r="B170" s="1" t="s">
        <v>755</v>
      </c>
      <c r="C170" s="1" t="s">
        <v>657</v>
      </c>
      <c r="D170" s="1" t="s">
        <v>658</v>
      </c>
      <c r="E170" s="1" t="s">
        <v>82</v>
      </c>
      <c r="F170" s="1" t="s">
        <v>391</v>
      </c>
      <c r="G170" s="1" t="s">
        <v>97</v>
      </c>
      <c r="H170" s="1" t="s">
        <v>406</v>
      </c>
      <c r="M170" s="1" t="s">
        <v>496</v>
      </c>
      <c r="N170" s="1" t="s">
        <v>522</v>
      </c>
      <c r="O170" s="1" t="s">
        <v>523</v>
      </c>
      <c r="P170" s="1"/>
      <c r="Q170" s="1" t="s">
        <v>70</v>
      </c>
      <c r="U170" s="1" t="s">
        <v>754</v>
      </c>
      <c r="Z170" s="1" t="s">
        <v>71</v>
      </c>
      <c r="AE170" s="1" t="s">
        <v>722</v>
      </c>
      <c r="AH170" s="1" t="s">
        <v>73</v>
      </c>
      <c r="AK170" s="1" t="s">
        <v>71</v>
      </c>
      <c r="AM170" s="1" t="s">
        <v>71</v>
      </c>
      <c r="AN170" s="1" t="s">
        <v>71</v>
      </c>
      <c r="AS170" s="1" t="s">
        <v>71</v>
      </c>
      <c r="BH170" s="1" t="s">
        <v>71</v>
      </c>
    </row>
    <row r="171" customFormat="false" ht="15" hidden="false" customHeight="false" outlineLevel="0" collapsed="false">
      <c r="A171" s="1" t="s">
        <v>756</v>
      </c>
      <c r="B171" s="1" t="s">
        <v>757</v>
      </c>
      <c r="C171" s="1" t="s">
        <v>657</v>
      </c>
      <c r="D171" s="1" t="s">
        <v>658</v>
      </c>
      <c r="E171" s="1" t="s">
        <v>82</v>
      </c>
      <c r="F171" s="1" t="s">
        <v>391</v>
      </c>
      <c r="G171" s="1" t="s">
        <v>213</v>
      </c>
      <c r="H171" s="1" t="s">
        <v>477</v>
      </c>
      <c r="K171" s="1" t="s">
        <v>478</v>
      </c>
      <c r="L171" s="1" t="s">
        <v>479</v>
      </c>
      <c r="M171" s="1" t="s">
        <v>496</v>
      </c>
      <c r="N171" s="1" t="s">
        <v>672</v>
      </c>
      <c r="O171" s="1" t="s">
        <v>673</v>
      </c>
      <c r="P171" s="1"/>
      <c r="Q171" s="1" t="s">
        <v>70</v>
      </c>
      <c r="U171" s="1" t="s">
        <v>756</v>
      </c>
      <c r="Z171" s="1" t="s">
        <v>71</v>
      </c>
      <c r="AE171" s="1" t="s">
        <v>722</v>
      </c>
      <c r="AH171" s="1" t="s">
        <v>73</v>
      </c>
      <c r="AK171" s="1" t="s">
        <v>71</v>
      </c>
      <c r="AM171" s="1" t="s">
        <v>71</v>
      </c>
      <c r="AN171" s="1" t="s">
        <v>71</v>
      </c>
      <c r="AS171" s="1" t="s">
        <v>71</v>
      </c>
      <c r="AX171" s="1" t="s">
        <v>71</v>
      </c>
      <c r="BH171" s="1" t="s">
        <v>71</v>
      </c>
    </row>
    <row r="172" customFormat="false" ht="15" hidden="false" customHeight="false" outlineLevel="0" collapsed="false">
      <c r="A172" s="1" t="s">
        <v>616</v>
      </c>
      <c r="B172" s="1" t="s">
        <v>757</v>
      </c>
      <c r="C172" s="1" t="s">
        <v>657</v>
      </c>
      <c r="D172" s="1" t="s">
        <v>658</v>
      </c>
      <c r="E172" s="1" t="s">
        <v>82</v>
      </c>
      <c r="F172" s="1" t="s">
        <v>391</v>
      </c>
      <c r="G172" s="1" t="s">
        <v>97</v>
      </c>
      <c r="H172" s="1" t="s">
        <v>406</v>
      </c>
      <c r="M172" s="1" t="s">
        <v>496</v>
      </c>
      <c r="N172" s="1" t="s">
        <v>672</v>
      </c>
      <c r="O172" s="1" t="s">
        <v>673</v>
      </c>
      <c r="P172" s="1"/>
      <c r="Q172" s="1" t="s">
        <v>70</v>
      </c>
      <c r="U172" s="1" t="s">
        <v>616</v>
      </c>
      <c r="Z172" s="1" t="s">
        <v>71</v>
      </c>
      <c r="AE172" s="1" t="s">
        <v>722</v>
      </c>
      <c r="AH172" s="1" t="s">
        <v>73</v>
      </c>
      <c r="AK172" s="1" t="s">
        <v>71</v>
      </c>
      <c r="AM172" s="1" t="s">
        <v>71</v>
      </c>
      <c r="AN172" s="1" t="s">
        <v>71</v>
      </c>
      <c r="AS172" s="1" t="s">
        <v>71</v>
      </c>
      <c r="BH172" s="1" t="s">
        <v>71</v>
      </c>
    </row>
    <row r="173" customFormat="false" ht="15" hidden="false" customHeight="false" outlineLevel="0" collapsed="false">
      <c r="A173" s="1" t="s">
        <v>758</v>
      </c>
      <c r="B173" s="1" t="s">
        <v>759</v>
      </c>
      <c r="C173" s="1" t="s">
        <v>760</v>
      </c>
      <c r="D173" s="1" t="s">
        <v>761</v>
      </c>
      <c r="E173" s="1" t="s">
        <v>82</v>
      </c>
      <c r="F173" s="1" t="s">
        <v>391</v>
      </c>
      <c r="G173" s="1" t="s">
        <v>97</v>
      </c>
      <c r="H173" s="1" t="s">
        <v>406</v>
      </c>
      <c r="M173" s="1" t="s">
        <v>496</v>
      </c>
      <c r="N173" s="1" t="s">
        <v>762</v>
      </c>
      <c r="O173" s="1" t="s">
        <v>447</v>
      </c>
      <c r="P173" s="1"/>
      <c r="Q173" s="1" t="s">
        <v>70</v>
      </c>
      <c r="U173" s="1" t="s">
        <v>758</v>
      </c>
      <c r="Z173" s="1" t="s">
        <v>71</v>
      </c>
      <c r="AE173" s="1" t="s">
        <v>763</v>
      </c>
      <c r="AH173" s="1" t="s">
        <v>73</v>
      </c>
      <c r="AK173" s="1" t="s">
        <v>71</v>
      </c>
      <c r="AM173" s="1" t="s">
        <v>71</v>
      </c>
      <c r="AN173" s="1" t="s">
        <v>71</v>
      </c>
      <c r="AS173" s="1" t="s">
        <v>71</v>
      </c>
      <c r="BH173" s="1" t="s">
        <v>71</v>
      </c>
    </row>
    <row r="174" customFormat="false" ht="15" hidden="false" customHeight="false" outlineLevel="0" collapsed="false">
      <c r="A174" s="1" t="s">
        <v>764</v>
      </c>
      <c r="B174" s="1" t="s">
        <v>765</v>
      </c>
      <c r="C174" s="1" t="s">
        <v>754</v>
      </c>
      <c r="D174" s="1" t="s">
        <v>766</v>
      </c>
      <c r="E174" s="1" t="s">
        <v>82</v>
      </c>
      <c r="F174" s="1" t="s">
        <v>391</v>
      </c>
      <c r="G174" s="1" t="s">
        <v>443</v>
      </c>
      <c r="H174" s="1" t="s">
        <v>444</v>
      </c>
      <c r="K174" s="1" t="s">
        <v>618</v>
      </c>
      <c r="L174" s="1" t="s">
        <v>619</v>
      </c>
      <c r="M174" s="1" t="s">
        <v>496</v>
      </c>
      <c r="N174" s="1" t="s">
        <v>767</v>
      </c>
      <c r="O174" s="1" t="s">
        <v>768</v>
      </c>
      <c r="P174" s="1"/>
      <c r="Q174" s="1" t="s">
        <v>70</v>
      </c>
      <c r="U174" s="1" t="s">
        <v>764</v>
      </c>
      <c r="Z174" s="1" t="s">
        <v>71</v>
      </c>
      <c r="AE174" s="1" t="s">
        <v>763</v>
      </c>
      <c r="AH174" s="1" t="s">
        <v>73</v>
      </c>
      <c r="AK174" s="1" t="s">
        <v>71</v>
      </c>
      <c r="AM174" s="1" t="s">
        <v>71</v>
      </c>
      <c r="AN174" s="1" t="s">
        <v>71</v>
      </c>
      <c r="AS174" s="1" t="s">
        <v>71</v>
      </c>
      <c r="AX174" s="1" t="s">
        <v>71</v>
      </c>
      <c r="BH174" s="1" t="s">
        <v>71</v>
      </c>
    </row>
    <row r="175" customFormat="false" ht="15" hidden="false" customHeight="false" outlineLevel="0" collapsed="false">
      <c r="A175" s="1" t="s">
        <v>769</v>
      </c>
      <c r="B175" s="1" t="s">
        <v>770</v>
      </c>
      <c r="C175" s="1" t="s">
        <v>526</v>
      </c>
      <c r="D175" s="1" t="s">
        <v>527</v>
      </c>
      <c r="E175" s="1" t="s">
        <v>82</v>
      </c>
      <c r="F175" s="1" t="s">
        <v>391</v>
      </c>
      <c r="G175" s="1" t="s">
        <v>97</v>
      </c>
      <c r="H175" s="1" t="s">
        <v>406</v>
      </c>
      <c r="M175" s="1" t="s">
        <v>496</v>
      </c>
      <c r="N175" s="1" t="s">
        <v>518</v>
      </c>
      <c r="O175" s="1" t="s">
        <v>519</v>
      </c>
      <c r="P175" s="1"/>
      <c r="Q175" s="1" t="s">
        <v>70</v>
      </c>
      <c r="U175" s="1" t="s">
        <v>769</v>
      </c>
      <c r="Z175" s="1" t="s">
        <v>71</v>
      </c>
      <c r="AE175" s="1" t="s">
        <v>763</v>
      </c>
      <c r="AH175" s="1" t="s">
        <v>73</v>
      </c>
      <c r="AK175" s="1" t="s">
        <v>71</v>
      </c>
      <c r="AM175" s="1" t="s">
        <v>71</v>
      </c>
      <c r="AN175" s="1" t="s">
        <v>71</v>
      </c>
      <c r="AS175" s="1" t="s">
        <v>71</v>
      </c>
      <c r="BH175" s="1" t="s">
        <v>71</v>
      </c>
    </row>
    <row r="176" customFormat="false" ht="15" hidden="false" customHeight="false" outlineLevel="0" collapsed="false">
      <c r="A176" s="1" t="s">
        <v>771</v>
      </c>
      <c r="B176" s="1" t="s">
        <v>772</v>
      </c>
      <c r="C176" s="1" t="s">
        <v>526</v>
      </c>
      <c r="D176" s="1" t="s">
        <v>527</v>
      </c>
      <c r="E176" s="1" t="s">
        <v>82</v>
      </c>
      <c r="F176" s="1" t="s">
        <v>391</v>
      </c>
      <c r="G176" s="1" t="s">
        <v>97</v>
      </c>
      <c r="H176" s="1" t="s">
        <v>406</v>
      </c>
      <c r="M176" s="1" t="s">
        <v>496</v>
      </c>
      <c r="N176" s="1" t="s">
        <v>518</v>
      </c>
      <c r="O176" s="1" t="s">
        <v>519</v>
      </c>
      <c r="P176" s="1"/>
      <c r="Q176" s="1" t="s">
        <v>70</v>
      </c>
      <c r="U176" s="1" t="s">
        <v>771</v>
      </c>
      <c r="Z176" s="1" t="s">
        <v>71</v>
      </c>
      <c r="AE176" s="1" t="s">
        <v>763</v>
      </c>
      <c r="AH176" s="1" t="s">
        <v>73</v>
      </c>
      <c r="AK176" s="1" t="s">
        <v>71</v>
      </c>
      <c r="AM176" s="1" t="s">
        <v>71</v>
      </c>
      <c r="AN176" s="1" t="s">
        <v>71</v>
      </c>
      <c r="AS176" s="1" t="s">
        <v>71</v>
      </c>
      <c r="BH176" s="1" t="s">
        <v>71</v>
      </c>
    </row>
    <row r="177" customFormat="false" ht="15" hidden="false" customHeight="false" outlineLevel="0" collapsed="false">
      <c r="A177" s="1" t="s">
        <v>773</v>
      </c>
      <c r="B177" s="1" t="s">
        <v>774</v>
      </c>
      <c r="C177" s="1" t="s">
        <v>526</v>
      </c>
      <c r="D177" s="1" t="s">
        <v>527</v>
      </c>
      <c r="E177" s="1" t="s">
        <v>82</v>
      </c>
      <c r="F177" s="1" t="s">
        <v>391</v>
      </c>
      <c r="G177" s="1" t="s">
        <v>97</v>
      </c>
      <c r="H177" s="1" t="s">
        <v>406</v>
      </c>
      <c r="M177" s="1" t="s">
        <v>496</v>
      </c>
      <c r="N177" s="1" t="s">
        <v>775</v>
      </c>
      <c r="O177" s="1" t="s">
        <v>776</v>
      </c>
      <c r="P177" s="1"/>
      <c r="Q177" s="1" t="s">
        <v>70</v>
      </c>
      <c r="U177" s="1" t="s">
        <v>773</v>
      </c>
      <c r="Z177" s="1" t="s">
        <v>71</v>
      </c>
      <c r="AE177" s="1" t="s">
        <v>763</v>
      </c>
      <c r="AH177" s="1" t="s">
        <v>73</v>
      </c>
      <c r="AK177" s="1" t="s">
        <v>71</v>
      </c>
      <c r="AM177" s="1" t="s">
        <v>71</v>
      </c>
      <c r="AN177" s="1" t="s">
        <v>71</v>
      </c>
      <c r="AS177" s="1" t="s">
        <v>71</v>
      </c>
      <c r="BH177" s="1" t="s">
        <v>71</v>
      </c>
    </row>
    <row r="178" customFormat="false" ht="15" hidden="false" customHeight="false" outlineLevel="0" collapsed="false">
      <c r="A178" s="1" t="s">
        <v>777</v>
      </c>
      <c r="B178" s="1" t="s">
        <v>778</v>
      </c>
      <c r="C178" s="1" t="s">
        <v>152</v>
      </c>
      <c r="D178" s="1" t="s">
        <v>464</v>
      </c>
      <c r="E178" s="1" t="s">
        <v>82</v>
      </c>
      <c r="F178" s="1" t="s">
        <v>391</v>
      </c>
      <c r="G178" s="1" t="s">
        <v>97</v>
      </c>
      <c r="H178" s="1" t="s">
        <v>406</v>
      </c>
      <c r="M178" s="1" t="s">
        <v>496</v>
      </c>
      <c r="N178" s="1" t="s">
        <v>779</v>
      </c>
      <c r="O178" s="1" t="s">
        <v>400</v>
      </c>
      <c r="P178" s="1"/>
      <c r="Q178" s="1" t="s">
        <v>70</v>
      </c>
      <c r="U178" s="1" t="s">
        <v>777</v>
      </c>
      <c r="Z178" s="1" t="s">
        <v>71</v>
      </c>
      <c r="AE178" s="1" t="s">
        <v>763</v>
      </c>
      <c r="AH178" s="1" t="s">
        <v>73</v>
      </c>
      <c r="AK178" s="1" t="s">
        <v>71</v>
      </c>
      <c r="AM178" s="1" t="s">
        <v>71</v>
      </c>
      <c r="AN178" s="1" t="s">
        <v>71</v>
      </c>
      <c r="AS178" s="1" t="s">
        <v>71</v>
      </c>
      <c r="BH178" s="1" t="s">
        <v>71</v>
      </c>
    </row>
    <row r="179" customFormat="false" ht="15" hidden="false" customHeight="false" outlineLevel="0" collapsed="false">
      <c r="A179" s="1" t="s">
        <v>780</v>
      </c>
      <c r="B179" s="1" t="s">
        <v>781</v>
      </c>
      <c r="C179" s="1" t="s">
        <v>782</v>
      </c>
      <c r="D179" s="1" t="s">
        <v>783</v>
      </c>
      <c r="E179" s="1" t="s">
        <v>82</v>
      </c>
      <c r="F179" s="1" t="s">
        <v>391</v>
      </c>
      <c r="G179" s="1" t="s">
        <v>443</v>
      </c>
      <c r="H179" s="1" t="s">
        <v>444</v>
      </c>
      <c r="K179" s="1" t="s">
        <v>618</v>
      </c>
      <c r="L179" s="1" t="s">
        <v>619</v>
      </c>
      <c r="M179" s="1" t="s">
        <v>496</v>
      </c>
      <c r="N179" s="1" t="s">
        <v>784</v>
      </c>
      <c r="O179" s="1" t="s">
        <v>785</v>
      </c>
      <c r="P179" s="1"/>
      <c r="Q179" s="1" t="s">
        <v>70</v>
      </c>
      <c r="U179" s="1" t="s">
        <v>780</v>
      </c>
      <c r="Z179" s="1" t="s">
        <v>71</v>
      </c>
      <c r="AE179" s="1" t="s">
        <v>763</v>
      </c>
      <c r="AH179" s="1" t="s">
        <v>73</v>
      </c>
      <c r="AK179" s="1" t="s">
        <v>71</v>
      </c>
      <c r="AM179" s="1" t="s">
        <v>71</v>
      </c>
      <c r="AN179" s="1" t="s">
        <v>71</v>
      </c>
      <c r="AS179" s="1" t="s">
        <v>71</v>
      </c>
      <c r="AX179" s="1" t="s">
        <v>71</v>
      </c>
      <c r="BH179" s="1" t="s">
        <v>71</v>
      </c>
    </row>
    <row r="180" customFormat="false" ht="15" hidden="false" customHeight="false" outlineLevel="0" collapsed="false">
      <c r="A180" s="1" t="s">
        <v>786</v>
      </c>
      <c r="B180" s="1" t="s">
        <v>787</v>
      </c>
      <c r="C180" s="1" t="s">
        <v>152</v>
      </c>
      <c r="D180" s="1" t="s">
        <v>464</v>
      </c>
      <c r="E180" s="1" t="s">
        <v>82</v>
      </c>
      <c r="F180" s="1" t="s">
        <v>391</v>
      </c>
      <c r="G180" s="1" t="s">
        <v>97</v>
      </c>
      <c r="H180" s="1" t="s">
        <v>406</v>
      </c>
      <c r="M180" s="1" t="s">
        <v>465</v>
      </c>
      <c r="N180" s="1" t="s">
        <v>600</v>
      </c>
      <c r="O180" s="1" t="s">
        <v>447</v>
      </c>
      <c r="P180" s="1"/>
      <c r="Q180" s="1" t="s">
        <v>70</v>
      </c>
      <c r="U180" s="1" t="s">
        <v>786</v>
      </c>
      <c r="Z180" s="1" t="s">
        <v>71</v>
      </c>
      <c r="AE180" s="1" t="s">
        <v>763</v>
      </c>
      <c r="AH180" s="1" t="s">
        <v>148</v>
      </c>
      <c r="AK180" s="1" t="s">
        <v>71</v>
      </c>
      <c r="AM180" s="1" t="s">
        <v>71</v>
      </c>
      <c r="AN180" s="1" t="s">
        <v>71</v>
      </c>
      <c r="AS180" s="1" t="s">
        <v>71</v>
      </c>
      <c r="BH180" s="1" t="s">
        <v>71</v>
      </c>
    </row>
    <row r="181" customFormat="false" ht="15" hidden="false" customHeight="false" outlineLevel="0" collapsed="false">
      <c r="A181" s="1" t="s">
        <v>788</v>
      </c>
      <c r="B181" s="1" t="s">
        <v>789</v>
      </c>
      <c r="C181" s="1" t="s">
        <v>756</v>
      </c>
      <c r="D181" s="1" t="s">
        <v>790</v>
      </c>
      <c r="E181" s="1" t="s">
        <v>82</v>
      </c>
      <c r="F181" s="1" t="s">
        <v>391</v>
      </c>
      <c r="G181" s="1" t="s">
        <v>97</v>
      </c>
      <c r="H181" s="1" t="s">
        <v>406</v>
      </c>
      <c r="K181" s="1" t="s">
        <v>59</v>
      </c>
      <c r="L181" s="1" t="s">
        <v>791</v>
      </c>
      <c r="M181" s="1" t="s">
        <v>496</v>
      </c>
      <c r="N181" s="1" t="s">
        <v>792</v>
      </c>
      <c r="O181" s="1" t="s">
        <v>447</v>
      </c>
      <c r="P181" s="1"/>
      <c r="Q181" s="1" t="s">
        <v>70</v>
      </c>
      <c r="U181" s="1" t="s">
        <v>788</v>
      </c>
      <c r="Z181" s="1" t="s">
        <v>71</v>
      </c>
      <c r="AE181" s="1" t="s">
        <v>763</v>
      </c>
      <c r="AH181" s="1" t="s">
        <v>73</v>
      </c>
      <c r="AK181" s="1" t="s">
        <v>71</v>
      </c>
      <c r="AM181" s="1" t="s">
        <v>71</v>
      </c>
      <c r="AN181" s="1" t="s">
        <v>71</v>
      </c>
      <c r="AS181" s="1" t="s">
        <v>71</v>
      </c>
      <c r="AX181" s="1" t="s">
        <v>71</v>
      </c>
      <c r="BH181" s="1" t="s">
        <v>71</v>
      </c>
    </row>
    <row r="182" customFormat="false" ht="15" hidden="false" customHeight="false" outlineLevel="0" collapsed="false">
      <c r="A182" s="1" t="s">
        <v>782</v>
      </c>
      <c r="B182" s="1" t="s">
        <v>793</v>
      </c>
      <c r="C182" s="1" t="s">
        <v>606</v>
      </c>
      <c r="D182" s="1" t="s">
        <v>794</v>
      </c>
      <c r="E182" s="1" t="s">
        <v>82</v>
      </c>
      <c r="F182" s="1" t="s">
        <v>391</v>
      </c>
      <c r="G182" s="1" t="s">
        <v>97</v>
      </c>
      <c r="H182" s="1" t="s">
        <v>406</v>
      </c>
      <c r="K182" s="1" t="s">
        <v>407</v>
      </c>
      <c r="L182" s="1" t="s">
        <v>408</v>
      </c>
      <c r="M182" s="1" t="s">
        <v>496</v>
      </c>
      <c r="N182" s="1" t="s">
        <v>795</v>
      </c>
      <c r="O182" s="1" t="s">
        <v>796</v>
      </c>
      <c r="P182" s="1"/>
      <c r="Q182" s="1" t="s">
        <v>70</v>
      </c>
      <c r="U182" s="1" t="s">
        <v>782</v>
      </c>
      <c r="Z182" s="1" t="s">
        <v>71</v>
      </c>
      <c r="AE182" s="1" t="s">
        <v>763</v>
      </c>
      <c r="AH182" s="1" t="s">
        <v>73</v>
      </c>
      <c r="AK182" s="1" t="s">
        <v>71</v>
      </c>
      <c r="AM182" s="1" t="s">
        <v>71</v>
      </c>
      <c r="AN182" s="1" t="s">
        <v>71</v>
      </c>
      <c r="AS182" s="1" t="s">
        <v>71</v>
      </c>
      <c r="AX182" s="1" t="s">
        <v>71</v>
      </c>
      <c r="BH182" s="1" t="s">
        <v>71</v>
      </c>
    </row>
    <row r="183" customFormat="false" ht="15" hidden="false" customHeight="false" outlineLevel="0" collapsed="false">
      <c r="A183" s="1" t="s">
        <v>664</v>
      </c>
      <c r="B183" s="1" t="s">
        <v>797</v>
      </c>
      <c r="C183" s="1" t="s">
        <v>706</v>
      </c>
      <c r="D183" s="1" t="s">
        <v>707</v>
      </c>
      <c r="E183" s="1" t="s">
        <v>82</v>
      </c>
      <c r="F183" s="1" t="s">
        <v>391</v>
      </c>
      <c r="G183" s="1" t="s">
        <v>97</v>
      </c>
      <c r="H183" s="1" t="s">
        <v>406</v>
      </c>
      <c r="M183" s="1" t="s">
        <v>496</v>
      </c>
      <c r="N183" s="1" t="s">
        <v>798</v>
      </c>
      <c r="O183" s="1" t="s">
        <v>799</v>
      </c>
      <c r="P183" s="1"/>
      <c r="Q183" s="1" t="s">
        <v>70</v>
      </c>
      <c r="U183" s="1" t="s">
        <v>664</v>
      </c>
      <c r="Z183" s="1" t="s">
        <v>71</v>
      </c>
      <c r="AE183" s="1" t="s">
        <v>763</v>
      </c>
      <c r="AH183" s="1" t="s">
        <v>73</v>
      </c>
      <c r="AK183" s="1" t="s">
        <v>71</v>
      </c>
      <c r="AM183" s="1" t="s">
        <v>71</v>
      </c>
      <c r="AN183" s="1" t="s">
        <v>71</v>
      </c>
      <c r="AS183" s="1" t="s">
        <v>71</v>
      </c>
      <c r="BH183" s="1" t="s">
        <v>71</v>
      </c>
    </row>
    <row r="184" customFormat="false" ht="15" hidden="false" customHeight="false" outlineLevel="0" collapsed="false">
      <c r="A184" s="1" t="s">
        <v>800</v>
      </c>
      <c r="B184" s="1" t="s">
        <v>801</v>
      </c>
      <c r="C184" s="1" t="s">
        <v>657</v>
      </c>
      <c r="D184" s="1" t="s">
        <v>658</v>
      </c>
      <c r="E184" s="1" t="s">
        <v>82</v>
      </c>
      <c r="F184" s="1" t="s">
        <v>391</v>
      </c>
      <c r="G184" s="1" t="s">
        <v>97</v>
      </c>
      <c r="H184" s="1" t="s">
        <v>406</v>
      </c>
      <c r="M184" s="1" t="s">
        <v>496</v>
      </c>
      <c r="N184" s="1" t="s">
        <v>486</v>
      </c>
      <c r="O184" s="1" t="s">
        <v>447</v>
      </c>
      <c r="P184" s="1"/>
      <c r="Q184" s="1" t="s">
        <v>70</v>
      </c>
      <c r="U184" s="1" t="s">
        <v>800</v>
      </c>
      <c r="Z184" s="1" t="s">
        <v>71</v>
      </c>
      <c r="AE184" s="1" t="s">
        <v>763</v>
      </c>
      <c r="AH184" s="1" t="s">
        <v>73</v>
      </c>
      <c r="AK184" s="1" t="s">
        <v>71</v>
      </c>
      <c r="AM184" s="1" t="s">
        <v>71</v>
      </c>
      <c r="AN184" s="1" t="s">
        <v>71</v>
      </c>
      <c r="AS184" s="1" t="s">
        <v>71</v>
      </c>
      <c r="BH184" s="1" t="s">
        <v>71</v>
      </c>
    </row>
    <row r="185" customFormat="false" ht="15" hidden="false" customHeight="false" outlineLevel="0" collapsed="false">
      <c r="A185" s="1" t="s">
        <v>802</v>
      </c>
      <c r="B185" s="1" t="s">
        <v>803</v>
      </c>
      <c r="C185" s="1" t="s">
        <v>657</v>
      </c>
      <c r="D185" s="1" t="s">
        <v>658</v>
      </c>
      <c r="E185" s="1" t="s">
        <v>82</v>
      </c>
      <c r="F185" s="1" t="s">
        <v>391</v>
      </c>
      <c r="G185" s="1" t="s">
        <v>97</v>
      </c>
      <c r="H185" s="1" t="s">
        <v>406</v>
      </c>
      <c r="M185" s="1" t="s">
        <v>496</v>
      </c>
      <c r="N185" s="1" t="s">
        <v>672</v>
      </c>
      <c r="O185" s="1" t="s">
        <v>673</v>
      </c>
      <c r="P185" s="1"/>
      <c r="Q185" s="1" t="s">
        <v>70</v>
      </c>
      <c r="U185" s="1" t="s">
        <v>802</v>
      </c>
      <c r="Z185" s="1" t="s">
        <v>71</v>
      </c>
      <c r="AE185" s="1" t="s">
        <v>763</v>
      </c>
      <c r="AH185" s="1" t="s">
        <v>73</v>
      </c>
      <c r="AK185" s="1" t="s">
        <v>71</v>
      </c>
      <c r="AM185" s="1" t="s">
        <v>71</v>
      </c>
      <c r="AN185" s="1" t="s">
        <v>71</v>
      </c>
      <c r="AS185" s="1" t="s">
        <v>71</v>
      </c>
      <c r="BH185" s="1" t="s">
        <v>71</v>
      </c>
    </row>
    <row r="186" customFormat="false" ht="15" hidden="false" customHeight="false" outlineLevel="0" collapsed="false">
      <c r="A186" s="1" t="s">
        <v>804</v>
      </c>
      <c r="B186" s="1" t="s">
        <v>805</v>
      </c>
      <c r="C186" s="1" t="s">
        <v>664</v>
      </c>
      <c r="D186" s="1" t="s">
        <v>665</v>
      </c>
      <c r="E186" s="1" t="s">
        <v>82</v>
      </c>
      <c r="F186" s="1" t="s">
        <v>391</v>
      </c>
      <c r="G186" s="1" t="s">
        <v>443</v>
      </c>
      <c r="H186" s="1" t="s">
        <v>444</v>
      </c>
      <c r="K186" s="1" t="s">
        <v>666</v>
      </c>
      <c r="L186" s="1" t="s">
        <v>667</v>
      </c>
      <c r="M186" s="1" t="s">
        <v>806</v>
      </c>
      <c r="N186" s="1" t="s">
        <v>807</v>
      </c>
      <c r="O186" s="1" t="s">
        <v>808</v>
      </c>
      <c r="P186" s="1"/>
      <c r="Q186" s="1" t="s">
        <v>70</v>
      </c>
      <c r="U186" s="1" t="s">
        <v>804</v>
      </c>
      <c r="Z186" s="1" t="s">
        <v>71</v>
      </c>
      <c r="AE186" s="1" t="s">
        <v>763</v>
      </c>
      <c r="AH186" s="1" t="s">
        <v>73</v>
      </c>
      <c r="AK186" s="1" t="s">
        <v>71</v>
      </c>
      <c r="AM186" s="1" t="s">
        <v>71</v>
      </c>
      <c r="AN186" s="1" t="s">
        <v>71</v>
      </c>
      <c r="AS186" s="1" t="s">
        <v>71</v>
      </c>
      <c r="AX186" s="1" t="s">
        <v>71</v>
      </c>
      <c r="BH186" s="1" t="s">
        <v>71</v>
      </c>
    </row>
    <row r="187" customFormat="false" ht="15" hidden="false" customHeight="false" outlineLevel="0" collapsed="false">
      <c r="A187" s="1" t="s">
        <v>809</v>
      </c>
      <c r="B187" s="1" t="s">
        <v>810</v>
      </c>
      <c r="C187" s="1" t="s">
        <v>657</v>
      </c>
      <c r="D187" s="1" t="s">
        <v>658</v>
      </c>
      <c r="E187" s="1" t="s">
        <v>82</v>
      </c>
      <c r="F187" s="1" t="s">
        <v>391</v>
      </c>
      <c r="G187" s="1" t="s">
        <v>97</v>
      </c>
      <c r="H187" s="1" t="s">
        <v>406</v>
      </c>
      <c r="M187" s="1" t="s">
        <v>496</v>
      </c>
      <c r="N187" s="1" t="s">
        <v>608</v>
      </c>
      <c r="O187" s="1" t="s">
        <v>609</v>
      </c>
      <c r="P187" s="1"/>
      <c r="Q187" s="1" t="s">
        <v>70</v>
      </c>
      <c r="U187" s="1" t="s">
        <v>809</v>
      </c>
      <c r="Z187" s="1" t="s">
        <v>71</v>
      </c>
      <c r="AE187" s="1" t="s">
        <v>763</v>
      </c>
      <c r="AH187" s="1" t="s">
        <v>73</v>
      </c>
      <c r="AK187" s="1" t="s">
        <v>71</v>
      </c>
      <c r="AM187" s="1" t="s">
        <v>71</v>
      </c>
      <c r="AN187" s="1" t="s">
        <v>71</v>
      </c>
      <c r="AS187" s="1" t="s">
        <v>71</v>
      </c>
      <c r="BH187" s="1" t="s">
        <v>71</v>
      </c>
    </row>
    <row r="188" customFormat="false" ht="15" hidden="false" customHeight="false" outlineLevel="0" collapsed="false">
      <c r="A188" s="1" t="s">
        <v>811</v>
      </c>
      <c r="B188" s="1" t="s">
        <v>812</v>
      </c>
      <c r="C188" s="1" t="s">
        <v>664</v>
      </c>
      <c r="D188" s="1" t="s">
        <v>665</v>
      </c>
      <c r="E188" s="1" t="s">
        <v>82</v>
      </c>
      <c r="F188" s="1" t="s">
        <v>391</v>
      </c>
      <c r="G188" s="1" t="s">
        <v>443</v>
      </c>
      <c r="H188" s="1" t="s">
        <v>444</v>
      </c>
      <c r="K188" s="1" t="s">
        <v>666</v>
      </c>
      <c r="L188" s="1" t="s">
        <v>667</v>
      </c>
      <c r="M188" s="1" t="s">
        <v>806</v>
      </c>
      <c r="N188" s="1" t="s">
        <v>813</v>
      </c>
      <c r="O188" s="1" t="s">
        <v>814</v>
      </c>
      <c r="P188" s="1"/>
      <c r="Q188" s="1" t="s">
        <v>70</v>
      </c>
      <c r="U188" s="1" t="s">
        <v>811</v>
      </c>
      <c r="Z188" s="1" t="s">
        <v>71</v>
      </c>
      <c r="AE188" s="1" t="s">
        <v>763</v>
      </c>
      <c r="AH188" s="1" t="s">
        <v>73</v>
      </c>
      <c r="AK188" s="1" t="s">
        <v>71</v>
      </c>
      <c r="AM188" s="1" t="s">
        <v>71</v>
      </c>
      <c r="AN188" s="1" t="s">
        <v>71</v>
      </c>
      <c r="AS188" s="1" t="s">
        <v>71</v>
      </c>
      <c r="AX188" s="1" t="s">
        <v>71</v>
      </c>
      <c r="BH188" s="1" t="s">
        <v>71</v>
      </c>
    </row>
    <row r="189" customFormat="false" ht="15" hidden="false" customHeight="false" outlineLevel="0" collapsed="false">
      <c r="A189" s="1" t="s">
        <v>815</v>
      </c>
      <c r="B189" s="1" t="s">
        <v>816</v>
      </c>
      <c r="C189" s="1" t="s">
        <v>664</v>
      </c>
      <c r="D189" s="1" t="s">
        <v>665</v>
      </c>
      <c r="E189" s="1" t="s">
        <v>82</v>
      </c>
      <c r="F189" s="1" t="s">
        <v>391</v>
      </c>
      <c r="G189" s="1" t="s">
        <v>443</v>
      </c>
      <c r="H189" s="1" t="s">
        <v>444</v>
      </c>
      <c r="K189" s="1" t="s">
        <v>666</v>
      </c>
      <c r="L189" s="1" t="s">
        <v>667</v>
      </c>
      <c r="M189" s="1" t="s">
        <v>806</v>
      </c>
      <c r="N189" s="1" t="s">
        <v>817</v>
      </c>
      <c r="O189" s="1" t="s">
        <v>818</v>
      </c>
      <c r="P189" s="1"/>
      <c r="Q189" s="1" t="s">
        <v>70</v>
      </c>
      <c r="U189" s="1" t="s">
        <v>815</v>
      </c>
      <c r="Z189" s="1" t="s">
        <v>71</v>
      </c>
      <c r="AE189" s="1" t="s">
        <v>763</v>
      </c>
      <c r="AH189" s="1" t="s">
        <v>73</v>
      </c>
      <c r="AK189" s="1" t="s">
        <v>71</v>
      </c>
      <c r="AM189" s="1" t="s">
        <v>71</v>
      </c>
      <c r="AN189" s="1" t="s">
        <v>71</v>
      </c>
      <c r="AS189" s="1" t="s">
        <v>71</v>
      </c>
      <c r="AX189" s="1" t="s">
        <v>71</v>
      </c>
      <c r="BH189" s="1" t="s">
        <v>71</v>
      </c>
    </row>
    <row r="190" customFormat="false" ht="15" hidden="false" customHeight="false" outlineLevel="0" collapsed="false">
      <c r="A190" s="1" t="s">
        <v>819</v>
      </c>
      <c r="B190" s="1" t="s">
        <v>820</v>
      </c>
      <c r="C190" s="1" t="s">
        <v>657</v>
      </c>
      <c r="D190" s="1" t="s">
        <v>658</v>
      </c>
      <c r="E190" s="1" t="s">
        <v>82</v>
      </c>
      <c r="F190" s="1" t="s">
        <v>391</v>
      </c>
      <c r="G190" s="1" t="s">
        <v>213</v>
      </c>
      <c r="H190" s="1" t="s">
        <v>477</v>
      </c>
      <c r="K190" s="1" t="s">
        <v>478</v>
      </c>
      <c r="L190" s="1" t="s">
        <v>479</v>
      </c>
      <c r="M190" s="1" t="s">
        <v>496</v>
      </c>
      <c r="N190" s="1" t="s">
        <v>518</v>
      </c>
      <c r="O190" s="1" t="s">
        <v>519</v>
      </c>
      <c r="P190" s="1"/>
      <c r="Q190" s="1" t="s">
        <v>70</v>
      </c>
      <c r="U190" s="1" t="s">
        <v>819</v>
      </c>
      <c r="Z190" s="1" t="s">
        <v>71</v>
      </c>
      <c r="AE190" s="1" t="s">
        <v>763</v>
      </c>
      <c r="AH190" s="1" t="s">
        <v>73</v>
      </c>
      <c r="AK190" s="1" t="s">
        <v>71</v>
      </c>
      <c r="AM190" s="1" t="s">
        <v>71</v>
      </c>
      <c r="AN190" s="1" t="s">
        <v>71</v>
      </c>
      <c r="AS190" s="1" t="s">
        <v>71</v>
      </c>
      <c r="AX190" s="1" t="s">
        <v>71</v>
      </c>
      <c r="BH190" s="1" t="s">
        <v>71</v>
      </c>
    </row>
    <row r="191" customFormat="false" ht="15" hidden="false" customHeight="false" outlineLevel="0" collapsed="false">
      <c r="A191" s="1" t="s">
        <v>821</v>
      </c>
      <c r="B191" s="1" t="s">
        <v>822</v>
      </c>
      <c r="C191" s="1" t="s">
        <v>657</v>
      </c>
      <c r="D191" s="1" t="s">
        <v>658</v>
      </c>
      <c r="E191" s="1" t="s">
        <v>82</v>
      </c>
      <c r="F191" s="1" t="s">
        <v>391</v>
      </c>
      <c r="G191" s="1" t="s">
        <v>97</v>
      </c>
      <c r="H191" s="1" t="s">
        <v>406</v>
      </c>
      <c r="M191" s="1" t="s">
        <v>496</v>
      </c>
      <c r="N191" s="1" t="s">
        <v>672</v>
      </c>
      <c r="O191" s="1" t="s">
        <v>673</v>
      </c>
      <c r="P191" s="1"/>
      <c r="Q191" s="1" t="s">
        <v>70</v>
      </c>
      <c r="U191" s="1" t="s">
        <v>821</v>
      </c>
      <c r="Z191" s="1" t="s">
        <v>71</v>
      </c>
      <c r="AE191" s="1" t="s">
        <v>763</v>
      </c>
      <c r="AH191" s="1" t="s">
        <v>73</v>
      </c>
      <c r="AK191" s="1" t="s">
        <v>71</v>
      </c>
      <c r="AM191" s="1" t="s">
        <v>71</v>
      </c>
      <c r="AN191" s="1" t="s">
        <v>71</v>
      </c>
      <c r="AS191" s="1" t="s">
        <v>71</v>
      </c>
      <c r="BH191" s="1" t="s">
        <v>71</v>
      </c>
    </row>
    <row r="192" customFormat="false" ht="15" hidden="false" customHeight="false" outlineLevel="0" collapsed="false">
      <c r="A192" s="1" t="s">
        <v>823</v>
      </c>
      <c r="B192" s="1" t="s">
        <v>824</v>
      </c>
      <c r="C192" s="1" t="s">
        <v>657</v>
      </c>
      <c r="D192" s="1" t="s">
        <v>658</v>
      </c>
      <c r="E192" s="1" t="s">
        <v>82</v>
      </c>
      <c r="F192" s="1" t="s">
        <v>391</v>
      </c>
      <c r="G192" s="1" t="s">
        <v>97</v>
      </c>
      <c r="H192" s="1" t="s">
        <v>406</v>
      </c>
      <c r="M192" s="1" t="s">
        <v>496</v>
      </c>
      <c r="N192" s="1" t="s">
        <v>740</v>
      </c>
      <c r="O192" s="1" t="s">
        <v>741</v>
      </c>
      <c r="P192" s="1"/>
      <c r="Q192" s="1" t="s">
        <v>70</v>
      </c>
      <c r="U192" s="1" t="s">
        <v>823</v>
      </c>
      <c r="Z192" s="1" t="s">
        <v>71</v>
      </c>
      <c r="AE192" s="1" t="s">
        <v>763</v>
      </c>
      <c r="AH192" s="1" t="s">
        <v>73</v>
      </c>
      <c r="AK192" s="1" t="s">
        <v>71</v>
      </c>
      <c r="AM192" s="1" t="s">
        <v>71</v>
      </c>
      <c r="AN192" s="1" t="s">
        <v>71</v>
      </c>
      <c r="AS192" s="1" t="s">
        <v>71</v>
      </c>
      <c r="BH192" s="1" t="s">
        <v>71</v>
      </c>
    </row>
    <row r="193" customFormat="false" ht="15" hidden="false" customHeight="false" outlineLevel="0" collapsed="false">
      <c r="A193" s="1" t="s">
        <v>825</v>
      </c>
      <c r="B193" s="1" t="s">
        <v>826</v>
      </c>
      <c r="C193" s="1" t="s">
        <v>182</v>
      </c>
      <c r="D193" s="1" t="s">
        <v>239</v>
      </c>
      <c r="E193" s="1" t="s">
        <v>65</v>
      </c>
      <c r="F193" s="1" t="s">
        <v>119</v>
      </c>
      <c r="G193" s="1" t="s">
        <v>88</v>
      </c>
      <c r="H193" s="1" t="s">
        <v>255</v>
      </c>
      <c r="K193" s="1" t="s">
        <v>430</v>
      </c>
      <c r="L193" s="1" t="s">
        <v>827</v>
      </c>
      <c r="M193" s="1" t="s">
        <v>828</v>
      </c>
      <c r="N193" s="1" t="s">
        <v>259</v>
      </c>
      <c r="O193" s="1" t="s">
        <v>260</v>
      </c>
      <c r="P193" s="1"/>
      <c r="Q193" s="1" t="s">
        <v>70</v>
      </c>
      <c r="U193" s="1" t="s">
        <v>263</v>
      </c>
      <c r="Z193" s="1" t="s">
        <v>71</v>
      </c>
      <c r="AE193" s="1" t="s">
        <v>763</v>
      </c>
      <c r="AH193" s="1" t="s">
        <v>73</v>
      </c>
      <c r="AK193" s="1" t="s">
        <v>71</v>
      </c>
      <c r="AM193" s="1" t="s">
        <v>71</v>
      </c>
      <c r="AN193" s="1" t="s">
        <v>71</v>
      </c>
      <c r="AS193" s="1" t="s">
        <v>71</v>
      </c>
      <c r="AX193" s="1" t="s">
        <v>71</v>
      </c>
      <c r="AY193" s="1" t="s">
        <v>59</v>
      </c>
      <c r="AZ193" s="1" t="s">
        <v>74</v>
      </c>
      <c r="BH193" s="1" t="s">
        <v>71</v>
      </c>
    </row>
    <row r="194" customFormat="false" ht="15" hidden="false" customHeight="false" outlineLevel="0" collapsed="false">
      <c r="A194" s="1" t="s">
        <v>829</v>
      </c>
      <c r="B194" s="1" t="s">
        <v>830</v>
      </c>
      <c r="C194" s="1" t="s">
        <v>831</v>
      </c>
      <c r="D194" s="1" t="s">
        <v>832</v>
      </c>
      <c r="E194" s="1" t="s">
        <v>82</v>
      </c>
      <c r="F194" s="1" t="s">
        <v>391</v>
      </c>
      <c r="G194" s="1" t="s">
        <v>97</v>
      </c>
      <c r="H194" s="1" t="s">
        <v>406</v>
      </c>
      <c r="M194" s="1" t="s">
        <v>496</v>
      </c>
      <c r="N194" s="1" t="s">
        <v>460</v>
      </c>
      <c r="O194" s="1" t="s">
        <v>461</v>
      </c>
      <c r="P194" s="1"/>
      <c r="Q194" s="1" t="s">
        <v>70</v>
      </c>
      <c r="U194" s="1" t="s">
        <v>829</v>
      </c>
      <c r="Z194" s="1" t="s">
        <v>71</v>
      </c>
      <c r="AE194" s="1" t="s">
        <v>833</v>
      </c>
      <c r="AH194" s="1" t="s">
        <v>73</v>
      </c>
      <c r="AK194" s="1" t="s">
        <v>71</v>
      </c>
      <c r="AM194" s="1" t="s">
        <v>71</v>
      </c>
      <c r="AN194" s="1" t="s">
        <v>71</v>
      </c>
      <c r="AS194" s="1" t="s">
        <v>71</v>
      </c>
      <c r="BH194" s="1" t="s">
        <v>71</v>
      </c>
    </row>
    <row r="195" customFormat="false" ht="15" hidden="false" customHeight="false" outlineLevel="0" collapsed="false">
      <c r="A195" s="1" t="s">
        <v>834</v>
      </c>
      <c r="B195" s="1" t="s">
        <v>835</v>
      </c>
      <c r="C195" s="1" t="s">
        <v>831</v>
      </c>
      <c r="D195" s="1" t="s">
        <v>832</v>
      </c>
      <c r="E195" s="1" t="s">
        <v>82</v>
      </c>
      <c r="F195" s="1" t="s">
        <v>391</v>
      </c>
      <c r="G195" s="1" t="s">
        <v>97</v>
      </c>
      <c r="H195" s="1" t="s">
        <v>406</v>
      </c>
      <c r="K195" s="1" t="s">
        <v>836</v>
      </c>
      <c r="L195" s="1" t="s">
        <v>837</v>
      </c>
      <c r="M195" s="1" t="s">
        <v>496</v>
      </c>
      <c r="N195" s="1" t="s">
        <v>838</v>
      </c>
      <c r="O195" s="1" t="s">
        <v>400</v>
      </c>
      <c r="P195" s="1"/>
      <c r="Q195" s="1" t="s">
        <v>70</v>
      </c>
      <c r="U195" s="1" t="s">
        <v>834</v>
      </c>
      <c r="Z195" s="1" t="s">
        <v>71</v>
      </c>
      <c r="AE195" s="1" t="s">
        <v>833</v>
      </c>
      <c r="AH195" s="1" t="s">
        <v>73</v>
      </c>
      <c r="AK195" s="1" t="s">
        <v>71</v>
      </c>
      <c r="AM195" s="1" t="s">
        <v>71</v>
      </c>
      <c r="AN195" s="1" t="s">
        <v>71</v>
      </c>
      <c r="AS195" s="1" t="s">
        <v>71</v>
      </c>
      <c r="AX195" s="1" t="s">
        <v>71</v>
      </c>
      <c r="BH195" s="1" t="s">
        <v>71</v>
      </c>
    </row>
    <row r="196" customFormat="false" ht="15" hidden="false" customHeight="false" outlineLevel="0" collapsed="false">
      <c r="A196" s="1" t="s">
        <v>839</v>
      </c>
      <c r="B196" s="1" t="s">
        <v>840</v>
      </c>
      <c r="C196" s="1" t="s">
        <v>524</v>
      </c>
      <c r="D196" s="1" t="s">
        <v>841</v>
      </c>
      <c r="E196" s="1" t="s">
        <v>82</v>
      </c>
      <c r="F196" s="1" t="s">
        <v>391</v>
      </c>
      <c r="G196" s="1" t="s">
        <v>443</v>
      </c>
      <c r="H196" s="1" t="s">
        <v>444</v>
      </c>
      <c r="K196" s="1" t="s">
        <v>618</v>
      </c>
      <c r="L196" s="1" t="s">
        <v>619</v>
      </c>
      <c r="M196" s="1" t="s">
        <v>496</v>
      </c>
      <c r="N196" s="1" t="s">
        <v>842</v>
      </c>
      <c r="O196" s="1" t="s">
        <v>400</v>
      </c>
      <c r="P196" s="1"/>
      <c r="Q196" s="1" t="s">
        <v>70</v>
      </c>
      <c r="U196" s="1" t="s">
        <v>839</v>
      </c>
      <c r="Z196" s="1" t="s">
        <v>71</v>
      </c>
      <c r="AE196" s="1" t="s">
        <v>833</v>
      </c>
      <c r="AH196" s="1" t="s">
        <v>73</v>
      </c>
      <c r="AK196" s="1" t="s">
        <v>71</v>
      </c>
      <c r="AM196" s="1" t="s">
        <v>71</v>
      </c>
      <c r="AN196" s="1" t="s">
        <v>71</v>
      </c>
      <c r="AS196" s="1" t="s">
        <v>71</v>
      </c>
      <c r="AX196" s="1" t="s">
        <v>71</v>
      </c>
      <c r="BH196" s="1" t="s">
        <v>71</v>
      </c>
    </row>
    <row r="197" customFormat="false" ht="15" hidden="false" customHeight="false" outlineLevel="0" collapsed="false">
      <c r="A197" s="1" t="s">
        <v>843</v>
      </c>
      <c r="B197" s="1" t="s">
        <v>844</v>
      </c>
      <c r="C197" s="1" t="s">
        <v>831</v>
      </c>
      <c r="D197" s="1" t="s">
        <v>832</v>
      </c>
      <c r="E197" s="1" t="s">
        <v>82</v>
      </c>
      <c r="F197" s="1" t="s">
        <v>391</v>
      </c>
      <c r="G197" s="1" t="s">
        <v>97</v>
      </c>
      <c r="H197" s="1" t="s">
        <v>406</v>
      </c>
      <c r="K197" s="1" t="s">
        <v>836</v>
      </c>
      <c r="L197" s="1" t="s">
        <v>837</v>
      </c>
      <c r="M197" s="1" t="s">
        <v>496</v>
      </c>
      <c r="N197" s="1" t="s">
        <v>845</v>
      </c>
      <c r="O197" s="1" t="s">
        <v>846</v>
      </c>
      <c r="P197" s="1"/>
      <c r="Q197" s="1" t="s">
        <v>70</v>
      </c>
      <c r="U197" s="1" t="s">
        <v>843</v>
      </c>
      <c r="Z197" s="1" t="s">
        <v>71</v>
      </c>
      <c r="AE197" s="1" t="s">
        <v>833</v>
      </c>
      <c r="AH197" s="1" t="s">
        <v>73</v>
      </c>
      <c r="AK197" s="1" t="s">
        <v>71</v>
      </c>
      <c r="AM197" s="1" t="s">
        <v>71</v>
      </c>
      <c r="AN197" s="1" t="s">
        <v>71</v>
      </c>
      <c r="AS197" s="1" t="s">
        <v>71</v>
      </c>
      <c r="AX197" s="1" t="s">
        <v>71</v>
      </c>
      <c r="BH197" s="1" t="s">
        <v>71</v>
      </c>
    </row>
    <row r="198" customFormat="false" ht="15" hidden="false" customHeight="false" outlineLevel="0" collapsed="false">
      <c r="A198" s="1" t="s">
        <v>847</v>
      </c>
      <c r="B198" s="1" t="s">
        <v>848</v>
      </c>
      <c r="C198" s="1" t="s">
        <v>831</v>
      </c>
      <c r="D198" s="1" t="s">
        <v>832</v>
      </c>
      <c r="E198" s="1" t="s">
        <v>82</v>
      </c>
      <c r="F198" s="1" t="s">
        <v>391</v>
      </c>
      <c r="G198" s="1" t="s">
        <v>97</v>
      </c>
      <c r="H198" s="1" t="s">
        <v>406</v>
      </c>
      <c r="M198" s="1" t="s">
        <v>496</v>
      </c>
      <c r="N198" s="1" t="s">
        <v>845</v>
      </c>
      <c r="O198" s="1" t="s">
        <v>846</v>
      </c>
      <c r="P198" s="1"/>
      <c r="Q198" s="1" t="s">
        <v>70</v>
      </c>
      <c r="U198" s="1" t="s">
        <v>847</v>
      </c>
      <c r="Z198" s="1" t="s">
        <v>71</v>
      </c>
      <c r="AE198" s="1" t="s">
        <v>833</v>
      </c>
      <c r="AH198" s="1" t="s">
        <v>73</v>
      </c>
      <c r="AK198" s="1" t="s">
        <v>71</v>
      </c>
      <c r="AM198" s="1" t="s">
        <v>71</v>
      </c>
      <c r="AN198" s="1" t="s">
        <v>71</v>
      </c>
      <c r="AS198" s="1" t="s">
        <v>71</v>
      </c>
      <c r="BH198" s="1" t="s">
        <v>71</v>
      </c>
    </row>
    <row r="199" customFormat="false" ht="15" hidden="false" customHeight="false" outlineLevel="0" collapsed="false">
      <c r="A199" s="1" t="s">
        <v>849</v>
      </c>
      <c r="B199" s="1" t="s">
        <v>850</v>
      </c>
      <c r="C199" s="1" t="s">
        <v>831</v>
      </c>
      <c r="D199" s="1" t="s">
        <v>832</v>
      </c>
      <c r="E199" s="1" t="s">
        <v>82</v>
      </c>
      <c r="F199" s="1" t="s">
        <v>391</v>
      </c>
      <c r="G199" s="1" t="s">
        <v>97</v>
      </c>
      <c r="H199" s="1" t="s">
        <v>406</v>
      </c>
      <c r="M199" s="1" t="s">
        <v>496</v>
      </c>
      <c r="N199" s="1" t="s">
        <v>851</v>
      </c>
      <c r="O199" s="1" t="s">
        <v>400</v>
      </c>
      <c r="P199" s="1"/>
      <c r="Q199" s="1" t="s">
        <v>70</v>
      </c>
      <c r="U199" s="1" t="s">
        <v>849</v>
      </c>
      <c r="Z199" s="1" t="s">
        <v>71</v>
      </c>
      <c r="AE199" s="1" t="s">
        <v>833</v>
      </c>
      <c r="AH199" s="1" t="s">
        <v>73</v>
      </c>
      <c r="AK199" s="1" t="s">
        <v>71</v>
      </c>
      <c r="AM199" s="1" t="s">
        <v>71</v>
      </c>
      <c r="AN199" s="1" t="s">
        <v>71</v>
      </c>
      <c r="AS199" s="1" t="s">
        <v>71</v>
      </c>
      <c r="BH199" s="1" t="s">
        <v>71</v>
      </c>
    </row>
    <row r="200" customFormat="false" ht="15" hidden="false" customHeight="false" outlineLevel="0" collapsed="false">
      <c r="A200" s="1" t="s">
        <v>852</v>
      </c>
      <c r="B200" s="1" t="s">
        <v>853</v>
      </c>
      <c r="C200" s="1" t="s">
        <v>831</v>
      </c>
      <c r="D200" s="1" t="s">
        <v>832</v>
      </c>
      <c r="E200" s="1" t="s">
        <v>82</v>
      </c>
      <c r="F200" s="1" t="s">
        <v>391</v>
      </c>
      <c r="G200" s="1" t="s">
        <v>97</v>
      </c>
      <c r="H200" s="1" t="s">
        <v>406</v>
      </c>
      <c r="K200" s="1" t="s">
        <v>453</v>
      </c>
      <c r="L200" s="1" t="s">
        <v>454</v>
      </c>
      <c r="M200" s="1" t="s">
        <v>496</v>
      </c>
      <c r="N200" s="1" t="s">
        <v>854</v>
      </c>
      <c r="O200" s="1" t="s">
        <v>855</v>
      </c>
      <c r="P200" s="1"/>
      <c r="Q200" s="1" t="s">
        <v>70</v>
      </c>
      <c r="U200" s="1" t="s">
        <v>852</v>
      </c>
      <c r="Z200" s="1" t="s">
        <v>71</v>
      </c>
      <c r="AE200" s="1" t="s">
        <v>833</v>
      </c>
      <c r="AH200" s="1" t="s">
        <v>73</v>
      </c>
      <c r="AK200" s="1" t="s">
        <v>71</v>
      </c>
      <c r="AM200" s="1" t="s">
        <v>71</v>
      </c>
      <c r="AN200" s="1" t="s">
        <v>71</v>
      </c>
      <c r="AS200" s="1" t="s">
        <v>71</v>
      </c>
      <c r="AX200" s="1" t="s">
        <v>71</v>
      </c>
      <c r="BH200" s="1" t="s">
        <v>71</v>
      </c>
    </row>
    <row r="201" customFormat="false" ht="15" hidden="false" customHeight="false" outlineLevel="0" collapsed="false">
      <c r="A201" s="1" t="s">
        <v>856</v>
      </c>
      <c r="B201" s="1" t="s">
        <v>857</v>
      </c>
      <c r="C201" s="1" t="s">
        <v>831</v>
      </c>
      <c r="D201" s="1" t="s">
        <v>832</v>
      </c>
      <c r="E201" s="1" t="s">
        <v>82</v>
      </c>
      <c r="F201" s="1" t="s">
        <v>391</v>
      </c>
      <c r="G201" s="1" t="s">
        <v>97</v>
      </c>
      <c r="H201" s="1" t="s">
        <v>406</v>
      </c>
      <c r="K201" s="1" t="s">
        <v>836</v>
      </c>
      <c r="L201" s="1" t="s">
        <v>837</v>
      </c>
      <c r="M201" s="1" t="s">
        <v>496</v>
      </c>
      <c r="N201" s="1" t="s">
        <v>416</v>
      </c>
      <c r="O201" s="1" t="s">
        <v>417</v>
      </c>
      <c r="P201" s="1"/>
      <c r="Q201" s="1" t="s">
        <v>70</v>
      </c>
      <c r="U201" s="1" t="s">
        <v>856</v>
      </c>
      <c r="Z201" s="1" t="s">
        <v>71</v>
      </c>
      <c r="AE201" s="1" t="s">
        <v>833</v>
      </c>
      <c r="AH201" s="1" t="s">
        <v>73</v>
      </c>
      <c r="AK201" s="1" t="s">
        <v>71</v>
      </c>
      <c r="AM201" s="1" t="s">
        <v>71</v>
      </c>
      <c r="AN201" s="1" t="s">
        <v>71</v>
      </c>
      <c r="AS201" s="1" t="s">
        <v>71</v>
      </c>
      <c r="AX201" s="1" t="s">
        <v>71</v>
      </c>
      <c r="BH201" s="1" t="s">
        <v>71</v>
      </c>
    </row>
    <row r="202" customFormat="false" ht="15" hidden="false" customHeight="false" outlineLevel="0" collapsed="false">
      <c r="A202" s="1" t="s">
        <v>858</v>
      </c>
      <c r="B202" s="1" t="s">
        <v>859</v>
      </c>
      <c r="C202" s="1" t="s">
        <v>831</v>
      </c>
      <c r="D202" s="1" t="s">
        <v>832</v>
      </c>
      <c r="E202" s="1" t="s">
        <v>82</v>
      </c>
      <c r="F202" s="1" t="s">
        <v>391</v>
      </c>
      <c r="G202" s="1" t="s">
        <v>97</v>
      </c>
      <c r="H202" s="1" t="s">
        <v>406</v>
      </c>
      <c r="K202" s="1" t="s">
        <v>65</v>
      </c>
      <c r="L202" s="1" t="s">
        <v>860</v>
      </c>
      <c r="M202" s="1" t="s">
        <v>496</v>
      </c>
      <c r="N202" s="1" t="s">
        <v>861</v>
      </c>
      <c r="O202" s="1" t="s">
        <v>862</v>
      </c>
      <c r="P202" s="1"/>
      <c r="Q202" s="1" t="s">
        <v>70</v>
      </c>
      <c r="U202" s="1" t="s">
        <v>858</v>
      </c>
      <c r="Z202" s="1" t="s">
        <v>71</v>
      </c>
      <c r="AE202" s="1" t="s">
        <v>833</v>
      </c>
      <c r="AH202" s="1" t="s">
        <v>73</v>
      </c>
      <c r="AK202" s="1" t="s">
        <v>71</v>
      </c>
      <c r="AM202" s="1" t="s">
        <v>71</v>
      </c>
      <c r="AN202" s="1" t="s">
        <v>71</v>
      </c>
      <c r="AS202" s="1" t="s">
        <v>71</v>
      </c>
      <c r="AX202" s="1" t="s">
        <v>71</v>
      </c>
      <c r="BH202" s="1" t="s">
        <v>71</v>
      </c>
    </row>
    <row r="203" customFormat="false" ht="15" hidden="false" customHeight="false" outlineLevel="0" collapsed="false">
      <c r="A203" s="1" t="s">
        <v>863</v>
      </c>
      <c r="B203" s="1" t="s">
        <v>864</v>
      </c>
      <c r="C203" s="1" t="s">
        <v>831</v>
      </c>
      <c r="D203" s="1" t="s">
        <v>832</v>
      </c>
      <c r="E203" s="1" t="s">
        <v>82</v>
      </c>
      <c r="F203" s="1" t="s">
        <v>391</v>
      </c>
      <c r="G203" s="1" t="s">
        <v>97</v>
      </c>
      <c r="H203" s="1" t="s">
        <v>406</v>
      </c>
      <c r="M203" s="1" t="s">
        <v>496</v>
      </c>
      <c r="N203" s="1" t="s">
        <v>865</v>
      </c>
      <c r="O203" s="1" t="s">
        <v>400</v>
      </c>
      <c r="P203" s="1"/>
      <c r="Q203" s="1" t="s">
        <v>70</v>
      </c>
      <c r="U203" s="1" t="s">
        <v>863</v>
      </c>
      <c r="Z203" s="1" t="s">
        <v>71</v>
      </c>
      <c r="AE203" s="1" t="s">
        <v>833</v>
      </c>
      <c r="AH203" s="1" t="s">
        <v>73</v>
      </c>
      <c r="AK203" s="1" t="s">
        <v>71</v>
      </c>
      <c r="AM203" s="1" t="s">
        <v>71</v>
      </c>
      <c r="AN203" s="1" t="s">
        <v>71</v>
      </c>
      <c r="AS203" s="1" t="s">
        <v>71</v>
      </c>
      <c r="BH203" s="1" t="s">
        <v>71</v>
      </c>
    </row>
    <row r="204" customFormat="false" ht="15" hidden="false" customHeight="false" outlineLevel="0" collapsed="false">
      <c r="A204" s="1" t="s">
        <v>866</v>
      </c>
      <c r="B204" s="1" t="s">
        <v>867</v>
      </c>
      <c r="C204" s="1" t="s">
        <v>831</v>
      </c>
      <c r="D204" s="1" t="s">
        <v>832</v>
      </c>
      <c r="E204" s="1" t="s">
        <v>82</v>
      </c>
      <c r="F204" s="1" t="s">
        <v>391</v>
      </c>
      <c r="G204" s="1" t="s">
        <v>97</v>
      </c>
      <c r="H204" s="1" t="s">
        <v>406</v>
      </c>
      <c r="K204" s="1" t="s">
        <v>453</v>
      </c>
      <c r="L204" s="1" t="s">
        <v>454</v>
      </c>
      <c r="M204" s="1" t="s">
        <v>496</v>
      </c>
      <c r="N204" s="1" t="s">
        <v>861</v>
      </c>
      <c r="O204" s="1" t="s">
        <v>862</v>
      </c>
      <c r="P204" s="1"/>
      <c r="Q204" s="1" t="s">
        <v>70</v>
      </c>
      <c r="U204" s="1" t="s">
        <v>866</v>
      </c>
      <c r="Z204" s="1" t="s">
        <v>71</v>
      </c>
      <c r="AE204" s="1" t="s">
        <v>833</v>
      </c>
      <c r="AH204" s="1" t="s">
        <v>73</v>
      </c>
      <c r="AK204" s="1" t="s">
        <v>71</v>
      </c>
      <c r="AM204" s="1" t="s">
        <v>71</v>
      </c>
      <c r="AN204" s="1" t="s">
        <v>71</v>
      </c>
      <c r="AS204" s="1" t="s">
        <v>71</v>
      </c>
      <c r="AX204" s="1" t="s">
        <v>71</v>
      </c>
      <c r="BH204" s="1" t="s">
        <v>71</v>
      </c>
    </row>
    <row r="205" customFormat="false" ht="15" hidden="false" customHeight="false" outlineLevel="0" collapsed="false">
      <c r="A205" s="1" t="s">
        <v>868</v>
      </c>
      <c r="B205" s="1" t="s">
        <v>869</v>
      </c>
      <c r="C205" s="1" t="s">
        <v>831</v>
      </c>
      <c r="D205" s="1" t="s">
        <v>832</v>
      </c>
      <c r="E205" s="1" t="s">
        <v>82</v>
      </c>
      <c r="F205" s="1" t="s">
        <v>391</v>
      </c>
      <c r="G205" s="1" t="s">
        <v>97</v>
      </c>
      <c r="H205" s="1" t="s">
        <v>406</v>
      </c>
      <c r="M205" s="1" t="s">
        <v>496</v>
      </c>
      <c r="N205" s="1" t="s">
        <v>870</v>
      </c>
      <c r="O205" s="1" t="s">
        <v>871</v>
      </c>
      <c r="P205" s="1"/>
      <c r="Q205" s="1" t="s">
        <v>70</v>
      </c>
      <c r="U205" s="1" t="s">
        <v>868</v>
      </c>
      <c r="Z205" s="1" t="s">
        <v>71</v>
      </c>
      <c r="AE205" s="1" t="s">
        <v>833</v>
      </c>
      <c r="AH205" s="1" t="s">
        <v>73</v>
      </c>
      <c r="AK205" s="1" t="s">
        <v>71</v>
      </c>
      <c r="AM205" s="1" t="s">
        <v>71</v>
      </c>
      <c r="AN205" s="1" t="s">
        <v>71</v>
      </c>
      <c r="AS205" s="1" t="s">
        <v>71</v>
      </c>
      <c r="BH205" s="1" t="s">
        <v>71</v>
      </c>
    </row>
    <row r="206" customFormat="false" ht="15" hidden="false" customHeight="false" outlineLevel="0" collapsed="false">
      <c r="A206" s="1" t="s">
        <v>872</v>
      </c>
      <c r="B206" s="1" t="s">
        <v>873</v>
      </c>
      <c r="C206" s="1" t="s">
        <v>831</v>
      </c>
      <c r="D206" s="1" t="s">
        <v>832</v>
      </c>
      <c r="E206" s="1" t="s">
        <v>82</v>
      </c>
      <c r="F206" s="1" t="s">
        <v>391</v>
      </c>
      <c r="G206" s="1" t="s">
        <v>97</v>
      </c>
      <c r="H206" s="1" t="s">
        <v>406</v>
      </c>
      <c r="K206" s="1" t="s">
        <v>453</v>
      </c>
      <c r="L206" s="1" t="s">
        <v>454</v>
      </c>
      <c r="M206" s="1" t="s">
        <v>496</v>
      </c>
      <c r="N206" s="1" t="s">
        <v>861</v>
      </c>
      <c r="O206" s="1" t="s">
        <v>862</v>
      </c>
      <c r="P206" s="1"/>
      <c r="Q206" s="1" t="s">
        <v>70</v>
      </c>
      <c r="U206" s="1" t="s">
        <v>872</v>
      </c>
      <c r="Z206" s="1" t="s">
        <v>71</v>
      </c>
      <c r="AE206" s="1" t="s">
        <v>833</v>
      </c>
      <c r="AH206" s="1" t="s">
        <v>73</v>
      </c>
      <c r="AK206" s="1" t="s">
        <v>71</v>
      </c>
      <c r="AM206" s="1" t="s">
        <v>71</v>
      </c>
      <c r="AN206" s="1" t="s">
        <v>71</v>
      </c>
      <c r="AS206" s="1" t="s">
        <v>71</v>
      </c>
      <c r="AX206" s="1" t="s">
        <v>71</v>
      </c>
      <c r="BH206" s="1" t="s">
        <v>71</v>
      </c>
    </row>
    <row r="207" customFormat="false" ht="15" hidden="false" customHeight="false" outlineLevel="0" collapsed="false">
      <c r="A207" s="1" t="s">
        <v>874</v>
      </c>
      <c r="B207" s="1" t="s">
        <v>875</v>
      </c>
      <c r="C207" s="1" t="s">
        <v>526</v>
      </c>
      <c r="D207" s="1" t="s">
        <v>527</v>
      </c>
      <c r="E207" s="1" t="s">
        <v>82</v>
      </c>
      <c r="F207" s="1" t="s">
        <v>391</v>
      </c>
      <c r="G207" s="1" t="s">
        <v>213</v>
      </c>
      <c r="H207" s="1" t="s">
        <v>477</v>
      </c>
      <c r="K207" s="1" t="s">
        <v>478</v>
      </c>
      <c r="L207" s="1" t="s">
        <v>479</v>
      </c>
      <c r="M207" s="1" t="s">
        <v>496</v>
      </c>
      <c r="N207" s="1" t="s">
        <v>536</v>
      </c>
      <c r="O207" s="1" t="s">
        <v>537</v>
      </c>
      <c r="P207" s="1"/>
      <c r="Q207" s="1" t="s">
        <v>70</v>
      </c>
      <c r="U207" s="1" t="s">
        <v>874</v>
      </c>
      <c r="Z207" s="1" t="s">
        <v>71</v>
      </c>
      <c r="AE207" s="1" t="s">
        <v>833</v>
      </c>
      <c r="AH207" s="1" t="s">
        <v>73</v>
      </c>
      <c r="AK207" s="1" t="s">
        <v>71</v>
      </c>
      <c r="AM207" s="1" t="s">
        <v>71</v>
      </c>
      <c r="AN207" s="1" t="s">
        <v>71</v>
      </c>
      <c r="AS207" s="1" t="s">
        <v>71</v>
      </c>
      <c r="AX207" s="1" t="s">
        <v>71</v>
      </c>
      <c r="BH207" s="1" t="s">
        <v>71</v>
      </c>
    </row>
    <row r="208" customFormat="false" ht="15" hidden="false" customHeight="false" outlineLevel="0" collapsed="false">
      <c r="A208" s="1" t="s">
        <v>876</v>
      </c>
      <c r="B208" s="1" t="s">
        <v>877</v>
      </c>
      <c r="C208" s="1" t="s">
        <v>526</v>
      </c>
      <c r="D208" s="1" t="s">
        <v>527</v>
      </c>
      <c r="E208" s="1" t="s">
        <v>82</v>
      </c>
      <c r="F208" s="1" t="s">
        <v>391</v>
      </c>
      <c r="G208" s="1" t="s">
        <v>213</v>
      </c>
      <c r="H208" s="1" t="s">
        <v>477</v>
      </c>
      <c r="K208" s="1" t="s">
        <v>478</v>
      </c>
      <c r="L208" s="1" t="s">
        <v>479</v>
      </c>
      <c r="M208" s="1" t="s">
        <v>496</v>
      </c>
      <c r="N208" s="1" t="s">
        <v>518</v>
      </c>
      <c r="O208" s="1" t="s">
        <v>519</v>
      </c>
      <c r="P208" s="1"/>
      <c r="Q208" s="1" t="s">
        <v>70</v>
      </c>
      <c r="U208" s="1" t="s">
        <v>876</v>
      </c>
      <c r="Z208" s="1" t="s">
        <v>71</v>
      </c>
      <c r="AE208" s="1" t="s">
        <v>833</v>
      </c>
      <c r="AH208" s="1" t="s">
        <v>73</v>
      </c>
      <c r="AK208" s="1" t="s">
        <v>71</v>
      </c>
      <c r="AM208" s="1" t="s">
        <v>71</v>
      </c>
      <c r="AN208" s="1" t="s">
        <v>71</v>
      </c>
      <c r="AS208" s="1" t="s">
        <v>71</v>
      </c>
      <c r="AX208" s="1" t="s">
        <v>71</v>
      </c>
      <c r="BH208" s="1" t="s">
        <v>71</v>
      </c>
    </row>
    <row r="209" customFormat="false" ht="15" hidden="false" customHeight="false" outlineLevel="0" collapsed="false">
      <c r="A209" s="1" t="s">
        <v>878</v>
      </c>
      <c r="B209" s="1" t="s">
        <v>879</v>
      </c>
      <c r="C209" s="1" t="s">
        <v>526</v>
      </c>
      <c r="D209" s="1" t="s">
        <v>527</v>
      </c>
      <c r="E209" s="1" t="s">
        <v>82</v>
      </c>
      <c r="F209" s="1" t="s">
        <v>391</v>
      </c>
      <c r="G209" s="1" t="s">
        <v>97</v>
      </c>
      <c r="H209" s="1" t="s">
        <v>406</v>
      </c>
      <c r="M209" s="1" t="s">
        <v>496</v>
      </c>
      <c r="N209" s="1" t="s">
        <v>880</v>
      </c>
      <c r="O209" s="1" t="s">
        <v>881</v>
      </c>
      <c r="P209" s="1"/>
      <c r="Q209" s="1" t="s">
        <v>70</v>
      </c>
      <c r="U209" s="1" t="s">
        <v>878</v>
      </c>
      <c r="Z209" s="1" t="s">
        <v>71</v>
      </c>
      <c r="AE209" s="1" t="s">
        <v>833</v>
      </c>
      <c r="AH209" s="1" t="s">
        <v>73</v>
      </c>
      <c r="AK209" s="1" t="s">
        <v>71</v>
      </c>
      <c r="AM209" s="1" t="s">
        <v>71</v>
      </c>
      <c r="AN209" s="1" t="s">
        <v>71</v>
      </c>
      <c r="AS209" s="1" t="s">
        <v>71</v>
      </c>
      <c r="BH209" s="1" t="s">
        <v>71</v>
      </c>
    </row>
    <row r="210" customFormat="false" ht="15" hidden="false" customHeight="false" outlineLevel="0" collapsed="false">
      <c r="A210" s="1" t="s">
        <v>882</v>
      </c>
      <c r="B210" s="1" t="s">
        <v>883</v>
      </c>
      <c r="C210" s="1" t="s">
        <v>526</v>
      </c>
      <c r="D210" s="1" t="s">
        <v>527</v>
      </c>
      <c r="E210" s="1" t="s">
        <v>82</v>
      </c>
      <c r="F210" s="1" t="s">
        <v>391</v>
      </c>
      <c r="G210" s="1" t="s">
        <v>213</v>
      </c>
      <c r="H210" s="1" t="s">
        <v>477</v>
      </c>
      <c r="K210" s="1" t="s">
        <v>478</v>
      </c>
      <c r="L210" s="1" t="s">
        <v>479</v>
      </c>
      <c r="M210" s="1" t="s">
        <v>496</v>
      </c>
      <c r="N210" s="1" t="s">
        <v>884</v>
      </c>
      <c r="O210" s="1" t="s">
        <v>447</v>
      </c>
      <c r="P210" s="1"/>
      <c r="Q210" s="1" t="s">
        <v>70</v>
      </c>
      <c r="U210" s="1" t="s">
        <v>882</v>
      </c>
      <c r="Z210" s="1" t="s">
        <v>71</v>
      </c>
      <c r="AE210" s="1" t="s">
        <v>833</v>
      </c>
      <c r="AH210" s="1" t="s">
        <v>73</v>
      </c>
      <c r="AK210" s="1" t="s">
        <v>71</v>
      </c>
      <c r="AM210" s="1" t="s">
        <v>71</v>
      </c>
      <c r="AN210" s="1" t="s">
        <v>71</v>
      </c>
      <c r="AS210" s="1" t="s">
        <v>71</v>
      </c>
      <c r="AX210" s="1" t="s">
        <v>71</v>
      </c>
      <c r="BH210" s="1" t="s">
        <v>71</v>
      </c>
    </row>
    <row r="211" customFormat="false" ht="15" hidden="false" customHeight="false" outlineLevel="0" collapsed="false">
      <c r="A211" s="1" t="s">
        <v>885</v>
      </c>
      <c r="B211" s="1" t="s">
        <v>886</v>
      </c>
      <c r="C211" s="1" t="s">
        <v>526</v>
      </c>
      <c r="D211" s="1" t="s">
        <v>527</v>
      </c>
      <c r="E211" s="1" t="s">
        <v>82</v>
      </c>
      <c r="F211" s="1" t="s">
        <v>391</v>
      </c>
      <c r="G211" s="1" t="s">
        <v>213</v>
      </c>
      <c r="H211" s="1" t="s">
        <v>477</v>
      </c>
      <c r="K211" s="1" t="s">
        <v>887</v>
      </c>
      <c r="L211" s="1" t="s">
        <v>888</v>
      </c>
      <c r="M211" s="1" t="s">
        <v>496</v>
      </c>
      <c r="N211" s="1" t="s">
        <v>889</v>
      </c>
      <c r="O211" s="1" t="s">
        <v>400</v>
      </c>
      <c r="P211" s="1"/>
      <c r="Q211" s="1" t="s">
        <v>70</v>
      </c>
      <c r="U211" s="1" t="s">
        <v>885</v>
      </c>
      <c r="Z211" s="1" t="s">
        <v>71</v>
      </c>
      <c r="AE211" s="1" t="s">
        <v>833</v>
      </c>
      <c r="AH211" s="1" t="s">
        <v>73</v>
      </c>
      <c r="AK211" s="1" t="s">
        <v>71</v>
      </c>
      <c r="AM211" s="1" t="s">
        <v>71</v>
      </c>
      <c r="AN211" s="1" t="s">
        <v>71</v>
      </c>
      <c r="AS211" s="1" t="s">
        <v>71</v>
      </c>
      <c r="AX211" s="1" t="s">
        <v>71</v>
      </c>
      <c r="BH211" s="1" t="s">
        <v>71</v>
      </c>
    </row>
    <row r="212" customFormat="false" ht="15" hidden="false" customHeight="false" outlineLevel="0" collapsed="false">
      <c r="A212" s="1" t="s">
        <v>890</v>
      </c>
      <c r="B212" s="1" t="s">
        <v>891</v>
      </c>
      <c r="C212" s="1" t="s">
        <v>526</v>
      </c>
      <c r="D212" s="1" t="s">
        <v>527</v>
      </c>
      <c r="E212" s="1" t="s">
        <v>82</v>
      </c>
      <c r="F212" s="1" t="s">
        <v>391</v>
      </c>
      <c r="G212" s="1" t="s">
        <v>97</v>
      </c>
      <c r="H212" s="1" t="s">
        <v>406</v>
      </c>
      <c r="M212" s="1" t="s">
        <v>496</v>
      </c>
      <c r="N212" s="1" t="s">
        <v>889</v>
      </c>
      <c r="O212" s="1" t="s">
        <v>400</v>
      </c>
      <c r="P212" s="1"/>
      <c r="Q212" s="1" t="s">
        <v>70</v>
      </c>
      <c r="U212" s="1" t="s">
        <v>890</v>
      </c>
      <c r="Z212" s="1" t="s">
        <v>71</v>
      </c>
      <c r="AE212" s="1" t="s">
        <v>833</v>
      </c>
      <c r="AH212" s="1" t="s">
        <v>73</v>
      </c>
      <c r="AK212" s="1" t="s">
        <v>71</v>
      </c>
      <c r="AM212" s="1" t="s">
        <v>71</v>
      </c>
      <c r="AN212" s="1" t="s">
        <v>71</v>
      </c>
      <c r="AS212" s="1" t="s">
        <v>71</v>
      </c>
      <c r="BH212" s="1" t="s">
        <v>71</v>
      </c>
    </row>
    <row r="213" customFormat="false" ht="15" hidden="false" customHeight="false" outlineLevel="0" collapsed="false">
      <c r="A213" s="1" t="s">
        <v>892</v>
      </c>
      <c r="B213" s="1" t="s">
        <v>893</v>
      </c>
      <c r="C213" s="1" t="s">
        <v>526</v>
      </c>
      <c r="D213" s="1" t="s">
        <v>527</v>
      </c>
      <c r="E213" s="1" t="s">
        <v>82</v>
      </c>
      <c r="F213" s="1" t="s">
        <v>391</v>
      </c>
      <c r="G213" s="1" t="s">
        <v>97</v>
      </c>
      <c r="H213" s="1" t="s">
        <v>406</v>
      </c>
      <c r="M213" s="1" t="s">
        <v>496</v>
      </c>
      <c r="N213" s="1" t="s">
        <v>894</v>
      </c>
      <c r="O213" s="1" t="s">
        <v>400</v>
      </c>
      <c r="P213" s="1"/>
      <c r="Q213" s="1" t="s">
        <v>70</v>
      </c>
      <c r="U213" s="1" t="s">
        <v>892</v>
      </c>
      <c r="Z213" s="1" t="s">
        <v>71</v>
      </c>
      <c r="AE213" s="1" t="s">
        <v>833</v>
      </c>
      <c r="AH213" s="1" t="s">
        <v>73</v>
      </c>
      <c r="AK213" s="1" t="s">
        <v>71</v>
      </c>
      <c r="AM213" s="1" t="s">
        <v>71</v>
      </c>
      <c r="AN213" s="1" t="s">
        <v>71</v>
      </c>
      <c r="AS213" s="1" t="s">
        <v>71</v>
      </c>
      <c r="BH213" s="1" t="s">
        <v>71</v>
      </c>
    </row>
    <row r="214" customFormat="false" ht="15" hidden="false" customHeight="false" outlineLevel="0" collapsed="false">
      <c r="A214" s="1" t="s">
        <v>895</v>
      </c>
      <c r="B214" s="1" t="s">
        <v>896</v>
      </c>
      <c r="C214" s="1" t="s">
        <v>265</v>
      </c>
      <c r="D214" s="1" t="s">
        <v>897</v>
      </c>
      <c r="E214" s="1" t="s">
        <v>82</v>
      </c>
      <c r="F214" s="1" t="s">
        <v>391</v>
      </c>
      <c r="G214" s="1" t="s">
        <v>97</v>
      </c>
      <c r="H214" s="1" t="s">
        <v>406</v>
      </c>
      <c r="M214" s="1" t="s">
        <v>496</v>
      </c>
      <c r="N214" s="1" t="s">
        <v>446</v>
      </c>
      <c r="O214" s="1" t="s">
        <v>447</v>
      </c>
      <c r="P214" s="1"/>
      <c r="Q214" s="1" t="s">
        <v>70</v>
      </c>
      <c r="U214" s="1" t="s">
        <v>895</v>
      </c>
      <c r="Z214" s="1" t="s">
        <v>71</v>
      </c>
      <c r="AE214" s="1" t="s">
        <v>833</v>
      </c>
      <c r="AH214" s="1" t="s">
        <v>73</v>
      </c>
      <c r="AK214" s="1" t="s">
        <v>71</v>
      </c>
      <c r="AM214" s="1" t="s">
        <v>71</v>
      </c>
      <c r="AN214" s="1" t="s">
        <v>71</v>
      </c>
      <c r="AS214" s="1" t="s">
        <v>71</v>
      </c>
      <c r="BH214" s="1" t="s">
        <v>71</v>
      </c>
    </row>
    <row r="215" customFormat="false" ht="15" hidden="false" customHeight="false" outlineLevel="0" collapsed="false">
      <c r="A215" s="1" t="s">
        <v>898</v>
      </c>
      <c r="B215" s="1" t="s">
        <v>899</v>
      </c>
      <c r="C215" s="1" t="s">
        <v>718</v>
      </c>
      <c r="D215" s="1" t="s">
        <v>900</v>
      </c>
      <c r="E215" s="1" t="s">
        <v>82</v>
      </c>
      <c r="F215" s="1" t="s">
        <v>391</v>
      </c>
      <c r="G215" s="1" t="s">
        <v>213</v>
      </c>
      <c r="H215" s="1" t="s">
        <v>477</v>
      </c>
      <c r="K215" s="1" t="s">
        <v>478</v>
      </c>
      <c r="L215" s="1" t="s">
        <v>479</v>
      </c>
      <c r="M215" s="1" t="s">
        <v>496</v>
      </c>
      <c r="N215" s="1" t="s">
        <v>608</v>
      </c>
      <c r="O215" s="1" t="s">
        <v>609</v>
      </c>
      <c r="P215" s="1"/>
      <c r="Q215" s="1" t="s">
        <v>70</v>
      </c>
      <c r="U215" s="1" t="s">
        <v>898</v>
      </c>
      <c r="Z215" s="1" t="s">
        <v>71</v>
      </c>
      <c r="AE215" s="1" t="s">
        <v>833</v>
      </c>
      <c r="AH215" s="1" t="s">
        <v>73</v>
      </c>
      <c r="AK215" s="1" t="s">
        <v>71</v>
      </c>
      <c r="AM215" s="1" t="s">
        <v>71</v>
      </c>
      <c r="AN215" s="1" t="s">
        <v>71</v>
      </c>
      <c r="AS215" s="1" t="s">
        <v>71</v>
      </c>
      <c r="AX215" s="1" t="s">
        <v>71</v>
      </c>
      <c r="BH215" s="1" t="s">
        <v>71</v>
      </c>
    </row>
    <row r="216" customFormat="false" ht="15" hidden="false" customHeight="false" outlineLevel="0" collapsed="false">
      <c r="A216" s="1" t="s">
        <v>901</v>
      </c>
      <c r="B216" s="1" t="s">
        <v>902</v>
      </c>
      <c r="C216" s="1" t="s">
        <v>265</v>
      </c>
      <c r="D216" s="1" t="s">
        <v>897</v>
      </c>
      <c r="E216" s="1" t="s">
        <v>82</v>
      </c>
      <c r="F216" s="1" t="s">
        <v>391</v>
      </c>
      <c r="G216" s="1" t="s">
        <v>182</v>
      </c>
      <c r="H216" s="1" t="s">
        <v>392</v>
      </c>
      <c r="K216" s="1" t="s">
        <v>903</v>
      </c>
      <c r="L216" s="1" t="s">
        <v>904</v>
      </c>
      <c r="M216" s="1" t="s">
        <v>496</v>
      </c>
      <c r="N216" s="1" t="s">
        <v>905</v>
      </c>
      <c r="O216" s="1" t="s">
        <v>906</v>
      </c>
      <c r="P216" s="1"/>
      <c r="Q216" s="1" t="s">
        <v>70</v>
      </c>
      <c r="U216" s="1" t="s">
        <v>901</v>
      </c>
      <c r="Z216" s="1" t="s">
        <v>71</v>
      </c>
      <c r="AE216" s="1" t="s">
        <v>833</v>
      </c>
      <c r="AH216" s="1" t="s">
        <v>73</v>
      </c>
      <c r="AK216" s="1" t="s">
        <v>71</v>
      </c>
      <c r="AM216" s="1" t="s">
        <v>71</v>
      </c>
      <c r="AN216" s="1" t="s">
        <v>71</v>
      </c>
      <c r="AS216" s="1" t="s">
        <v>71</v>
      </c>
      <c r="AX216" s="1" t="s">
        <v>71</v>
      </c>
      <c r="BH216" s="1" t="s">
        <v>71</v>
      </c>
    </row>
    <row r="217" customFormat="false" ht="15" hidden="false" customHeight="false" outlineLevel="0" collapsed="false">
      <c r="A217" s="1" t="s">
        <v>907</v>
      </c>
      <c r="B217" s="1" t="s">
        <v>908</v>
      </c>
      <c r="C217" s="1" t="s">
        <v>265</v>
      </c>
      <c r="D217" s="1" t="s">
        <v>897</v>
      </c>
      <c r="E217" s="1" t="s">
        <v>82</v>
      </c>
      <c r="F217" s="1" t="s">
        <v>391</v>
      </c>
      <c r="G217" s="1" t="s">
        <v>213</v>
      </c>
      <c r="H217" s="1" t="s">
        <v>477</v>
      </c>
      <c r="K217" s="1" t="s">
        <v>478</v>
      </c>
      <c r="L217" s="1" t="s">
        <v>479</v>
      </c>
      <c r="M217" s="1" t="s">
        <v>496</v>
      </c>
      <c r="N217" s="1" t="s">
        <v>798</v>
      </c>
      <c r="O217" s="1" t="s">
        <v>799</v>
      </c>
      <c r="P217" s="1"/>
      <c r="Q217" s="1" t="s">
        <v>70</v>
      </c>
      <c r="U217" s="1" t="s">
        <v>907</v>
      </c>
      <c r="Z217" s="1" t="s">
        <v>71</v>
      </c>
      <c r="AE217" s="1" t="s">
        <v>833</v>
      </c>
      <c r="AH217" s="1" t="s">
        <v>73</v>
      </c>
      <c r="AK217" s="1" t="s">
        <v>71</v>
      </c>
      <c r="AM217" s="1" t="s">
        <v>71</v>
      </c>
      <c r="AN217" s="1" t="s">
        <v>71</v>
      </c>
      <c r="AS217" s="1" t="s">
        <v>71</v>
      </c>
      <c r="AX217" s="1" t="s">
        <v>71</v>
      </c>
      <c r="BH217" s="1" t="s">
        <v>71</v>
      </c>
    </row>
    <row r="218" customFormat="false" ht="15" hidden="false" customHeight="false" outlineLevel="0" collapsed="false">
      <c r="A218" s="1" t="s">
        <v>909</v>
      </c>
      <c r="B218" s="1" t="s">
        <v>910</v>
      </c>
      <c r="C218" s="1" t="s">
        <v>265</v>
      </c>
      <c r="D218" s="1" t="s">
        <v>897</v>
      </c>
      <c r="E218" s="1" t="s">
        <v>82</v>
      </c>
      <c r="F218" s="1" t="s">
        <v>391</v>
      </c>
      <c r="G218" s="1" t="s">
        <v>97</v>
      </c>
      <c r="H218" s="1" t="s">
        <v>406</v>
      </c>
      <c r="M218" s="1" t="s">
        <v>496</v>
      </c>
      <c r="N218" s="1" t="s">
        <v>911</v>
      </c>
      <c r="O218" s="1" t="s">
        <v>912</v>
      </c>
      <c r="P218" s="1"/>
      <c r="Q218" s="1" t="s">
        <v>70</v>
      </c>
      <c r="U218" s="1" t="s">
        <v>909</v>
      </c>
      <c r="Z218" s="1" t="s">
        <v>71</v>
      </c>
      <c r="AE218" s="1" t="s">
        <v>833</v>
      </c>
      <c r="AH218" s="1" t="s">
        <v>73</v>
      </c>
      <c r="AK218" s="1" t="s">
        <v>71</v>
      </c>
      <c r="AM218" s="1" t="s">
        <v>71</v>
      </c>
      <c r="AN218" s="1" t="s">
        <v>71</v>
      </c>
      <c r="AS218" s="1" t="s">
        <v>71</v>
      </c>
      <c r="BH218" s="1" t="s">
        <v>71</v>
      </c>
    </row>
    <row r="219" customFormat="false" ht="15" hidden="false" customHeight="false" outlineLevel="0" collapsed="false">
      <c r="A219" s="1" t="s">
        <v>913</v>
      </c>
      <c r="B219" s="1" t="s">
        <v>914</v>
      </c>
      <c r="C219" s="1" t="s">
        <v>265</v>
      </c>
      <c r="D219" s="1" t="s">
        <v>897</v>
      </c>
      <c r="E219" s="1" t="s">
        <v>82</v>
      </c>
      <c r="F219" s="1" t="s">
        <v>391</v>
      </c>
      <c r="G219" s="1" t="s">
        <v>97</v>
      </c>
      <c r="H219" s="1" t="s">
        <v>406</v>
      </c>
      <c r="M219" s="1" t="s">
        <v>496</v>
      </c>
      <c r="N219" s="1" t="s">
        <v>915</v>
      </c>
      <c r="O219" s="1" t="s">
        <v>400</v>
      </c>
      <c r="P219" s="1"/>
      <c r="Q219" s="1" t="s">
        <v>70</v>
      </c>
      <c r="U219" s="1" t="s">
        <v>913</v>
      </c>
      <c r="Z219" s="1" t="s">
        <v>71</v>
      </c>
      <c r="AE219" s="1" t="s">
        <v>833</v>
      </c>
      <c r="AH219" s="1" t="s">
        <v>73</v>
      </c>
      <c r="AK219" s="1" t="s">
        <v>71</v>
      </c>
      <c r="AM219" s="1" t="s">
        <v>71</v>
      </c>
      <c r="AN219" s="1" t="s">
        <v>71</v>
      </c>
      <c r="AS219" s="1" t="s">
        <v>71</v>
      </c>
      <c r="BH219" s="1" t="s">
        <v>71</v>
      </c>
    </row>
    <row r="220" customFormat="false" ht="15" hidden="false" customHeight="false" outlineLevel="0" collapsed="false">
      <c r="A220" s="1" t="s">
        <v>916</v>
      </c>
      <c r="B220" s="1" t="s">
        <v>917</v>
      </c>
      <c r="C220" s="1" t="s">
        <v>265</v>
      </c>
      <c r="D220" s="1" t="s">
        <v>897</v>
      </c>
      <c r="E220" s="1" t="s">
        <v>82</v>
      </c>
      <c r="F220" s="1" t="s">
        <v>391</v>
      </c>
      <c r="G220" s="1" t="s">
        <v>97</v>
      </c>
      <c r="H220" s="1" t="s">
        <v>406</v>
      </c>
      <c r="M220" s="1" t="s">
        <v>496</v>
      </c>
      <c r="N220" s="1" t="s">
        <v>918</v>
      </c>
      <c r="O220" s="1" t="s">
        <v>919</v>
      </c>
      <c r="P220" s="1"/>
      <c r="Q220" s="1" t="s">
        <v>70</v>
      </c>
      <c r="U220" s="1" t="s">
        <v>916</v>
      </c>
      <c r="Z220" s="1" t="s">
        <v>71</v>
      </c>
      <c r="AE220" s="1" t="s">
        <v>833</v>
      </c>
      <c r="AH220" s="1" t="s">
        <v>73</v>
      </c>
      <c r="AK220" s="1" t="s">
        <v>71</v>
      </c>
      <c r="AM220" s="1" t="s">
        <v>71</v>
      </c>
      <c r="AN220" s="1" t="s">
        <v>71</v>
      </c>
      <c r="AS220" s="1" t="s">
        <v>71</v>
      </c>
      <c r="BH220" s="1" t="s">
        <v>71</v>
      </c>
    </row>
    <row r="221" customFormat="false" ht="15" hidden="false" customHeight="false" outlineLevel="0" collapsed="false">
      <c r="A221" s="1" t="s">
        <v>920</v>
      </c>
      <c r="B221" s="1" t="s">
        <v>921</v>
      </c>
      <c r="C221" s="1" t="s">
        <v>265</v>
      </c>
      <c r="D221" s="1" t="s">
        <v>897</v>
      </c>
      <c r="E221" s="1" t="s">
        <v>82</v>
      </c>
      <c r="F221" s="1" t="s">
        <v>391</v>
      </c>
      <c r="G221" s="1" t="s">
        <v>97</v>
      </c>
      <c r="H221" s="1" t="s">
        <v>406</v>
      </c>
      <c r="M221" s="1" t="s">
        <v>496</v>
      </c>
      <c r="N221" s="1" t="s">
        <v>536</v>
      </c>
      <c r="O221" s="1" t="s">
        <v>537</v>
      </c>
      <c r="P221" s="1"/>
      <c r="Q221" s="1" t="s">
        <v>70</v>
      </c>
      <c r="U221" s="1" t="s">
        <v>920</v>
      </c>
      <c r="Z221" s="1" t="s">
        <v>71</v>
      </c>
      <c r="AE221" s="1" t="s">
        <v>833</v>
      </c>
      <c r="AH221" s="1" t="s">
        <v>73</v>
      </c>
      <c r="AK221" s="1" t="s">
        <v>71</v>
      </c>
      <c r="AM221" s="1" t="s">
        <v>71</v>
      </c>
      <c r="AN221" s="1" t="s">
        <v>71</v>
      </c>
      <c r="AS221" s="1" t="s">
        <v>71</v>
      </c>
      <c r="BH221" s="1" t="s">
        <v>71</v>
      </c>
    </row>
    <row r="222" customFormat="false" ht="15" hidden="false" customHeight="false" outlineLevel="0" collapsed="false">
      <c r="A222" s="1" t="s">
        <v>922</v>
      </c>
      <c r="B222" s="1" t="s">
        <v>923</v>
      </c>
      <c r="C222" s="1" t="s">
        <v>265</v>
      </c>
      <c r="D222" s="1" t="s">
        <v>897</v>
      </c>
      <c r="E222" s="1" t="s">
        <v>82</v>
      </c>
      <c r="F222" s="1" t="s">
        <v>391</v>
      </c>
      <c r="G222" s="1" t="s">
        <v>97</v>
      </c>
      <c r="H222" s="1" t="s">
        <v>406</v>
      </c>
      <c r="M222" s="1" t="s">
        <v>496</v>
      </c>
      <c r="N222" s="1" t="s">
        <v>779</v>
      </c>
      <c r="O222" s="1" t="s">
        <v>400</v>
      </c>
      <c r="P222" s="1"/>
      <c r="Q222" s="1" t="s">
        <v>70</v>
      </c>
      <c r="U222" s="1" t="s">
        <v>922</v>
      </c>
      <c r="Z222" s="1" t="s">
        <v>71</v>
      </c>
      <c r="AE222" s="1" t="s">
        <v>833</v>
      </c>
      <c r="AH222" s="1" t="s">
        <v>73</v>
      </c>
      <c r="AK222" s="1" t="s">
        <v>71</v>
      </c>
      <c r="AM222" s="1" t="s">
        <v>71</v>
      </c>
      <c r="AN222" s="1" t="s">
        <v>71</v>
      </c>
      <c r="AS222" s="1" t="s">
        <v>71</v>
      </c>
      <c r="BH222" s="1" t="s">
        <v>71</v>
      </c>
    </row>
    <row r="223" customFormat="false" ht="15" hidden="false" customHeight="false" outlineLevel="0" collapsed="false">
      <c r="A223" s="1" t="s">
        <v>924</v>
      </c>
      <c r="B223" s="1" t="s">
        <v>925</v>
      </c>
      <c r="C223" s="1" t="s">
        <v>265</v>
      </c>
      <c r="D223" s="1" t="s">
        <v>897</v>
      </c>
      <c r="E223" s="1" t="s">
        <v>82</v>
      </c>
      <c r="F223" s="1" t="s">
        <v>391</v>
      </c>
      <c r="G223" s="1" t="s">
        <v>97</v>
      </c>
      <c r="H223" s="1" t="s">
        <v>406</v>
      </c>
      <c r="M223" s="1" t="s">
        <v>496</v>
      </c>
      <c r="N223" s="1" t="s">
        <v>926</v>
      </c>
      <c r="O223" s="1" t="s">
        <v>927</v>
      </c>
      <c r="P223" s="1"/>
      <c r="Q223" s="1" t="s">
        <v>70</v>
      </c>
      <c r="U223" s="1" t="s">
        <v>924</v>
      </c>
      <c r="Z223" s="1" t="s">
        <v>71</v>
      </c>
      <c r="AE223" s="1" t="s">
        <v>833</v>
      </c>
      <c r="AH223" s="1" t="s">
        <v>73</v>
      </c>
      <c r="AK223" s="1" t="s">
        <v>71</v>
      </c>
      <c r="AM223" s="1" t="s">
        <v>71</v>
      </c>
      <c r="AN223" s="1" t="s">
        <v>71</v>
      </c>
      <c r="AS223" s="1" t="s">
        <v>71</v>
      </c>
      <c r="BH223" s="1" t="s">
        <v>71</v>
      </c>
    </row>
    <row r="224" customFormat="false" ht="15" hidden="false" customHeight="false" outlineLevel="0" collapsed="false">
      <c r="A224" s="1" t="s">
        <v>928</v>
      </c>
      <c r="B224" s="1" t="s">
        <v>929</v>
      </c>
      <c r="C224" s="1" t="s">
        <v>265</v>
      </c>
      <c r="D224" s="1" t="s">
        <v>897</v>
      </c>
      <c r="E224" s="1" t="s">
        <v>82</v>
      </c>
      <c r="F224" s="1" t="s">
        <v>391</v>
      </c>
      <c r="G224" s="1" t="s">
        <v>97</v>
      </c>
      <c r="H224" s="1" t="s">
        <v>406</v>
      </c>
      <c r="M224" s="1" t="s">
        <v>496</v>
      </c>
      <c r="N224" s="1" t="s">
        <v>884</v>
      </c>
      <c r="O224" s="1" t="s">
        <v>447</v>
      </c>
      <c r="P224" s="1"/>
      <c r="Q224" s="1" t="s">
        <v>70</v>
      </c>
      <c r="U224" s="1" t="s">
        <v>928</v>
      </c>
      <c r="Z224" s="1" t="s">
        <v>71</v>
      </c>
      <c r="AE224" s="1" t="s">
        <v>833</v>
      </c>
      <c r="AH224" s="1" t="s">
        <v>73</v>
      </c>
      <c r="AK224" s="1" t="s">
        <v>71</v>
      </c>
      <c r="AM224" s="1" t="s">
        <v>71</v>
      </c>
      <c r="AN224" s="1" t="s">
        <v>71</v>
      </c>
      <c r="AS224" s="1" t="s">
        <v>71</v>
      </c>
      <c r="BH224" s="1" t="s">
        <v>71</v>
      </c>
    </row>
    <row r="225" customFormat="false" ht="15" hidden="false" customHeight="false" outlineLevel="0" collapsed="false">
      <c r="A225" s="1" t="s">
        <v>930</v>
      </c>
      <c r="B225" s="1" t="s">
        <v>931</v>
      </c>
      <c r="C225" s="1" t="s">
        <v>265</v>
      </c>
      <c r="D225" s="1" t="s">
        <v>897</v>
      </c>
      <c r="E225" s="1" t="s">
        <v>82</v>
      </c>
      <c r="F225" s="1" t="s">
        <v>391</v>
      </c>
      <c r="G225" s="1" t="s">
        <v>97</v>
      </c>
      <c r="H225" s="1" t="s">
        <v>406</v>
      </c>
      <c r="M225" s="1" t="s">
        <v>496</v>
      </c>
      <c r="N225" s="1" t="s">
        <v>884</v>
      </c>
      <c r="O225" s="1" t="s">
        <v>447</v>
      </c>
      <c r="P225" s="1"/>
      <c r="Q225" s="1" t="s">
        <v>70</v>
      </c>
      <c r="U225" s="1" t="s">
        <v>930</v>
      </c>
      <c r="Z225" s="1" t="s">
        <v>71</v>
      </c>
      <c r="AE225" s="1" t="s">
        <v>833</v>
      </c>
      <c r="AH225" s="1" t="s">
        <v>73</v>
      </c>
      <c r="AK225" s="1" t="s">
        <v>71</v>
      </c>
      <c r="AM225" s="1" t="s">
        <v>71</v>
      </c>
      <c r="AN225" s="1" t="s">
        <v>71</v>
      </c>
      <c r="AS225" s="1" t="s">
        <v>71</v>
      </c>
      <c r="BH225" s="1" t="s">
        <v>71</v>
      </c>
    </row>
    <row r="226" customFormat="false" ht="15" hidden="false" customHeight="false" outlineLevel="0" collapsed="false">
      <c r="A226" s="1" t="s">
        <v>932</v>
      </c>
      <c r="B226" s="1" t="s">
        <v>933</v>
      </c>
      <c r="C226" s="1" t="s">
        <v>265</v>
      </c>
      <c r="D226" s="1" t="s">
        <v>897</v>
      </c>
      <c r="E226" s="1" t="s">
        <v>82</v>
      </c>
      <c r="F226" s="1" t="s">
        <v>391</v>
      </c>
      <c r="G226" s="1" t="s">
        <v>97</v>
      </c>
      <c r="H226" s="1" t="s">
        <v>406</v>
      </c>
      <c r="M226" s="1" t="s">
        <v>496</v>
      </c>
      <c r="N226" s="1" t="s">
        <v>880</v>
      </c>
      <c r="O226" s="1" t="s">
        <v>881</v>
      </c>
      <c r="P226" s="1"/>
      <c r="Q226" s="1" t="s">
        <v>70</v>
      </c>
      <c r="U226" s="1" t="s">
        <v>932</v>
      </c>
      <c r="Z226" s="1" t="s">
        <v>71</v>
      </c>
      <c r="AE226" s="1" t="s">
        <v>833</v>
      </c>
      <c r="AH226" s="1" t="s">
        <v>73</v>
      </c>
      <c r="AK226" s="1" t="s">
        <v>71</v>
      </c>
      <c r="AM226" s="1" t="s">
        <v>71</v>
      </c>
      <c r="AN226" s="1" t="s">
        <v>71</v>
      </c>
      <c r="AS226" s="1" t="s">
        <v>71</v>
      </c>
      <c r="BH226" s="1" t="s">
        <v>71</v>
      </c>
    </row>
    <row r="227" customFormat="false" ht="15" hidden="false" customHeight="false" outlineLevel="0" collapsed="false">
      <c r="A227" s="1" t="s">
        <v>934</v>
      </c>
      <c r="B227" s="1" t="s">
        <v>935</v>
      </c>
      <c r="C227" s="1" t="s">
        <v>265</v>
      </c>
      <c r="D227" s="1" t="s">
        <v>897</v>
      </c>
      <c r="E227" s="1" t="s">
        <v>82</v>
      </c>
      <c r="F227" s="1" t="s">
        <v>391</v>
      </c>
      <c r="G227" s="1" t="s">
        <v>97</v>
      </c>
      <c r="H227" s="1" t="s">
        <v>406</v>
      </c>
      <c r="M227" s="1" t="s">
        <v>496</v>
      </c>
      <c r="N227" s="1" t="s">
        <v>536</v>
      </c>
      <c r="O227" s="1" t="s">
        <v>537</v>
      </c>
      <c r="P227" s="1"/>
      <c r="Q227" s="1" t="s">
        <v>70</v>
      </c>
      <c r="U227" s="1" t="s">
        <v>934</v>
      </c>
      <c r="Z227" s="1" t="s">
        <v>71</v>
      </c>
      <c r="AE227" s="1" t="s">
        <v>833</v>
      </c>
      <c r="AH227" s="1" t="s">
        <v>73</v>
      </c>
      <c r="AK227" s="1" t="s">
        <v>71</v>
      </c>
      <c r="AM227" s="1" t="s">
        <v>71</v>
      </c>
      <c r="AN227" s="1" t="s">
        <v>71</v>
      </c>
      <c r="AS227" s="1" t="s">
        <v>71</v>
      </c>
      <c r="BH227" s="1" t="s">
        <v>71</v>
      </c>
    </row>
    <row r="228" customFormat="false" ht="15" hidden="false" customHeight="false" outlineLevel="0" collapsed="false">
      <c r="A228" s="1" t="s">
        <v>936</v>
      </c>
      <c r="B228" s="1" t="s">
        <v>937</v>
      </c>
      <c r="C228" s="1" t="s">
        <v>265</v>
      </c>
      <c r="D228" s="1" t="s">
        <v>897</v>
      </c>
      <c r="E228" s="1" t="s">
        <v>82</v>
      </c>
      <c r="F228" s="1" t="s">
        <v>391</v>
      </c>
      <c r="G228" s="1" t="s">
        <v>97</v>
      </c>
      <c r="H228" s="1" t="s">
        <v>406</v>
      </c>
      <c r="M228" s="1" t="s">
        <v>496</v>
      </c>
      <c r="N228" s="1" t="s">
        <v>536</v>
      </c>
      <c r="O228" s="1" t="s">
        <v>537</v>
      </c>
      <c r="P228" s="1"/>
      <c r="Q228" s="1" t="s">
        <v>70</v>
      </c>
      <c r="U228" s="1" t="s">
        <v>936</v>
      </c>
      <c r="Z228" s="1" t="s">
        <v>71</v>
      </c>
      <c r="AE228" s="1" t="s">
        <v>833</v>
      </c>
      <c r="AH228" s="1" t="s">
        <v>73</v>
      </c>
      <c r="AK228" s="1" t="s">
        <v>71</v>
      </c>
      <c r="AM228" s="1" t="s">
        <v>71</v>
      </c>
      <c r="AN228" s="1" t="s">
        <v>71</v>
      </c>
      <c r="AS228" s="1" t="s">
        <v>71</v>
      </c>
      <c r="BH228" s="1" t="s">
        <v>71</v>
      </c>
    </row>
    <row r="229" customFormat="false" ht="15" hidden="false" customHeight="false" outlineLevel="0" collapsed="false">
      <c r="A229" s="1" t="s">
        <v>938</v>
      </c>
      <c r="B229" s="1" t="s">
        <v>939</v>
      </c>
      <c r="C229" s="1" t="s">
        <v>192</v>
      </c>
      <c r="D229" s="1" t="s">
        <v>193</v>
      </c>
      <c r="E229" s="1" t="s">
        <v>65</v>
      </c>
      <c r="F229" s="1" t="s">
        <v>119</v>
      </c>
      <c r="G229" s="1" t="s">
        <v>65</v>
      </c>
      <c r="H229" s="1" t="s">
        <v>64</v>
      </c>
      <c r="K229" s="1" t="s">
        <v>182</v>
      </c>
      <c r="L229" s="1" t="s">
        <v>183</v>
      </c>
      <c r="M229" s="1" t="s">
        <v>310</v>
      </c>
      <c r="N229" s="1" t="s">
        <v>123</v>
      </c>
      <c r="O229" s="1" t="s">
        <v>124</v>
      </c>
      <c r="P229" s="1" t="e">
        <f aca="false">image("https://drive.google.com/uc?export=view&amp;id=1wGjKPkSFEidUpi0JfWpTJZKz3zQXYZes")</f>
        <v>#NAME?</v>
      </c>
      <c r="Q229" s="1" t="s">
        <v>205</v>
      </c>
      <c r="U229" s="1" t="s">
        <v>938</v>
      </c>
      <c r="Z229" s="1" t="s">
        <v>71</v>
      </c>
      <c r="AE229" s="1" t="s">
        <v>940</v>
      </c>
      <c r="AH229" s="1" t="s">
        <v>73</v>
      </c>
      <c r="AK229" s="1" t="s">
        <v>71</v>
      </c>
      <c r="AM229" s="1" t="s">
        <v>71</v>
      </c>
      <c r="AN229" s="1" t="s">
        <v>71</v>
      </c>
      <c r="AS229" s="1" t="s">
        <v>71</v>
      </c>
      <c r="AX229" s="1" t="s">
        <v>71</v>
      </c>
      <c r="AY229" s="1" t="s">
        <v>59</v>
      </c>
      <c r="AZ229" s="1" t="s">
        <v>74</v>
      </c>
      <c r="BH229" s="1" t="s">
        <v>71</v>
      </c>
    </row>
    <row r="230" customFormat="false" ht="15" hidden="false" customHeight="false" outlineLevel="0" collapsed="false">
      <c r="A230" s="1" t="s">
        <v>941</v>
      </c>
      <c r="B230" s="1" t="s">
        <v>942</v>
      </c>
      <c r="C230" s="1" t="s">
        <v>161</v>
      </c>
      <c r="D230" s="1" t="s">
        <v>162</v>
      </c>
      <c r="E230" s="1" t="s">
        <v>61</v>
      </c>
      <c r="F230" s="1" t="s">
        <v>101</v>
      </c>
      <c r="G230" s="1" t="s">
        <v>93</v>
      </c>
      <c r="H230" s="1" t="s">
        <v>64</v>
      </c>
      <c r="K230" s="1" t="s">
        <v>112</v>
      </c>
      <c r="L230" s="1" t="s">
        <v>113</v>
      </c>
      <c r="M230" s="1" t="s">
        <v>104</v>
      </c>
      <c r="N230" s="1" t="s">
        <v>105</v>
      </c>
      <c r="O230" s="1" t="s">
        <v>106</v>
      </c>
      <c r="P230" s="1" t="e">
        <f aca="false">image("https://drive.google.com/uc?export=view&amp;id=1rCPJtlyyxMPxX5Jh-L5hHbC6QKV3J1Rb")</f>
        <v>#NAME?</v>
      </c>
      <c r="Q230" s="1" t="s">
        <v>205</v>
      </c>
      <c r="U230" s="1" t="s">
        <v>941</v>
      </c>
      <c r="Z230" s="1" t="s">
        <v>71</v>
      </c>
      <c r="AE230" s="1" t="s">
        <v>943</v>
      </c>
      <c r="AH230" s="1" t="s">
        <v>73</v>
      </c>
      <c r="AK230" s="1" t="s">
        <v>71</v>
      </c>
      <c r="AM230" s="1" t="s">
        <v>71</v>
      </c>
      <c r="AN230" s="1" t="s">
        <v>71</v>
      </c>
      <c r="AS230" s="1" t="s">
        <v>71</v>
      </c>
      <c r="AX230" s="1" t="s">
        <v>71</v>
      </c>
      <c r="AY230" s="1" t="s">
        <v>59</v>
      </c>
      <c r="AZ230" s="1" t="s">
        <v>74</v>
      </c>
      <c r="BH230" s="1" t="s">
        <v>71</v>
      </c>
    </row>
    <row r="231" customFormat="false" ht="15" hidden="false" customHeight="false" outlineLevel="0" collapsed="false">
      <c r="A231" s="1" t="s">
        <v>944</v>
      </c>
      <c r="B231" s="1" t="s">
        <v>945</v>
      </c>
      <c r="C231" s="1" t="s">
        <v>161</v>
      </c>
      <c r="D231" s="1" t="s">
        <v>162</v>
      </c>
      <c r="E231" s="1" t="s">
        <v>61</v>
      </c>
      <c r="F231" s="1" t="s">
        <v>101</v>
      </c>
      <c r="G231" s="1" t="s">
        <v>93</v>
      </c>
      <c r="H231" s="1" t="s">
        <v>64</v>
      </c>
      <c r="K231" s="1" t="s">
        <v>184</v>
      </c>
      <c r="L231" s="1" t="s">
        <v>194</v>
      </c>
      <c r="M231" s="1" t="s">
        <v>104</v>
      </c>
      <c r="N231" s="1" t="s">
        <v>203</v>
      </c>
      <c r="O231" s="1" t="s">
        <v>204</v>
      </c>
      <c r="P231" s="1" t="e">
        <f aca="false">image("https://drive.google.com/uc?export=view&amp;id=1W4dxSwfjA7L9gmT3Dijz9k-c2nBwZgYS")</f>
        <v>#NAME?</v>
      </c>
      <c r="Q231" s="1" t="s">
        <v>205</v>
      </c>
      <c r="U231" s="1" t="s">
        <v>944</v>
      </c>
      <c r="Z231" s="1" t="s">
        <v>71</v>
      </c>
      <c r="AE231" s="1" t="s">
        <v>943</v>
      </c>
      <c r="AH231" s="1" t="s">
        <v>73</v>
      </c>
      <c r="AK231" s="1" t="s">
        <v>71</v>
      </c>
      <c r="AM231" s="1" t="s">
        <v>71</v>
      </c>
      <c r="AN231" s="1" t="s">
        <v>71</v>
      </c>
      <c r="AS231" s="1" t="s">
        <v>71</v>
      </c>
      <c r="AX231" s="1" t="s">
        <v>71</v>
      </c>
      <c r="AY231" s="1" t="s">
        <v>59</v>
      </c>
      <c r="AZ231" s="1" t="s">
        <v>74</v>
      </c>
      <c r="BH231" s="1" t="s">
        <v>71</v>
      </c>
    </row>
    <row r="232" customFormat="false" ht="15" hidden="false" customHeight="false" outlineLevel="0" collapsed="false">
      <c r="A232" s="1" t="s">
        <v>946</v>
      </c>
      <c r="B232" s="1" t="s">
        <v>947</v>
      </c>
      <c r="C232" s="1" t="s">
        <v>756</v>
      </c>
      <c r="D232" s="1" t="s">
        <v>790</v>
      </c>
      <c r="E232" s="1" t="s">
        <v>82</v>
      </c>
      <c r="F232" s="1" t="s">
        <v>391</v>
      </c>
      <c r="G232" s="1" t="s">
        <v>97</v>
      </c>
      <c r="H232" s="1" t="s">
        <v>406</v>
      </c>
      <c r="K232" s="1" t="s">
        <v>59</v>
      </c>
      <c r="L232" s="1" t="s">
        <v>791</v>
      </c>
      <c r="M232" s="1" t="s">
        <v>496</v>
      </c>
      <c r="N232" s="1" t="s">
        <v>948</v>
      </c>
      <c r="O232" s="1" t="s">
        <v>447</v>
      </c>
      <c r="P232" s="1"/>
      <c r="Q232" s="1" t="s">
        <v>70</v>
      </c>
      <c r="U232" s="1" t="s">
        <v>946</v>
      </c>
      <c r="Z232" s="1" t="s">
        <v>71</v>
      </c>
      <c r="AE232" s="1" t="s">
        <v>949</v>
      </c>
      <c r="AH232" s="1" t="s">
        <v>73</v>
      </c>
      <c r="AK232" s="1" t="s">
        <v>71</v>
      </c>
      <c r="AM232" s="1" t="s">
        <v>71</v>
      </c>
      <c r="AN232" s="1" t="s">
        <v>71</v>
      </c>
      <c r="AS232" s="1" t="s">
        <v>71</v>
      </c>
      <c r="AX232" s="1" t="s">
        <v>71</v>
      </c>
      <c r="BH232" s="1" t="s">
        <v>71</v>
      </c>
    </row>
    <row r="233" customFormat="false" ht="15" hidden="false" customHeight="false" outlineLevel="0" collapsed="false">
      <c r="A233" s="1" t="s">
        <v>950</v>
      </c>
      <c r="B233" s="1" t="s">
        <v>951</v>
      </c>
      <c r="C233" s="1" t="s">
        <v>150</v>
      </c>
      <c r="D233" s="1" t="s">
        <v>405</v>
      </c>
      <c r="E233" s="1" t="s">
        <v>82</v>
      </c>
      <c r="F233" s="1" t="s">
        <v>391</v>
      </c>
      <c r="G233" s="1" t="s">
        <v>97</v>
      </c>
      <c r="H233" s="1" t="s">
        <v>406</v>
      </c>
      <c r="K233" s="1" t="s">
        <v>407</v>
      </c>
      <c r="L233" s="1" t="s">
        <v>408</v>
      </c>
      <c r="M233" s="1" t="s">
        <v>496</v>
      </c>
      <c r="N233" s="1" t="s">
        <v>952</v>
      </c>
      <c r="O233" s="1" t="s">
        <v>447</v>
      </c>
      <c r="P233" s="1"/>
      <c r="Q233" s="1" t="s">
        <v>70</v>
      </c>
      <c r="U233" s="1" t="s">
        <v>950</v>
      </c>
      <c r="Z233" s="1" t="s">
        <v>71</v>
      </c>
      <c r="AE233" s="1" t="s">
        <v>949</v>
      </c>
      <c r="AH233" s="1" t="s">
        <v>73</v>
      </c>
      <c r="AK233" s="1" t="s">
        <v>71</v>
      </c>
      <c r="AM233" s="1" t="s">
        <v>71</v>
      </c>
      <c r="AN233" s="1" t="s">
        <v>71</v>
      </c>
      <c r="AS233" s="1" t="s">
        <v>71</v>
      </c>
      <c r="AX233" s="1" t="s">
        <v>71</v>
      </c>
      <c r="BH233" s="1" t="s">
        <v>71</v>
      </c>
    </row>
    <row r="234" customFormat="false" ht="15" hidden="false" customHeight="false" outlineLevel="0" collapsed="false">
      <c r="A234" s="1" t="s">
        <v>953</v>
      </c>
      <c r="B234" s="1" t="s">
        <v>954</v>
      </c>
      <c r="C234" s="1" t="s">
        <v>706</v>
      </c>
      <c r="D234" s="1" t="s">
        <v>707</v>
      </c>
      <c r="E234" s="1" t="s">
        <v>82</v>
      </c>
      <c r="F234" s="1" t="s">
        <v>391</v>
      </c>
      <c r="G234" s="1" t="s">
        <v>97</v>
      </c>
      <c r="H234" s="1" t="s">
        <v>406</v>
      </c>
      <c r="M234" s="1" t="s">
        <v>496</v>
      </c>
      <c r="N234" s="1" t="s">
        <v>798</v>
      </c>
      <c r="O234" s="1" t="s">
        <v>799</v>
      </c>
      <c r="P234" s="1"/>
      <c r="Q234" s="1" t="s">
        <v>70</v>
      </c>
      <c r="U234" s="1" t="s">
        <v>953</v>
      </c>
      <c r="Z234" s="1" t="s">
        <v>71</v>
      </c>
      <c r="AE234" s="1" t="s">
        <v>949</v>
      </c>
      <c r="AH234" s="1" t="s">
        <v>73</v>
      </c>
      <c r="AK234" s="1" t="s">
        <v>71</v>
      </c>
      <c r="AM234" s="1" t="s">
        <v>71</v>
      </c>
      <c r="AN234" s="1" t="s">
        <v>71</v>
      </c>
      <c r="AS234" s="1" t="s">
        <v>71</v>
      </c>
      <c r="BH234" s="1" t="s">
        <v>71</v>
      </c>
    </row>
    <row r="235" customFormat="false" ht="15" hidden="false" customHeight="false" outlineLevel="0" collapsed="false">
      <c r="A235" s="1" t="s">
        <v>955</v>
      </c>
      <c r="B235" s="1" t="s">
        <v>956</v>
      </c>
      <c r="C235" s="1" t="s">
        <v>706</v>
      </c>
      <c r="D235" s="1" t="s">
        <v>707</v>
      </c>
      <c r="E235" s="1" t="s">
        <v>82</v>
      </c>
      <c r="F235" s="1" t="s">
        <v>391</v>
      </c>
      <c r="G235" s="1" t="s">
        <v>97</v>
      </c>
      <c r="H235" s="1" t="s">
        <v>406</v>
      </c>
      <c r="M235" s="1" t="s">
        <v>496</v>
      </c>
      <c r="N235" s="1" t="s">
        <v>957</v>
      </c>
      <c r="O235" s="1" t="s">
        <v>958</v>
      </c>
      <c r="P235" s="1"/>
      <c r="Q235" s="1" t="s">
        <v>70</v>
      </c>
      <c r="U235" s="1" t="s">
        <v>955</v>
      </c>
      <c r="Z235" s="1" t="s">
        <v>71</v>
      </c>
      <c r="AE235" s="1" t="s">
        <v>949</v>
      </c>
      <c r="AH235" s="1" t="s">
        <v>73</v>
      </c>
      <c r="AK235" s="1" t="s">
        <v>71</v>
      </c>
      <c r="AM235" s="1" t="s">
        <v>71</v>
      </c>
      <c r="AN235" s="1" t="s">
        <v>71</v>
      </c>
      <c r="AS235" s="1" t="s">
        <v>71</v>
      </c>
      <c r="BH235" s="1" t="s">
        <v>71</v>
      </c>
    </row>
    <row r="236" customFormat="false" ht="15" hidden="false" customHeight="false" outlineLevel="0" collapsed="false">
      <c r="A236" s="1" t="s">
        <v>959</v>
      </c>
      <c r="B236" s="1" t="s">
        <v>960</v>
      </c>
      <c r="C236" s="1" t="s">
        <v>152</v>
      </c>
      <c r="D236" s="1" t="s">
        <v>464</v>
      </c>
      <c r="E236" s="1" t="s">
        <v>82</v>
      </c>
      <c r="F236" s="1" t="s">
        <v>391</v>
      </c>
      <c r="G236" s="1" t="s">
        <v>213</v>
      </c>
      <c r="H236" s="1" t="s">
        <v>477</v>
      </c>
      <c r="K236" s="1" t="s">
        <v>478</v>
      </c>
      <c r="L236" s="1" t="s">
        <v>479</v>
      </c>
      <c r="M236" s="1" t="s">
        <v>496</v>
      </c>
      <c r="N236" s="1" t="s">
        <v>961</v>
      </c>
      <c r="O236" s="1" t="s">
        <v>962</v>
      </c>
      <c r="P236" s="1"/>
      <c r="Q236" s="1" t="s">
        <v>70</v>
      </c>
      <c r="U236" s="1" t="s">
        <v>959</v>
      </c>
      <c r="Z236" s="1" t="s">
        <v>71</v>
      </c>
      <c r="AE236" s="1" t="s">
        <v>949</v>
      </c>
      <c r="AH236" s="1" t="s">
        <v>73</v>
      </c>
      <c r="AK236" s="1" t="s">
        <v>71</v>
      </c>
      <c r="AM236" s="1" t="s">
        <v>71</v>
      </c>
      <c r="AN236" s="1" t="s">
        <v>71</v>
      </c>
      <c r="AS236" s="1" t="s">
        <v>71</v>
      </c>
      <c r="AX236" s="1" t="s">
        <v>71</v>
      </c>
      <c r="BH236" s="1" t="s">
        <v>71</v>
      </c>
    </row>
    <row r="237" customFormat="false" ht="15" hidden="false" customHeight="false" outlineLevel="0" collapsed="false">
      <c r="A237" s="1" t="s">
        <v>963</v>
      </c>
      <c r="B237" s="1" t="s">
        <v>964</v>
      </c>
      <c r="C237" s="1" t="s">
        <v>152</v>
      </c>
      <c r="D237" s="1" t="s">
        <v>464</v>
      </c>
      <c r="E237" s="1" t="s">
        <v>82</v>
      </c>
      <c r="F237" s="1" t="s">
        <v>391</v>
      </c>
      <c r="G237" s="1" t="s">
        <v>213</v>
      </c>
      <c r="H237" s="1" t="s">
        <v>477</v>
      </c>
      <c r="K237" s="1" t="s">
        <v>478</v>
      </c>
      <c r="L237" s="1" t="s">
        <v>479</v>
      </c>
      <c r="M237" s="1" t="s">
        <v>496</v>
      </c>
      <c r="N237" s="1" t="s">
        <v>961</v>
      </c>
      <c r="O237" s="1" t="s">
        <v>962</v>
      </c>
      <c r="P237" s="1"/>
      <c r="Q237" s="1" t="s">
        <v>70</v>
      </c>
      <c r="U237" s="1" t="s">
        <v>963</v>
      </c>
      <c r="Z237" s="1" t="s">
        <v>71</v>
      </c>
      <c r="AE237" s="1" t="s">
        <v>949</v>
      </c>
      <c r="AH237" s="1" t="s">
        <v>73</v>
      </c>
      <c r="AK237" s="1" t="s">
        <v>71</v>
      </c>
      <c r="AM237" s="1" t="s">
        <v>71</v>
      </c>
      <c r="AN237" s="1" t="s">
        <v>71</v>
      </c>
      <c r="AS237" s="1" t="s">
        <v>71</v>
      </c>
      <c r="AX237" s="1" t="s">
        <v>71</v>
      </c>
      <c r="BH237" s="1" t="s">
        <v>71</v>
      </c>
    </row>
    <row r="238" customFormat="false" ht="15" hidden="false" customHeight="false" outlineLevel="0" collapsed="false">
      <c r="A238" s="1" t="s">
        <v>965</v>
      </c>
      <c r="B238" s="1" t="s">
        <v>966</v>
      </c>
      <c r="C238" s="1" t="s">
        <v>192</v>
      </c>
      <c r="D238" s="1" t="s">
        <v>193</v>
      </c>
      <c r="E238" s="1" t="s">
        <v>59</v>
      </c>
      <c r="F238" s="1" t="s">
        <v>63</v>
      </c>
      <c r="G238" s="1" t="s">
        <v>59</v>
      </c>
      <c r="H238" s="1" t="s">
        <v>64</v>
      </c>
      <c r="K238" s="1" t="s">
        <v>148</v>
      </c>
      <c r="L238" s="1" t="s">
        <v>149</v>
      </c>
      <c r="M238" s="1" t="s">
        <v>967</v>
      </c>
      <c r="N238" s="1" t="s">
        <v>79</v>
      </c>
      <c r="O238" s="1" t="s">
        <v>80</v>
      </c>
      <c r="P238" s="1"/>
      <c r="Q238" s="1" t="s">
        <v>70</v>
      </c>
      <c r="U238" s="1" t="s">
        <v>965</v>
      </c>
      <c r="Z238" s="1" t="s">
        <v>71</v>
      </c>
      <c r="AA238" s="1" t="s">
        <v>91</v>
      </c>
      <c r="AE238" s="1" t="s">
        <v>968</v>
      </c>
      <c r="AH238" s="1" t="s">
        <v>73</v>
      </c>
      <c r="AK238" s="1" t="s">
        <v>71</v>
      </c>
      <c r="AM238" s="1" t="s">
        <v>71</v>
      </c>
      <c r="AN238" s="1" t="s">
        <v>71</v>
      </c>
      <c r="AS238" s="1" t="s">
        <v>71</v>
      </c>
      <c r="AX238" s="1" t="s">
        <v>71</v>
      </c>
      <c r="AY238" s="1" t="s">
        <v>59</v>
      </c>
      <c r="AZ238" s="1" t="s">
        <v>74</v>
      </c>
      <c r="BH238" s="1" t="s">
        <v>71</v>
      </c>
    </row>
    <row r="239" customFormat="false" ht="15" hidden="false" customHeight="false" outlineLevel="0" collapsed="false">
      <c r="A239" s="1" t="s">
        <v>969</v>
      </c>
      <c r="B239" s="1" t="s">
        <v>970</v>
      </c>
      <c r="C239" s="1" t="s">
        <v>192</v>
      </c>
      <c r="D239" s="1" t="s">
        <v>193</v>
      </c>
      <c r="E239" s="1" t="s">
        <v>59</v>
      </c>
      <c r="F239" s="1" t="s">
        <v>63</v>
      </c>
      <c r="G239" s="1" t="s">
        <v>59</v>
      </c>
      <c r="H239" s="1" t="s">
        <v>64</v>
      </c>
      <c r="K239" s="1" t="s">
        <v>88</v>
      </c>
      <c r="L239" s="1" t="s">
        <v>89</v>
      </c>
      <c r="M239" s="1" t="s">
        <v>971</v>
      </c>
      <c r="N239" s="1" t="s">
        <v>123</v>
      </c>
      <c r="O239" s="1" t="s">
        <v>124</v>
      </c>
      <c r="P239" s="1"/>
      <c r="Q239" s="1" t="s">
        <v>70</v>
      </c>
      <c r="U239" s="1" t="s">
        <v>969</v>
      </c>
      <c r="Z239" s="1" t="s">
        <v>71</v>
      </c>
      <c r="AA239" s="1" t="s">
        <v>91</v>
      </c>
      <c r="AE239" s="1" t="s">
        <v>968</v>
      </c>
      <c r="AH239" s="1" t="s">
        <v>73</v>
      </c>
      <c r="AK239" s="1" t="s">
        <v>71</v>
      </c>
      <c r="AM239" s="1" t="s">
        <v>71</v>
      </c>
      <c r="AN239" s="1" t="s">
        <v>71</v>
      </c>
      <c r="AS239" s="1" t="s">
        <v>71</v>
      </c>
      <c r="AX239" s="1" t="s">
        <v>71</v>
      </c>
      <c r="AY239" s="1" t="s">
        <v>59</v>
      </c>
      <c r="AZ239" s="1" t="s">
        <v>74</v>
      </c>
      <c r="BH239" s="1" t="s">
        <v>71</v>
      </c>
    </row>
    <row r="240" customFormat="false" ht="15" hidden="false" customHeight="false" outlineLevel="0" collapsed="false">
      <c r="A240" s="1" t="s">
        <v>972</v>
      </c>
      <c r="B240" s="1" t="s">
        <v>973</v>
      </c>
      <c r="C240" s="1" t="s">
        <v>192</v>
      </c>
      <c r="D240" s="1" t="s">
        <v>193</v>
      </c>
      <c r="E240" s="1" t="s">
        <v>59</v>
      </c>
      <c r="F240" s="1" t="s">
        <v>63</v>
      </c>
      <c r="G240" s="1" t="s">
        <v>59</v>
      </c>
      <c r="H240" s="1" t="s">
        <v>64</v>
      </c>
      <c r="K240" s="1" t="s">
        <v>93</v>
      </c>
      <c r="L240" s="1" t="s">
        <v>95</v>
      </c>
      <c r="M240" s="1" t="s">
        <v>967</v>
      </c>
      <c r="N240" s="1" t="s">
        <v>79</v>
      </c>
      <c r="O240" s="1" t="s">
        <v>80</v>
      </c>
      <c r="P240" s="1"/>
      <c r="Q240" s="1" t="s">
        <v>70</v>
      </c>
      <c r="U240" s="1" t="s">
        <v>972</v>
      </c>
      <c r="Z240" s="1" t="s">
        <v>71</v>
      </c>
      <c r="AA240" s="1" t="s">
        <v>91</v>
      </c>
      <c r="AE240" s="1" t="s">
        <v>974</v>
      </c>
      <c r="AH240" s="1" t="s">
        <v>73</v>
      </c>
      <c r="AK240" s="1" t="s">
        <v>71</v>
      </c>
      <c r="AM240" s="1" t="s">
        <v>71</v>
      </c>
      <c r="AN240" s="1" t="s">
        <v>71</v>
      </c>
      <c r="AS240" s="1" t="s">
        <v>71</v>
      </c>
      <c r="AX240" s="1" t="s">
        <v>71</v>
      </c>
      <c r="AY240" s="1" t="s">
        <v>59</v>
      </c>
      <c r="AZ240" s="1" t="s">
        <v>74</v>
      </c>
      <c r="BH240" s="1" t="s">
        <v>71</v>
      </c>
    </row>
    <row r="241" customFormat="false" ht="15" hidden="false" customHeight="false" outlineLevel="0" collapsed="false">
      <c r="A241" s="1" t="s">
        <v>975</v>
      </c>
      <c r="B241" s="1" t="s">
        <v>976</v>
      </c>
      <c r="C241" s="1" t="s">
        <v>706</v>
      </c>
      <c r="D241" s="1" t="s">
        <v>707</v>
      </c>
      <c r="E241" s="1" t="s">
        <v>82</v>
      </c>
      <c r="F241" s="1" t="s">
        <v>391</v>
      </c>
      <c r="G241" s="1" t="s">
        <v>97</v>
      </c>
      <c r="H241" s="1" t="s">
        <v>406</v>
      </c>
      <c r="M241" s="1" t="s">
        <v>496</v>
      </c>
      <c r="N241" s="1" t="s">
        <v>518</v>
      </c>
      <c r="O241" s="1" t="s">
        <v>519</v>
      </c>
      <c r="P241" s="1"/>
      <c r="Q241" s="1" t="s">
        <v>70</v>
      </c>
      <c r="U241" s="1" t="s">
        <v>975</v>
      </c>
      <c r="Z241" s="1" t="s">
        <v>71</v>
      </c>
      <c r="AE241" s="1" t="s">
        <v>977</v>
      </c>
      <c r="AH241" s="1" t="s">
        <v>73</v>
      </c>
      <c r="AK241" s="1" t="s">
        <v>71</v>
      </c>
      <c r="AM241" s="1" t="s">
        <v>71</v>
      </c>
      <c r="AN241" s="1" t="s">
        <v>71</v>
      </c>
      <c r="AS241" s="1" t="s">
        <v>71</v>
      </c>
      <c r="BH241" s="1" t="s">
        <v>71</v>
      </c>
    </row>
    <row r="242" customFormat="false" ht="15" hidden="false" customHeight="false" outlineLevel="0" collapsed="false">
      <c r="A242" s="1" t="s">
        <v>978</v>
      </c>
      <c r="B242" s="1" t="s">
        <v>979</v>
      </c>
      <c r="C242" s="1" t="s">
        <v>706</v>
      </c>
      <c r="D242" s="1" t="s">
        <v>707</v>
      </c>
      <c r="E242" s="1" t="s">
        <v>82</v>
      </c>
      <c r="F242" s="1" t="s">
        <v>391</v>
      </c>
      <c r="G242" s="1" t="s">
        <v>97</v>
      </c>
      <c r="H242" s="1" t="s">
        <v>406</v>
      </c>
      <c r="M242" s="1" t="s">
        <v>496</v>
      </c>
      <c r="N242" s="1" t="s">
        <v>518</v>
      </c>
      <c r="O242" s="1" t="s">
        <v>519</v>
      </c>
      <c r="P242" s="1"/>
      <c r="Q242" s="1" t="s">
        <v>70</v>
      </c>
      <c r="U242" s="1" t="s">
        <v>978</v>
      </c>
      <c r="Z242" s="1" t="s">
        <v>71</v>
      </c>
      <c r="AE242" s="1" t="s">
        <v>977</v>
      </c>
      <c r="AH242" s="1" t="s">
        <v>73</v>
      </c>
      <c r="AK242" s="1" t="s">
        <v>71</v>
      </c>
      <c r="AM242" s="1" t="s">
        <v>71</v>
      </c>
      <c r="AN242" s="1" t="s">
        <v>71</v>
      </c>
      <c r="AS242" s="1" t="s">
        <v>71</v>
      </c>
      <c r="BH242" s="1" t="s">
        <v>71</v>
      </c>
    </row>
    <row r="243" customFormat="false" ht="15" hidden="false" customHeight="false" outlineLevel="0" collapsed="false">
      <c r="A243" s="1" t="s">
        <v>980</v>
      </c>
      <c r="B243" s="1" t="s">
        <v>981</v>
      </c>
      <c r="C243" s="1" t="s">
        <v>706</v>
      </c>
      <c r="D243" s="1" t="s">
        <v>707</v>
      </c>
      <c r="E243" s="1" t="s">
        <v>82</v>
      </c>
      <c r="F243" s="1" t="s">
        <v>391</v>
      </c>
      <c r="G243" s="1" t="s">
        <v>97</v>
      </c>
      <c r="H243" s="1" t="s">
        <v>406</v>
      </c>
      <c r="K243" s="1" t="s">
        <v>453</v>
      </c>
      <c r="L243" s="1" t="s">
        <v>454</v>
      </c>
      <c r="M243" s="1" t="s">
        <v>496</v>
      </c>
      <c r="N243" s="1" t="s">
        <v>854</v>
      </c>
      <c r="O243" s="1" t="s">
        <v>855</v>
      </c>
      <c r="P243" s="1"/>
      <c r="Q243" s="1" t="s">
        <v>70</v>
      </c>
      <c r="U243" s="1" t="s">
        <v>980</v>
      </c>
      <c r="Z243" s="1" t="s">
        <v>71</v>
      </c>
      <c r="AE243" s="1" t="s">
        <v>977</v>
      </c>
      <c r="AH243" s="1" t="s">
        <v>73</v>
      </c>
      <c r="AK243" s="1" t="s">
        <v>71</v>
      </c>
      <c r="AM243" s="1" t="s">
        <v>71</v>
      </c>
      <c r="AN243" s="1" t="s">
        <v>71</v>
      </c>
      <c r="AS243" s="1" t="s">
        <v>71</v>
      </c>
      <c r="AX243" s="1" t="s">
        <v>71</v>
      </c>
      <c r="BH243" s="1" t="s">
        <v>71</v>
      </c>
    </row>
    <row r="244" customFormat="false" ht="15" hidden="false" customHeight="false" outlineLevel="0" collapsed="false">
      <c r="A244" s="1" t="s">
        <v>982</v>
      </c>
      <c r="B244" s="1" t="s">
        <v>983</v>
      </c>
      <c r="C244" s="1" t="s">
        <v>389</v>
      </c>
      <c r="D244" s="1" t="s">
        <v>390</v>
      </c>
      <c r="E244" s="1" t="s">
        <v>82</v>
      </c>
      <c r="F244" s="1" t="s">
        <v>391</v>
      </c>
      <c r="G244" s="1" t="s">
        <v>182</v>
      </c>
      <c r="H244" s="1" t="s">
        <v>392</v>
      </c>
      <c r="K244" s="1" t="s">
        <v>65</v>
      </c>
      <c r="L244" s="1" t="s">
        <v>517</v>
      </c>
      <c r="M244" s="1" t="s">
        <v>496</v>
      </c>
      <c r="N244" s="1" t="s">
        <v>984</v>
      </c>
      <c r="O244" s="1" t="s">
        <v>985</v>
      </c>
      <c r="P244" s="1"/>
      <c r="Q244" s="1" t="s">
        <v>70</v>
      </c>
      <c r="U244" s="1" t="s">
        <v>982</v>
      </c>
      <c r="Z244" s="1" t="s">
        <v>71</v>
      </c>
      <c r="AE244" s="1" t="s">
        <v>977</v>
      </c>
      <c r="AH244" s="1" t="s">
        <v>73</v>
      </c>
      <c r="AK244" s="1" t="s">
        <v>71</v>
      </c>
      <c r="AM244" s="1" t="s">
        <v>71</v>
      </c>
      <c r="AN244" s="1" t="s">
        <v>71</v>
      </c>
      <c r="AS244" s="1" t="s">
        <v>71</v>
      </c>
      <c r="AX244" s="1" t="s">
        <v>71</v>
      </c>
      <c r="BH244" s="1" t="s">
        <v>71</v>
      </c>
    </row>
    <row r="245" customFormat="false" ht="15" hidden="false" customHeight="false" outlineLevel="0" collapsed="false">
      <c r="A245" s="1" t="s">
        <v>986</v>
      </c>
      <c r="B245" s="1" t="s">
        <v>987</v>
      </c>
      <c r="C245" s="1" t="s">
        <v>706</v>
      </c>
      <c r="D245" s="1" t="s">
        <v>707</v>
      </c>
      <c r="E245" s="1" t="s">
        <v>82</v>
      </c>
      <c r="F245" s="1" t="s">
        <v>391</v>
      </c>
      <c r="G245" s="1" t="s">
        <v>443</v>
      </c>
      <c r="H245" s="1" t="s">
        <v>444</v>
      </c>
      <c r="K245" s="1" t="s">
        <v>988</v>
      </c>
      <c r="L245" s="1" t="s">
        <v>989</v>
      </c>
      <c r="M245" s="1" t="s">
        <v>496</v>
      </c>
      <c r="N245" s="1" t="s">
        <v>990</v>
      </c>
      <c r="O245" s="1" t="s">
        <v>991</v>
      </c>
      <c r="P245" s="1"/>
      <c r="Q245" s="1" t="s">
        <v>70</v>
      </c>
      <c r="U245" s="1" t="s">
        <v>986</v>
      </c>
      <c r="Z245" s="1" t="s">
        <v>71</v>
      </c>
      <c r="AE245" s="1" t="s">
        <v>977</v>
      </c>
      <c r="AH245" s="1" t="s">
        <v>73</v>
      </c>
      <c r="AK245" s="1" t="s">
        <v>71</v>
      </c>
      <c r="AM245" s="1" t="s">
        <v>71</v>
      </c>
      <c r="AN245" s="1" t="s">
        <v>71</v>
      </c>
      <c r="AS245" s="1" t="s">
        <v>71</v>
      </c>
      <c r="AX245" s="1" t="s">
        <v>71</v>
      </c>
      <c r="BH245" s="1" t="s">
        <v>71</v>
      </c>
    </row>
    <row r="246" customFormat="false" ht="15" hidden="false" customHeight="false" outlineLevel="0" collapsed="false">
      <c r="A246" s="1" t="s">
        <v>992</v>
      </c>
      <c r="B246" s="1" t="s">
        <v>993</v>
      </c>
      <c r="C246" s="1" t="s">
        <v>389</v>
      </c>
      <c r="D246" s="1" t="s">
        <v>390</v>
      </c>
      <c r="E246" s="1" t="s">
        <v>82</v>
      </c>
      <c r="F246" s="1" t="s">
        <v>391</v>
      </c>
      <c r="G246" s="1" t="s">
        <v>182</v>
      </c>
      <c r="H246" s="1" t="s">
        <v>392</v>
      </c>
      <c r="K246" s="1" t="s">
        <v>65</v>
      </c>
      <c r="L246" s="1" t="s">
        <v>517</v>
      </c>
      <c r="M246" s="1" t="s">
        <v>496</v>
      </c>
      <c r="N246" s="1" t="s">
        <v>994</v>
      </c>
      <c r="O246" s="1" t="s">
        <v>995</v>
      </c>
      <c r="P246" s="1"/>
      <c r="Q246" s="1" t="s">
        <v>70</v>
      </c>
      <c r="U246" s="1" t="s">
        <v>992</v>
      </c>
      <c r="Z246" s="1" t="s">
        <v>71</v>
      </c>
      <c r="AE246" s="1" t="s">
        <v>977</v>
      </c>
      <c r="AH246" s="1" t="s">
        <v>73</v>
      </c>
      <c r="AK246" s="1" t="s">
        <v>71</v>
      </c>
      <c r="AM246" s="1" t="s">
        <v>71</v>
      </c>
      <c r="AN246" s="1" t="s">
        <v>71</v>
      </c>
      <c r="AS246" s="1" t="s">
        <v>71</v>
      </c>
      <c r="AX246" s="1" t="s">
        <v>71</v>
      </c>
      <c r="BH246" s="1" t="s">
        <v>71</v>
      </c>
    </row>
    <row r="247" customFormat="false" ht="15" hidden="false" customHeight="false" outlineLevel="0" collapsed="false">
      <c r="A247" s="1" t="s">
        <v>996</v>
      </c>
      <c r="B247" s="1" t="s">
        <v>997</v>
      </c>
      <c r="C247" s="1" t="s">
        <v>706</v>
      </c>
      <c r="D247" s="1" t="s">
        <v>707</v>
      </c>
      <c r="E247" s="1" t="s">
        <v>82</v>
      </c>
      <c r="F247" s="1" t="s">
        <v>391</v>
      </c>
      <c r="G247" s="1" t="s">
        <v>97</v>
      </c>
      <c r="H247" s="1" t="s">
        <v>406</v>
      </c>
      <c r="M247" s="1" t="s">
        <v>496</v>
      </c>
      <c r="N247" s="1" t="s">
        <v>530</v>
      </c>
      <c r="O247" s="1" t="s">
        <v>531</v>
      </c>
      <c r="P247" s="1"/>
      <c r="Q247" s="1" t="s">
        <v>70</v>
      </c>
      <c r="U247" s="1" t="s">
        <v>996</v>
      </c>
      <c r="Z247" s="1" t="s">
        <v>71</v>
      </c>
      <c r="AE247" s="1" t="s">
        <v>977</v>
      </c>
      <c r="AH247" s="1" t="s">
        <v>73</v>
      </c>
      <c r="AK247" s="1" t="s">
        <v>71</v>
      </c>
      <c r="AM247" s="1" t="s">
        <v>71</v>
      </c>
      <c r="AN247" s="1" t="s">
        <v>71</v>
      </c>
      <c r="AS247" s="1" t="s">
        <v>71</v>
      </c>
      <c r="BH247" s="1" t="s">
        <v>71</v>
      </c>
    </row>
    <row r="248" customFormat="false" ht="15" hidden="false" customHeight="false" outlineLevel="0" collapsed="false">
      <c r="A248" s="1" t="s">
        <v>998</v>
      </c>
      <c r="B248" s="1" t="s">
        <v>999</v>
      </c>
      <c r="C248" s="1" t="s">
        <v>706</v>
      </c>
      <c r="D248" s="1" t="s">
        <v>707</v>
      </c>
      <c r="E248" s="1" t="s">
        <v>82</v>
      </c>
      <c r="F248" s="1" t="s">
        <v>391</v>
      </c>
      <c r="G248" s="1" t="s">
        <v>443</v>
      </c>
      <c r="H248" s="1" t="s">
        <v>444</v>
      </c>
      <c r="K248" s="1" t="s">
        <v>988</v>
      </c>
      <c r="L248" s="1" t="s">
        <v>989</v>
      </c>
      <c r="M248" s="1" t="s">
        <v>496</v>
      </c>
      <c r="N248" s="1" t="s">
        <v>1000</v>
      </c>
      <c r="O248" s="1" t="s">
        <v>1001</v>
      </c>
      <c r="P248" s="1"/>
      <c r="Q248" s="1" t="s">
        <v>70</v>
      </c>
      <c r="U248" s="1" t="s">
        <v>998</v>
      </c>
      <c r="Z248" s="1" t="s">
        <v>71</v>
      </c>
      <c r="AE248" s="1" t="s">
        <v>977</v>
      </c>
      <c r="AH248" s="1" t="s">
        <v>73</v>
      </c>
      <c r="AK248" s="1" t="s">
        <v>71</v>
      </c>
      <c r="AM248" s="1" t="s">
        <v>71</v>
      </c>
      <c r="AN248" s="1" t="s">
        <v>71</v>
      </c>
      <c r="AS248" s="1" t="s">
        <v>71</v>
      </c>
      <c r="AX248" s="1" t="s">
        <v>71</v>
      </c>
      <c r="BH248" s="1" t="s">
        <v>71</v>
      </c>
    </row>
    <row r="249" customFormat="false" ht="15" hidden="false" customHeight="false" outlineLevel="0" collapsed="false">
      <c r="A249" s="1" t="s">
        <v>1002</v>
      </c>
      <c r="B249" s="1" t="s">
        <v>1003</v>
      </c>
      <c r="C249" s="1" t="s">
        <v>389</v>
      </c>
      <c r="D249" s="1" t="s">
        <v>390</v>
      </c>
      <c r="E249" s="1" t="s">
        <v>82</v>
      </c>
      <c r="F249" s="1" t="s">
        <v>391</v>
      </c>
      <c r="G249" s="1" t="s">
        <v>182</v>
      </c>
      <c r="H249" s="1" t="s">
        <v>392</v>
      </c>
      <c r="K249" s="1" t="s">
        <v>903</v>
      </c>
      <c r="L249" s="1" t="s">
        <v>904</v>
      </c>
      <c r="M249" s="1" t="s">
        <v>496</v>
      </c>
      <c r="N249" s="1" t="s">
        <v>798</v>
      </c>
      <c r="O249" s="1" t="s">
        <v>799</v>
      </c>
      <c r="P249" s="1"/>
      <c r="Q249" s="1" t="s">
        <v>70</v>
      </c>
      <c r="U249" s="1" t="s">
        <v>1002</v>
      </c>
      <c r="Z249" s="1" t="s">
        <v>71</v>
      </c>
      <c r="AE249" s="1" t="s">
        <v>977</v>
      </c>
      <c r="AH249" s="1" t="s">
        <v>73</v>
      </c>
      <c r="AK249" s="1" t="s">
        <v>71</v>
      </c>
      <c r="AM249" s="1" t="s">
        <v>71</v>
      </c>
      <c r="AN249" s="1" t="s">
        <v>71</v>
      </c>
      <c r="AS249" s="1" t="s">
        <v>71</v>
      </c>
      <c r="AX249" s="1" t="s">
        <v>71</v>
      </c>
      <c r="BH249" s="1" t="s">
        <v>71</v>
      </c>
    </row>
    <row r="250" customFormat="false" ht="15" hidden="false" customHeight="false" outlineLevel="0" collapsed="false">
      <c r="A250" s="1" t="s">
        <v>1004</v>
      </c>
      <c r="B250" s="1" t="s">
        <v>1005</v>
      </c>
      <c r="C250" s="1" t="s">
        <v>1006</v>
      </c>
      <c r="D250" s="1" t="s">
        <v>1007</v>
      </c>
      <c r="E250" s="1" t="s">
        <v>88</v>
      </c>
      <c r="F250" s="1" t="s">
        <v>432</v>
      </c>
      <c r="G250" s="1" t="s">
        <v>163</v>
      </c>
      <c r="H250" s="1" t="s">
        <v>1008</v>
      </c>
      <c r="M250" s="1" t="s">
        <v>465</v>
      </c>
      <c r="N250" s="1" t="s">
        <v>1009</v>
      </c>
      <c r="O250" s="1" t="s">
        <v>400</v>
      </c>
      <c r="P250" s="1"/>
      <c r="Q250" s="1" t="s">
        <v>70</v>
      </c>
      <c r="U250" s="1" t="s">
        <v>1004</v>
      </c>
      <c r="Z250" s="1" t="s">
        <v>71</v>
      </c>
      <c r="AE250" s="1" t="s">
        <v>1010</v>
      </c>
      <c r="AH250" s="1" t="s">
        <v>73</v>
      </c>
      <c r="AK250" s="1" t="s">
        <v>71</v>
      </c>
      <c r="AM250" s="1" t="s">
        <v>71</v>
      </c>
      <c r="AN250" s="1" t="s">
        <v>71</v>
      </c>
      <c r="AS250" s="1" t="s">
        <v>71</v>
      </c>
      <c r="BH250" s="1" t="s">
        <v>71</v>
      </c>
    </row>
    <row r="251" customFormat="false" ht="15" hidden="false" customHeight="false" outlineLevel="0" collapsed="false">
      <c r="A251" s="1" t="s">
        <v>1011</v>
      </c>
      <c r="B251" s="1" t="s">
        <v>1012</v>
      </c>
      <c r="C251" s="1" t="s">
        <v>188</v>
      </c>
      <c r="D251" s="1" t="s">
        <v>189</v>
      </c>
      <c r="E251" s="1" t="s">
        <v>59</v>
      </c>
      <c r="F251" s="1" t="s">
        <v>63</v>
      </c>
      <c r="G251" s="1" t="s">
        <v>59</v>
      </c>
      <c r="H251" s="1" t="s">
        <v>64</v>
      </c>
      <c r="K251" s="1" t="s">
        <v>65</v>
      </c>
      <c r="L251" s="1" t="s">
        <v>66</v>
      </c>
      <c r="M251" s="1" t="s">
        <v>382</v>
      </c>
      <c r="N251" s="1" t="s">
        <v>68</v>
      </c>
      <c r="O251" s="1" t="s">
        <v>69</v>
      </c>
      <c r="P251" s="1"/>
      <c r="Q251" s="1" t="s">
        <v>70</v>
      </c>
      <c r="U251" s="1" t="s">
        <v>1011</v>
      </c>
      <c r="Z251" s="1" t="s">
        <v>71</v>
      </c>
      <c r="AE251" s="1" t="s">
        <v>1013</v>
      </c>
      <c r="AH251" s="1" t="s">
        <v>73</v>
      </c>
      <c r="AK251" s="1" t="s">
        <v>71</v>
      </c>
      <c r="AM251" s="1" t="s">
        <v>71</v>
      </c>
      <c r="AN251" s="1" t="s">
        <v>71</v>
      </c>
      <c r="AS251" s="1" t="s">
        <v>71</v>
      </c>
      <c r="AX251" s="1" t="s">
        <v>71</v>
      </c>
      <c r="AY251" s="1" t="s">
        <v>59</v>
      </c>
      <c r="AZ251" s="1" t="s">
        <v>74</v>
      </c>
      <c r="BH251" s="1" t="s">
        <v>71</v>
      </c>
    </row>
    <row r="252" customFormat="false" ht="15" hidden="false" customHeight="false" outlineLevel="0" collapsed="false">
      <c r="A252" s="1" t="s">
        <v>1014</v>
      </c>
      <c r="B252" s="1" t="s">
        <v>1015</v>
      </c>
      <c r="C252" s="1" t="s">
        <v>188</v>
      </c>
      <c r="D252" s="1" t="s">
        <v>189</v>
      </c>
      <c r="E252" s="1" t="s">
        <v>59</v>
      </c>
      <c r="F252" s="1" t="s">
        <v>63</v>
      </c>
      <c r="G252" s="1" t="s">
        <v>59</v>
      </c>
      <c r="H252" s="1" t="s">
        <v>64</v>
      </c>
      <c r="K252" s="1" t="s">
        <v>65</v>
      </c>
      <c r="L252" s="1" t="s">
        <v>66</v>
      </c>
      <c r="M252" s="1" t="s">
        <v>382</v>
      </c>
      <c r="N252" s="1" t="s">
        <v>79</v>
      </c>
      <c r="O252" s="1" t="s">
        <v>80</v>
      </c>
      <c r="P252" s="1"/>
      <c r="Q252" s="1" t="s">
        <v>70</v>
      </c>
      <c r="U252" s="1" t="s">
        <v>1014</v>
      </c>
      <c r="Z252" s="1" t="s">
        <v>71</v>
      </c>
      <c r="AE252" s="1" t="s">
        <v>1013</v>
      </c>
      <c r="AH252" s="1" t="s">
        <v>73</v>
      </c>
      <c r="AK252" s="1" t="s">
        <v>71</v>
      </c>
      <c r="AM252" s="1" t="s">
        <v>71</v>
      </c>
      <c r="AN252" s="1" t="s">
        <v>71</v>
      </c>
      <c r="AS252" s="1" t="s">
        <v>71</v>
      </c>
      <c r="AX252" s="1" t="s">
        <v>71</v>
      </c>
      <c r="AY252" s="1" t="s">
        <v>59</v>
      </c>
      <c r="AZ252" s="1" t="s">
        <v>74</v>
      </c>
      <c r="BH252" s="1" t="s">
        <v>71</v>
      </c>
    </row>
    <row r="253" customFormat="false" ht="15" hidden="false" customHeight="false" outlineLevel="0" collapsed="false">
      <c r="A253" s="1" t="s">
        <v>1016</v>
      </c>
      <c r="B253" s="1" t="s">
        <v>1017</v>
      </c>
      <c r="C253" s="1" t="s">
        <v>61</v>
      </c>
      <c r="D253" s="1" t="s">
        <v>62</v>
      </c>
      <c r="E253" s="1" t="s">
        <v>61</v>
      </c>
      <c r="F253" s="1" t="s">
        <v>101</v>
      </c>
      <c r="G253" s="1" t="s">
        <v>93</v>
      </c>
      <c r="H253" s="1" t="s">
        <v>64</v>
      </c>
      <c r="K253" s="1" t="s">
        <v>1018</v>
      </c>
      <c r="L253" s="1" t="s">
        <v>1019</v>
      </c>
      <c r="M253" s="1" t="s">
        <v>1020</v>
      </c>
      <c r="N253" s="1" t="s">
        <v>105</v>
      </c>
      <c r="O253" s="1" t="s">
        <v>106</v>
      </c>
      <c r="P253" s="1"/>
      <c r="Q253" s="1" t="s">
        <v>70</v>
      </c>
      <c r="U253" s="1" t="s">
        <v>1016</v>
      </c>
      <c r="Z253" s="1" t="s">
        <v>71</v>
      </c>
      <c r="AA253" s="1" t="s">
        <v>91</v>
      </c>
      <c r="AE253" s="1" t="s">
        <v>1021</v>
      </c>
      <c r="AH253" s="1" t="s">
        <v>73</v>
      </c>
      <c r="AK253" s="1" t="s">
        <v>71</v>
      </c>
      <c r="AM253" s="1" t="s">
        <v>71</v>
      </c>
      <c r="AN253" s="1" t="s">
        <v>71</v>
      </c>
      <c r="AS253" s="1" t="s">
        <v>71</v>
      </c>
      <c r="AX253" s="1" t="s">
        <v>71</v>
      </c>
      <c r="AY253" s="1" t="s">
        <v>59</v>
      </c>
      <c r="AZ253" s="1" t="s">
        <v>74</v>
      </c>
      <c r="BH253" s="1" t="s">
        <v>71</v>
      </c>
    </row>
    <row r="254" customFormat="false" ht="15" hidden="false" customHeight="false" outlineLevel="0" collapsed="false">
      <c r="A254" s="1" t="s">
        <v>1022</v>
      </c>
      <c r="B254" s="1" t="s">
        <v>1023</v>
      </c>
      <c r="C254" s="1" t="s">
        <v>188</v>
      </c>
      <c r="D254" s="1" t="s">
        <v>189</v>
      </c>
      <c r="E254" s="1" t="s">
        <v>59</v>
      </c>
      <c r="F254" s="1" t="s">
        <v>63</v>
      </c>
      <c r="G254" s="1" t="s">
        <v>59</v>
      </c>
      <c r="H254" s="1" t="s">
        <v>64</v>
      </c>
      <c r="K254" s="1" t="s">
        <v>93</v>
      </c>
      <c r="L254" s="1" t="s">
        <v>95</v>
      </c>
      <c r="M254" s="1" t="s">
        <v>1024</v>
      </c>
      <c r="N254" s="1" t="s">
        <v>79</v>
      </c>
      <c r="O254" s="1" t="s">
        <v>80</v>
      </c>
      <c r="P254" s="1"/>
      <c r="Q254" s="1" t="s">
        <v>70</v>
      </c>
      <c r="U254" s="1" t="s">
        <v>1022</v>
      </c>
      <c r="Z254" s="1" t="s">
        <v>71</v>
      </c>
      <c r="AE254" s="1" t="s">
        <v>1025</v>
      </c>
      <c r="AH254" s="1" t="s">
        <v>73</v>
      </c>
      <c r="AK254" s="1" t="s">
        <v>71</v>
      </c>
      <c r="AM254" s="1" t="s">
        <v>71</v>
      </c>
      <c r="AN254" s="1" t="s">
        <v>71</v>
      </c>
      <c r="AS254" s="1" t="s">
        <v>71</v>
      </c>
      <c r="AY254" s="1" t="s">
        <v>59</v>
      </c>
      <c r="AZ254" s="1" t="s">
        <v>74</v>
      </c>
      <c r="BH254" s="1" t="s">
        <v>71</v>
      </c>
    </row>
    <row r="255" customFormat="false" ht="15" hidden="false" customHeight="false" outlineLevel="0" collapsed="false">
      <c r="A255" s="1" t="s">
        <v>1026</v>
      </c>
      <c r="B255" s="1" t="s">
        <v>1027</v>
      </c>
      <c r="C255" s="1" t="s">
        <v>188</v>
      </c>
      <c r="D255" s="1" t="s">
        <v>189</v>
      </c>
      <c r="E255" s="1" t="s">
        <v>59</v>
      </c>
      <c r="F255" s="1" t="s">
        <v>63</v>
      </c>
      <c r="G255" s="1" t="s">
        <v>59</v>
      </c>
      <c r="H255" s="1" t="s">
        <v>64</v>
      </c>
      <c r="K255" s="1" t="s">
        <v>88</v>
      </c>
      <c r="L255" s="1" t="s">
        <v>89</v>
      </c>
      <c r="M255" s="1" t="s">
        <v>1028</v>
      </c>
      <c r="N255" s="1" t="s">
        <v>123</v>
      </c>
      <c r="O255" s="1" t="s">
        <v>124</v>
      </c>
      <c r="P255" s="1"/>
      <c r="Q255" s="1" t="s">
        <v>70</v>
      </c>
      <c r="U255" s="1" t="s">
        <v>1026</v>
      </c>
      <c r="Z255" s="1" t="s">
        <v>71</v>
      </c>
      <c r="AE255" s="1" t="s">
        <v>1025</v>
      </c>
      <c r="AH255" s="1" t="s">
        <v>73</v>
      </c>
      <c r="AK255" s="1" t="s">
        <v>71</v>
      </c>
      <c r="AM255" s="1" t="s">
        <v>71</v>
      </c>
      <c r="AN255" s="1" t="s">
        <v>71</v>
      </c>
      <c r="AS255" s="1" t="s">
        <v>71</v>
      </c>
      <c r="AY255" s="1" t="s">
        <v>59</v>
      </c>
      <c r="AZ255" s="1" t="s">
        <v>74</v>
      </c>
      <c r="BH255" s="1" t="s">
        <v>71</v>
      </c>
    </row>
    <row r="256" customFormat="false" ht="15" hidden="false" customHeight="false" outlineLevel="0" collapsed="false">
      <c r="A256" s="1" t="s">
        <v>1029</v>
      </c>
      <c r="B256" s="1" t="s">
        <v>1030</v>
      </c>
      <c r="C256" s="1" t="s">
        <v>1031</v>
      </c>
      <c r="D256" s="1" t="s">
        <v>1032</v>
      </c>
      <c r="E256" s="1" t="s">
        <v>59</v>
      </c>
      <c r="F256" s="1" t="s">
        <v>63</v>
      </c>
      <c r="G256" s="1" t="s">
        <v>59</v>
      </c>
      <c r="H256" s="1" t="s">
        <v>64</v>
      </c>
      <c r="K256" s="1" t="s">
        <v>61</v>
      </c>
      <c r="L256" s="1" t="s">
        <v>78</v>
      </c>
      <c r="M256" s="1" t="s">
        <v>1033</v>
      </c>
      <c r="N256" s="1" t="s">
        <v>79</v>
      </c>
      <c r="O256" s="1" t="s">
        <v>80</v>
      </c>
      <c r="P256" s="1"/>
      <c r="Q256" s="1" t="s">
        <v>70</v>
      </c>
      <c r="U256" s="1" t="s">
        <v>1029</v>
      </c>
      <c r="Z256" s="1" t="s">
        <v>71</v>
      </c>
      <c r="AE256" s="1" t="s">
        <v>1034</v>
      </c>
      <c r="AH256" s="1" t="s">
        <v>73</v>
      </c>
      <c r="AK256" s="1" t="s">
        <v>71</v>
      </c>
      <c r="AM256" s="1" t="s">
        <v>71</v>
      </c>
      <c r="AN256" s="1" t="s">
        <v>71</v>
      </c>
      <c r="AS256" s="1" t="s">
        <v>71</v>
      </c>
      <c r="AX256" s="1" t="s">
        <v>71</v>
      </c>
      <c r="AY256" s="1" t="s">
        <v>59</v>
      </c>
      <c r="AZ256" s="1" t="s">
        <v>74</v>
      </c>
      <c r="BH256" s="1" t="s">
        <v>71</v>
      </c>
    </row>
    <row r="257" customFormat="false" ht="15" hidden="false" customHeight="false" outlineLevel="0" collapsed="false">
      <c r="A257" s="1" t="s">
        <v>1035</v>
      </c>
      <c r="B257" s="1" t="s">
        <v>1036</v>
      </c>
      <c r="C257" s="1" t="s">
        <v>220</v>
      </c>
      <c r="D257" s="1" t="s">
        <v>540</v>
      </c>
      <c r="E257" s="1" t="s">
        <v>82</v>
      </c>
      <c r="F257" s="1" t="s">
        <v>391</v>
      </c>
      <c r="G257" s="1" t="s">
        <v>213</v>
      </c>
      <c r="H257" s="1" t="s">
        <v>477</v>
      </c>
      <c r="K257" s="1" t="s">
        <v>478</v>
      </c>
      <c r="L257" s="1" t="s">
        <v>479</v>
      </c>
      <c r="M257" s="1" t="s">
        <v>496</v>
      </c>
      <c r="N257" s="1" t="s">
        <v>639</v>
      </c>
      <c r="O257" s="1" t="s">
        <v>640</v>
      </c>
      <c r="P257" s="1"/>
      <c r="Q257" s="1" t="s">
        <v>70</v>
      </c>
      <c r="U257" s="1" t="s">
        <v>1035</v>
      </c>
      <c r="Z257" s="1" t="s">
        <v>71</v>
      </c>
      <c r="AE257" s="1" t="s">
        <v>1037</v>
      </c>
      <c r="AH257" s="1" t="s">
        <v>73</v>
      </c>
      <c r="AK257" s="1" t="s">
        <v>71</v>
      </c>
      <c r="AM257" s="1" t="s">
        <v>71</v>
      </c>
      <c r="AN257" s="1" t="s">
        <v>71</v>
      </c>
      <c r="AS257" s="1" t="s">
        <v>71</v>
      </c>
      <c r="AX257" s="1" t="s">
        <v>71</v>
      </c>
      <c r="BH257" s="1" t="s">
        <v>71</v>
      </c>
    </row>
    <row r="258" customFormat="false" ht="15" hidden="false" customHeight="false" outlineLevel="0" collapsed="false">
      <c r="A258" s="1" t="s">
        <v>1038</v>
      </c>
      <c r="B258" s="1" t="s">
        <v>1039</v>
      </c>
      <c r="C258" s="1" t="s">
        <v>220</v>
      </c>
      <c r="D258" s="1" t="s">
        <v>540</v>
      </c>
      <c r="E258" s="1" t="s">
        <v>82</v>
      </c>
      <c r="F258" s="1" t="s">
        <v>391</v>
      </c>
      <c r="G258" s="1" t="s">
        <v>97</v>
      </c>
      <c r="H258" s="1" t="s">
        <v>406</v>
      </c>
      <c r="M258" s="1" t="s">
        <v>496</v>
      </c>
      <c r="N258" s="1" t="s">
        <v>596</v>
      </c>
      <c r="O258" s="1" t="s">
        <v>400</v>
      </c>
      <c r="P258" s="1"/>
      <c r="Q258" s="1" t="s">
        <v>70</v>
      </c>
      <c r="U258" s="1" t="s">
        <v>1038</v>
      </c>
      <c r="Z258" s="1" t="s">
        <v>71</v>
      </c>
      <c r="AE258" s="1" t="s">
        <v>1037</v>
      </c>
      <c r="AH258" s="1" t="s">
        <v>73</v>
      </c>
      <c r="AK258" s="1" t="s">
        <v>71</v>
      </c>
      <c r="AM258" s="1" t="s">
        <v>71</v>
      </c>
      <c r="AN258" s="1" t="s">
        <v>71</v>
      </c>
      <c r="AS258" s="1" t="s">
        <v>71</v>
      </c>
      <c r="BH258" s="1" t="s">
        <v>71</v>
      </c>
    </row>
    <row r="259" customFormat="false" ht="15" hidden="false" customHeight="false" outlineLevel="0" collapsed="false">
      <c r="A259" s="1" t="s">
        <v>1040</v>
      </c>
      <c r="B259" s="1" t="s">
        <v>1041</v>
      </c>
      <c r="C259" s="1" t="s">
        <v>152</v>
      </c>
      <c r="D259" s="1" t="s">
        <v>464</v>
      </c>
      <c r="E259" s="1" t="s">
        <v>82</v>
      </c>
      <c r="F259" s="1" t="s">
        <v>391</v>
      </c>
      <c r="G259" s="1" t="s">
        <v>97</v>
      </c>
      <c r="H259" s="1" t="s">
        <v>406</v>
      </c>
      <c r="M259" s="1" t="s">
        <v>465</v>
      </c>
      <c r="N259" s="1" t="s">
        <v>1042</v>
      </c>
      <c r="O259" s="1" t="s">
        <v>1043</v>
      </c>
      <c r="P259" s="1"/>
      <c r="Q259" s="1" t="s">
        <v>70</v>
      </c>
      <c r="U259" s="1" t="s">
        <v>1040</v>
      </c>
      <c r="Z259" s="1" t="s">
        <v>71</v>
      </c>
      <c r="AE259" s="1" t="s">
        <v>1037</v>
      </c>
      <c r="AH259" s="1" t="s">
        <v>73</v>
      </c>
      <c r="AK259" s="1" t="s">
        <v>71</v>
      </c>
      <c r="AM259" s="1" t="s">
        <v>71</v>
      </c>
      <c r="AN259" s="1" t="s">
        <v>71</v>
      </c>
      <c r="AS259" s="1" t="s">
        <v>71</v>
      </c>
      <c r="BH259" s="1" t="s">
        <v>71</v>
      </c>
    </row>
    <row r="260" customFormat="false" ht="15" hidden="false" customHeight="false" outlineLevel="0" collapsed="false">
      <c r="A260" s="1" t="s">
        <v>1044</v>
      </c>
      <c r="B260" s="1" t="s">
        <v>1045</v>
      </c>
      <c r="C260" s="1" t="s">
        <v>152</v>
      </c>
      <c r="D260" s="1" t="s">
        <v>464</v>
      </c>
      <c r="E260" s="1" t="s">
        <v>82</v>
      </c>
      <c r="F260" s="1" t="s">
        <v>391</v>
      </c>
      <c r="G260" s="1" t="s">
        <v>97</v>
      </c>
      <c r="H260" s="1" t="s">
        <v>406</v>
      </c>
      <c r="M260" s="1" t="s">
        <v>465</v>
      </c>
      <c r="N260" s="1" t="s">
        <v>1046</v>
      </c>
      <c r="O260" s="1" t="s">
        <v>447</v>
      </c>
      <c r="P260" s="1"/>
      <c r="Q260" s="1" t="s">
        <v>70</v>
      </c>
      <c r="U260" s="1" t="s">
        <v>1044</v>
      </c>
      <c r="Z260" s="1" t="s">
        <v>71</v>
      </c>
      <c r="AE260" s="1" t="s">
        <v>1037</v>
      </c>
      <c r="AH260" s="1" t="s">
        <v>73</v>
      </c>
      <c r="AK260" s="1" t="s">
        <v>71</v>
      </c>
      <c r="AM260" s="1" t="s">
        <v>71</v>
      </c>
      <c r="AN260" s="1" t="s">
        <v>71</v>
      </c>
      <c r="AS260" s="1" t="s">
        <v>71</v>
      </c>
      <c r="BH260" s="1" t="s">
        <v>71</v>
      </c>
    </row>
    <row r="261" customFormat="false" ht="15" hidden="false" customHeight="false" outlineLevel="0" collapsed="false">
      <c r="A261" s="1" t="s">
        <v>1047</v>
      </c>
      <c r="B261" s="1" t="s">
        <v>1048</v>
      </c>
      <c r="C261" s="1" t="s">
        <v>831</v>
      </c>
      <c r="D261" s="1" t="s">
        <v>832</v>
      </c>
      <c r="E261" s="1" t="s">
        <v>82</v>
      </c>
      <c r="F261" s="1" t="s">
        <v>391</v>
      </c>
      <c r="G261" s="1" t="s">
        <v>97</v>
      </c>
      <c r="H261" s="1" t="s">
        <v>406</v>
      </c>
      <c r="M261" s="1" t="s">
        <v>465</v>
      </c>
      <c r="N261" s="1" t="s">
        <v>1049</v>
      </c>
      <c r="O261" s="1" t="s">
        <v>400</v>
      </c>
      <c r="P261" s="1"/>
      <c r="Q261" s="1" t="s">
        <v>70</v>
      </c>
      <c r="U261" s="1" t="s">
        <v>1047</v>
      </c>
      <c r="Z261" s="1" t="s">
        <v>71</v>
      </c>
      <c r="AE261" s="1" t="s">
        <v>1037</v>
      </c>
      <c r="AH261" s="1" t="s">
        <v>73</v>
      </c>
      <c r="AK261" s="1" t="s">
        <v>71</v>
      </c>
      <c r="AM261" s="1" t="s">
        <v>71</v>
      </c>
      <c r="AN261" s="1" t="s">
        <v>71</v>
      </c>
      <c r="AS261" s="1" t="s">
        <v>71</v>
      </c>
      <c r="BH261" s="1" t="s">
        <v>71</v>
      </c>
    </row>
    <row r="262" customFormat="false" ht="15" hidden="false" customHeight="false" outlineLevel="0" collapsed="false">
      <c r="A262" s="1" t="s">
        <v>1050</v>
      </c>
      <c r="B262" s="1" t="s">
        <v>1051</v>
      </c>
      <c r="C262" s="1" t="s">
        <v>831</v>
      </c>
      <c r="D262" s="1" t="s">
        <v>832</v>
      </c>
      <c r="E262" s="1" t="s">
        <v>82</v>
      </c>
      <c r="F262" s="1" t="s">
        <v>391</v>
      </c>
      <c r="G262" s="1" t="s">
        <v>97</v>
      </c>
      <c r="H262" s="1" t="s">
        <v>406</v>
      </c>
      <c r="M262" s="1" t="s">
        <v>496</v>
      </c>
      <c r="N262" s="1" t="s">
        <v>450</v>
      </c>
      <c r="O262" s="1" t="s">
        <v>447</v>
      </c>
      <c r="P262" s="1"/>
      <c r="Q262" s="1" t="s">
        <v>70</v>
      </c>
      <c r="U262" s="1" t="s">
        <v>1050</v>
      </c>
      <c r="Z262" s="1" t="s">
        <v>71</v>
      </c>
      <c r="AE262" s="1" t="s">
        <v>1037</v>
      </c>
      <c r="AH262" s="1" t="s">
        <v>73</v>
      </c>
      <c r="AK262" s="1" t="s">
        <v>71</v>
      </c>
      <c r="AM262" s="1" t="s">
        <v>71</v>
      </c>
      <c r="AN262" s="1" t="s">
        <v>71</v>
      </c>
      <c r="AS262" s="1" t="s">
        <v>71</v>
      </c>
      <c r="BH262" s="1" t="s">
        <v>71</v>
      </c>
    </row>
    <row r="263" customFormat="false" ht="15" hidden="false" customHeight="false" outlineLevel="0" collapsed="false">
      <c r="A263" s="1" t="s">
        <v>1052</v>
      </c>
      <c r="B263" s="1" t="s">
        <v>1053</v>
      </c>
      <c r="C263" s="1" t="s">
        <v>831</v>
      </c>
      <c r="D263" s="1" t="s">
        <v>832</v>
      </c>
      <c r="E263" s="1" t="s">
        <v>82</v>
      </c>
      <c r="F263" s="1" t="s">
        <v>391</v>
      </c>
      <c r="G263" s="1" t="s">
        <v>97</v>
      </c>
      <c r="H263" s="1" t="s">
        <v>406</v>
      </c>
      <c r="K263" s="1" t="s">
        <v>453</v>
      </c>
      <c r="L263" s="1" t="s">
        <v>454</v>
      </c>
      <c r="M263" s="1" t="s">
        <v>465</v>
      </c>
      <c r="N263" s="1" t="s">
        <v>1054</v>
      </c>
      <c r="O263" s="1" t="s">
        <v>1055</v>
      </c>
      <c r="P263" s="1"/>
      <c r="Q263" s="1" t="s">
        <v>70</v>
      </c>
      <c r="U263" s="1" t="s">
        <v>1052</v>
      </c>
      <c r="Z263" s="1" t="s">
        <v>71</v>
      </c>
      <c r="AE263" s="1" t="s">
        <v>1037</v>
      </c>
      <c r="AH263" s="1" t="s">
        <v>73</v>
      </c>
      <c r="AK263" s="1" t="s">
        <v>71</v>
      </c>
      <c r="AM263" s="1" t="s">
        <v>71</v>
      </c>
      <c r="AN263" s="1" t="s">
        <v>71</v>
      </c>
      <c r="AS263" s="1" t="s">
        <v>71</v>
      </c>
      <c r="AX263" s="1" t="s">
        <v>71</v>
      </c>
      <c r="BH263" s="1" t="s">
        <v>71</v>
      </c>
    </row>
    <row r="264" customFormat="false" ht="15" hidden="false" customHeight="false" outlineLevel="0" collapsed="false">
      <c r="A264" s="1" t="s">
        <v>1056</v>
      </c>
      <c r="B264" s="1" t="s">
        <v>1057</v>
      </c>
      <c r="C264" s="1" t="s">
        <v>831</v>
      </c>
      <c r="D264" s="1" t="s">
        <v>832</v>
      </c>
      <c r="E264" s="1" t="s">
        <v>82</v>
      </c>
      <c r="F264" s="1" t="s">
        <v>391</v>
      </c>
      <c r="G264" s="1" t="s">
        <v>97</v>
      </c>
      <c r="H264" s="1" t="s">
        <v>406</v>
      </c>
      <c r="K264" s="1" t="s">
        <v>453</v>
      </c>
      <c r="L264" s="1" t="s">
        <v>454</v>
      </c>
      <c r="M264" s="1" t="s">
        <v>465</v>
      </c>
      <c r="N264" s="1" t="s">
        <v>1058</v>
      </c>
      <c r="O264" s="1" t="s">
        <v>1059</v>
      </c>
      <c r="P264" s="1"/>
      <c r="Q264" s="1" t="s">
        <v>70</v>
      </c>
      <c r="U264" s="1" t="s">
        <v>1056</v>
      </c>
      <c r="Z264" s="1" t="s">
        <v>71</v>
      </c>
      <c r="AE264" s="1" t="s">
        <v>1037</v>
      </c>
      <c r="AH264" s="1" t="s">
        <v>73</v>
      </c>
      <c r="AK264" s="1" t="s">
        <v>71</v>
      </c>
      <c r="AM264" s="1" t="s">
        <v>71</v>
      </c>
      <c r="AN264" s="1" t="s">
        <v>71</v>
      </c>
      <c r="AS264" s="1" t="s">
        <v>71</v>
      </c>
      <c r="AX264" s="1" t="s">
        <v>71</v>
      </c>
      <c r="BH264" s="1" t="s">
        <v>71</v>
      </c>
    </row>
    <row r="265" customFormat="false" ht="15" hidden="false" customHeight="false" outlineLevel="0" collapsed="false">
      <c r="A265" s="1" t="s">
        <v>1060</v>
      </c>
      <c r="B265" s="1" t="s">
        <v>1061</v>
      </c>
      <c r="C265" s="1" t="s">
        <v>134</v>
      </c>
      <c r="D265" s="1" t="s">
        <v>1062</v>
      </c>
      <c r="E265" s="1" t="s">
        <v>59</v>
      </c>
      <c r="F265" s="1" t="s">
        <v>63</v>
      </c>
      <c r="G265" s="1" t="s">
        <v>59</v>
      </c>
      <c r="H265" s="1" t="s">
        <v>64</v>
      </c>
      <c r="K265" s="1" t="s">
        <v>275</v>
      </c>
      <c r="L265" s="1" t="s">
        <v>1063</v>
      </c>
      <c r="M265" s="1" t="s">
        <v>1064</v>
      </c>
      <c r="N265" s="1" t="s">
        <v>79</v>
      </c>
      <c r="O265" s="1" t="s">
        <v>80</v>
      </c>
      <c r="P265" s="1"/>
      <c r="Q265" s="1" t="s">
        <v>70</v>
      </c>
      <c r="U265" s="1" t="s">
        <v>1060</v>
      </c>
      <c r="Z265" s="1" t="s">
        <v>71</v>
      </c>
      <c r="AA265" s="1" t="s">
        <v>91</v>
      </c>
      <c r="AE265" s="1" t="s">
        <v>1065</v>
      </c>
      <c r="AH265" s="1" t="s">
        <v>73</v>
      </c>
      <c r="AK265" s="1" t="s">
        <v>71</v>
      </c>
      <c r="AM265" s="1" t="s">
        <v>71</v>
      </c>
      <c r="AN265" s="1" t="s">
        <v>71</v>
      </c>
      <c r="AS265" s="1" t="s">
        <v>71</v>
      </c>
      <c r="AX265" s="1" t="s">
        <v>71</v>
      </c>
      <c r="AY265" s="1" t="s">
        <v>59</v>
      </c>
      <c r="AZ265" s="1" t="s">
        <v>74</v>
      </c>
      <c r="BH265" s="1" t="s">
        <v>71</v>
      </c>
    </row>
    <row r="266" customFormat="false" ht="15" hidden="false" customHeight="false" outlineLevel="0" collapsed="false">
      <c r="A266" s="1" t="s">
        <v>1066</v>
      </c>
      <c r="B266" s="1" t="s">
        <v>1067</v>
      </c>
      <c r="C266" s="1" t="s">
        <v>152</v>
      </c>
      <c r="D266" s="1" t="s">
        <v>464</v>
      </c>
      <c r="E266" s="1" t="s">
        <v>82</v>
      </c>
      <c r="F266" s="1" t="s">
        <v>391</v>
      </c>
      <c r="G266" s="1" t="s">
        <v>97</v>
      </c>
      <c r="H266" s="1" t="s">
        <v>406</v>
      </c>
      <c r="M266" s="1" t="s">
        <v>465</v>
      </c>
      <c r="N266" s="1" t="s">
        <v>1068</v>
      </c>
      <c r="O266" s="1" t="s">
        <v>400</v>
      </c>
      <c r="P266" s="1"/>
      <c r="Q266" s="1" t="s">
        <v>70</v>
      </c>
      <c r="U266" s="1" t="s">
        <v>1066</v>
      </c>
      <c r="Z266" s="1" t="s">
        <v>71</v>
      </c>
      <c r="AE266" s="1" t="s">
        <v>1069</v>
      </c>
      <c r="AH266" s="1" t="s">
        <v>73</v>
      </c>
      <c r="AK266" s="1" t="s">
        <v>71</v>
      </c>
      <c r="AM266" s="1" t="s">
        <v>71</v>
      </c>
      <c r="AN266" s="1" t="s">
        <v>71</v>
      </c>
      <c r="AS266" s="1" t="s">
        <v>71</v>
      </c>
      <c r="BH266" s="1" t="s">
        <v>71</v>
      </c>
    </row>
    <row r="267" customFormat="false" ht="15" hidden="false" customHeight="false" outlineLevel="0" collapsed="false">
      <c r="A267" s="1" t="s">
        <v>1070</v>
      </c>
      <c r="B267" s="1" t="s">
        <v>1071</v>
      </c>
      <c r="C267" s="1" t="s">
        <v>152</v>
      </c>
      <c r="D267" s="1" t="s">
        <v>464</v>
      </c>
      <c r="E267" s="1" t="s">
        <v>82</v>
      </c>
      <c r="F267" s="1" t="s">
        <v>391</v>
      </c>
      <c r="G267" s="1" t="s">
        <v>97</v>
      </c>
      <c r="H267" s="1" t="s">
        <v>406</v>
      </c>
      <c r="M267" s="1" t="s">
        <v>465</v>
      </c>
      <c r="N267" s="1" t="s">
        <v>1072</v>
      </c>
      <c r="O267" s="1" t="s">
        <v>1073</v>
      </c>
      <c r="P267" s="1"/>
      <c r="Q267" s="1" t="s">
        <v>70</v>
      </c>
      <c r="U267" s="1" t="s">
        <v>1070</v>
      </c>
      <c r="Z267" s="1" t="s">
        <v>71</v>
      </c>
      <c r="AE267" s="1" t="s">
        <v>1069</v>
      </c>
      <c r="AH267" s="1" t="s">
        <v>73</v>
      </c>
      <c r="AK267" s="1" t="s">
        <v>71</v>
      </c>
      <c r="AM267" s="1" t="s">
        <v>71</v>
      </c>
      <c r="AN267" s="1" t="s">
        <v>71</v>
      </c>
      <c r="AS267" s="1" t="s">
        <v>71</v>
      </c>
      <c r="BH267" s="1" t="s">
        <v>71</v>
      </c>
    </row>
    <row r="268" customFormat="false" ht="15" hidden="false" customHeight="false" outlineLevel="0" collapsed="false">
      <c r="A268" s="1" t="s">
        <v>1074</v>
      </c>
      <c r="B268" s="1" t="s">
        <v>1075</v>
      </c>
      <c r="C268" s="1" t="s">
        <v>188</v>
      </c>
      <c r="D268" s="1" t="s">
        <v>189</v>
      </c>
      <c r="E268" s="1" t="s">
        <v>59</v>
      </c>
      <c r="F268" s="1" t="s">
        <v>63</v>
      </c>
      <c r="G268" s="1" t="s">
        <v>59</v>
      </c>
      <c r="H268" s="1" t="s">
        <v>64</v>
      </c>
      <c r="K268" s="1" t="s">
        <v>275</v>
      </c>
      <c r="L268" s="1" t="s">
        <v>1063</v>
      </c>
      <c r="M268" s="1" t="s">
        <v>1064</v>
      </c>
      <c r="N268" s="1" t="s">
        <v>79</v>
      </c>
      <c r="O268" s="1" t="s">
        <v>80</v>
      </c>
      <c r="P268" s="1"/>
      <c r="Q268" s="1" t="s">
        <v>70</v>
      </c>
      <c r="U268" s="1" t="s">
        <v>1074</v>
      </c>
      <c r="Z268" s="1" t="s">
        <v>71</v>
      </c>
      <c r="AE268" s="1" t="s">
        <v>1076</v>
      </c>
      <c r="AH268" s="1" t="s">
        <v>73</v>
      </c>
      <c r="AK268" s="1" t="s">
        <v>71</v>
      </c>
      <c r="AM268" s="1" t="s">
        <v>71</v>
      </c>
      <c r="AN268" s="1" t="s">
        <v>71</v>
      </c>
      <c r="AS268" s="1" t="s">
        <v>71</v>
      </c>
      <c r="AY268" s="1" t="s">
        <v>59</v>
      </c>
      <c r="AZ268" s="1" t="s">
        <v>74</v>
      </c>
      <c r="BH268" s="1" t="s">
        <v>71</v>
      </c>
    </row>
    <row r="269" customFormat="false" ht="15" hidden="false" customHeight="false" outlineLevel="0" collapsed="false">
      <c r="A269" s="1" t="s">
        <v>1077</v>
      </c>
      <c r="B269" s="1" t="s">
        <v>1078</v>
      </c>
      <c r="C269" s="1" t="s">
        <v>188</v>
      </c>
      <c r="D269" s="1" t="s">
        <v>189</v>
      </c>
      <c r="E269" s="1" t="s">
        <v>59</v>
      </c>
      <c r="F269" s="1" t="s">
        <v>63</v>
      </c>
      <c r="G269" s="1" t="s">
        <v>59</v>
      </c>
      <c r="H269" s="1" t="s">
        <v>64</v>
      </c>
      <c r="K269" s="1" t="s">
        <v>148</v>
      </c>
      <c r="L269" s="1" t="s">
        <v>149</v>
      </c>
      <c r="M269" s="1" t="s">
        <v>348</v>
      </c>
      <c r="N269" s="1" t="s">
        <v>79</v>
      </c>
      <c r="O269" s="1" t="s">
        <v>80</v>
      </c>
      <c r="P269" s="1"/>
      <c r="Q269" s="1" t="s">
        <v>70</v>
      </c>
      <c r="U269" s="1" t="s">
        <v>1077</v>
      </c>
      <c r="Z269" s="1" t="s">
        <v>71</v>
      </c>
      <c r="AE269" s="1" t="s">
        <v>1076</v>
      </c>
      <c r="AH269" s="1" t="s">
        <v>73</v>
      </c>
      <c r="AK269" s="1" t="s">
        <v>71</v>
      </c>
      <c r="AM269" s="1" t="s">
        <v>71</v>
      </c>
      <c r="AN269" s="1" t="s">
        <v>71</v>
      </c>
      <c r="AS269" s="1" t="s">
        <v>71</v>
      </c>
      <c r="AY269" s="1" t="s">
        <v>59</v>
      </c>
      <c r="AZ269" s="1" t="s">
        <v>74</v>
      </c>
      <c r="BH269" s="1" t="s">
        <v>71</v>
      </c>
    </row>
    <row r="270" customFormat="false" ht="15" hidden="false" customHeight="false" outlineLevel="0" collapsed="false">
      <c r="A270" s="1" t="s">
        <v>1079</v>
      </c>
      <c r="B270" s="1" t="s">
        <v>1080</v>
      </c>
      <c r="C270" s="1" t="s">
        <v>61</v>
      </c>
      <c r="D270" s="1" t="s">
        <v>62</v>
      </c>
      <c r="E270" s="1" t="s">
        <v>59</v>
      </c>
      <c r="F270" s="1" t="s">
        <v>63</v>
      </c>
      <c r="G270" s="1" t="s">
        <v>59</v>
      </c>
      <c r="H270" s="1" t="s">
        <v>64</v>
      </c>
      <c r="K270" s="1" t="s">
        <v>148</v>
      </c>
      <c r="L270" s="1" t="s">
        <v>149</v>
      </c>
      <c r="M270" s="1" t="s">
        <v>348</v>
      </c>
      <c r="N270" s="1" t="s">
        <v>79</v>
      </c>
      <c r="O270" s="1" t="s">
        <v>80</v>
      </c>
      <c r="P270" s="1"/>
      <c r="Q270" s="1" t="s">
        <v>70</v>
      </c>
      <c r="U270" s="1" t="s">
        <v>1079</v>
      </c>
      <c r="Z270" s="1" t="s">
        <v>71</v>
      </c>
      <c r="AA270" s="1" t="s">
        <v>91</v>
      </c>
      <c r="AE270" s="1" t="s">
        <v>1081</v>
      </c>
      <c r="AH270" s="1" t="s">
        <v>73</v>
      </c>
      <c r="AK270" s="1" t="s">
        <v>71</v>
      </c>
      <c r="AM270" s="1" t="s">
        <v>71</v>
      </c>
      <c r="AN270" s="1" t="s">
        <v>71</v>
      </c>
      <c r="AS270" s="1" t="s">
        <v>71</v>
      </c>
      <c r="AX270" s="1" t="s">
        <v>71</v>
      </c>
      <c r="AY270" s="1" t="s">
        <v>59</v>
      </c>
      <c r="AZ270" s="1" t="s">
        <v>74</v>
      </c>
      <c r="BH270" s="1" t="s">
        <v>71</v>
      </c>
    </row>
    <row r="271" customFormat="false" ht="15" hidden="false" customHeight="false" outlineLevel="0" collapsed="false">
      <c r="A271" s="1" t="s">
        <v>1082</v>
      </c>
      <c r="B271" s="1" t="s">
        <v>1083</v>
      </c>
      <c r="C271" s="1" t="s">
        <v>161</v>
      </c>
      <c r="D271" s="1" t="s">
        <v>162</v>
      </c>
      <c r="E271" s="1" t="s">
        <v>61</v>
      </c>
      <c r="F271" s="1" t="s">
        <v>101</v>
      </c>
      <c r="G271" s="1" t="s">
        <v>93</v>
      </c>
      <c r="H271" s="1" t="s">
        <v>64</v>
      </c>
      <c r="K271" s="1" t="s">
        <v>251</v>
      </c>
      <c r="L271" s="1" t="s">
        <v>1084</v>
      </c>
      <c r="M271" s="1" t="s">
        <v>104</v>
      </c>
      <c r="N271" s="1" t="s">
        <v>105</v>
      </c>
      <c r="O271" s="1" t="s">
        <v>106</v>
      </c>
      <c r="P271" s="1"/>
      <c r="Q271" s="1" t="s">
        <v>70</v>
      </c>
      <c r="U271" s="1" t="s">
        <v>1082</v>
      </c>
      <c r="Z271" s="1" t="s">
        <v>71</v>
      </c>
      <c r="AE271" s="1" t="s">
        <v>1085</v>
      </c>
      <c r="AH271" s="1" t="s">
        <v>73</v>
      </c>
      <c r="AK271" s="1" t="s">
        <v>71</v>
      </c>
      <c r="AM271" s="1" t="s">
        <v>71</v>
      </c>
      <c r="AN271" s="1" t="s">
        <v>71</v>
      </c>
      <c r="AS271" s="1" t="s">
        <v>71</v>
      </c>
      <c r="AX271" s="1" t="s">
        <v>71</v>
      </c>
      <c r="AY271" s="1" t="s">
        <v>59</v>
      </c>
      <c r="AZ271" s="1" t="s">
        <v>74</v>
      </c>
      <c r="BH271" s="1" t="s">
        <v>71</v>
      </c>
    </row>
    <row r="272" customFormat="false" ht="15" hidden="false" customHeight="false" outlineLevel="0" collapsed="false">
      <c r="A272" s="1" t="s">
        <v>1086</v>
      </c>
      <c r="B272" s="1" t="s">
        <v>1087</v>
      </c>
      <c r="C272" s="1" t="s">
        <v>582</v>
      </c>
      <c r="D272" s="1" t="s">
        <v>1088</v>
      </c>
      <c r="E272" s="1" t="s">
        <v>59</v>
      </c>
      <c r="F272" s="1" t="s">
        <v>63</v>
      </c>
      <c r="G272" s="1" t="s">
        <v>59</v>
      </c>
      <c r="H272" s="1" t="s">
        <v>64</v>
      </c>
      <c r="K272" s="1" t="s">
        <v>65</v>
      </c>
      <c r="L272" s="1" t="s">
        <v>66</v>
      </c>
      <c r="M272" s="1" t="s">
        <v>382</v>
      </c>
      <c r="N272" s="1" t="s">
        <v>68</v>
      </c>
      <c r="O272" s="1" t="s">
        <v>69</v>
      </c>
      <c r="P272" s="1"/>
      <c r="Q272" s="1" t="s">
        <v>70</v>
      </c>
      <c r="U272" s="1" t="s">
        <v>1086</v>
      </c>
      <c r="Z272" s="1" t="s">
        <v>71</v>
      </c>
      <c r="AE272" s="1" t="s">
        <v>1089</v>
      </c>
      <c r="AH272" s="1" t="s">
        <v>73</v>
      </c>
      <c r="AK272" s="1" t="s">
        <v>71</v>
      </c>
      <c r="AM272" s="1" t="s">
        <v>71</v>
      </c>
      <c r="AN272" s="1" t="s">
        <v>71</v>
      </c>
      <c r="AS272" s="1" t="s">
        <v>71</v>
      </c>
      <c r="AX272" s="1" t="s">
        <v>71</v>
      </c>
      <c r="AY272" s="1" t="s">
        <v>59</v>
      </c>
      <c r="AZ272" s="1" t="s">
        <v>74</v>
      </c>
      <c r="BH272" s="1" t="s">
        <v>71</v>
      </c>
    </row>
    <row r="273" customFormat="false" ht="15" hidden="false" customHeight="false" outlineLevel="0" collapsed="false">
      <c r="A273" s="1" t="s">
        <v>1090</v>
      </c>
      <c r="B273" s="1" t="s">
        <v>1091</v>
      </c>
      <c r="C273" s="1" t="s">
        <v>161</v>
      </c>
      <c r="D273" s="1" t="s">
        <v>162</v>
      </c>
      <c r="E273" s="1" t="s">
        <v>61</v>
      </c>
      <c r="F273" s="1" t="s">
        <v>101</v>
      </c>
      <c r="G273" s="1" t="s">
        <v>93</v>
      </c>
      <c r="H273" s="1" t="s">
        <v>64</v>
      </c>
      <c r="K273" s="1" t="s">
        <v>1092</v>
      </c>
      <c r="L273" s="1" t="s">
        <v>1093</v>
      </c>
      <c r="M273" s="1" t="s">
        <v>366</v>
      </c>
      <c r="N273" s="1" t="s">
        <v>105</v>
      </c>
      <c r="O273" s="1" t="s">
        <v>106</v>
      </c>
      <c r="P273" s="1" t="e">
        <f aca="false">image("https://drive.google.com/uc?export=view&amp;id=1GCsgcqvxlDaeSUunKsb5-OER0AARoNEG")</f>
        <v>#NAME?</v>
      </c>
      <c r="Q273" s="1" t="s">
        <v>205</v>
      </c>
      <c r="U273" s="1" t="s">
        <v>1090</v>
      </c>
      <c r="Z273" s="1" t="s">
        <v>71</v>
      </c>
      <c r="AE273" s="1" t="s">
        <v>1094</v>
      </c>
      <c r="AH273" s="1" t="s">
        <v>73</v>
      </c>
      <c r="AK273" s="1" t="s">
        <v>71</v>
      </c>
      <c r="AM273" s="1" t="s">
        <v>71</v>
      </c>
      <c r="AN273" s="1" t="s">
        <v>71</v>
      </c>
      <c r="AS273" s="1" t="s">
        <v>71</v>
      </c>
      <c r="AX273" s="1" t="s">
        <v>71</v>
      </c>
      <c r="AY273" s="1" t="s">
        <v>59</v>
      </c>
      <c r="AZ273" s="1" t="s">
        <v>74</v>
      </c>
      <c r="BH273" s="1" t="s">
        <v>71</v>
      </c>
    </row>
    <row r="274" customFormat="false" ht="15" hidden="false" customHeight="false" outlineLevel="0" collapsed="false">
      <c r="A274" s="1" t="s">
        <v>1095</v>
      </c>
      <c r="B274" s="1" t="s">
        <v>1096</v>
      </c>
      <c r="C274" s="1" t="s">
        <v>271</v>
      </c>
      <c r="D274" s="1" t="s">
        <v>1097</v>
      </c>
      <c r="E274" s="1" t="s">
        <v>82</v>
      </c>
      <c r="F274" s="1" t="s">
        <v>391</v>
      </c>
      <c r="G274" s="1" t="s">
        <v>97</v>
      </c>
      <c r="H274" s="1" t="s">
        <v>406</v>
      </c>
      <c r="M274" s="1" t="s">
        <v>465</v>
      </c>
      <c r="N274" s="1" t="s">
        <v>1098</v>
      </c>
      <c r="O274" s="1" t="s">
        <v>400</v>
      </c>
      <c r="P274" s="1"/>
      <c r="Q274" s="1" t="s">
        <v>70</v>
      </c>
      <c r="U274" s="1" t="s">
        <v>1095</v>
      </c>
      <c r="Z274" s="1" t="s">
        <v>71</v>
      </c>
      <c r="AE274" s="1" t="s">
        <v>1099</v>
      </c>
      <c r="AH274" s="1" t="s">
        <v>73</v>
      </c>
      <c r="AK274" s="1" t="s">
        <v>71</v>
      </c>
      <c r="AM274" s="1" t="s">
        <v>71</v>
      </c>
      <c r="AN274" s="1" t="s">
        <v>71</v>
      </c>
      <c r="AS274" s="1" t="s">
        <v>71</v>
      </c>
      <c r="BH274" s="1" t="s">
        <v>71</v>
      </c>
    </row>
    <row r="275" customFormat="false" ht="15" hidden="false" customHeight="false" outlineLevel="0" collapsed="false">
      <c r="A275" s="1" t="s">
        <v>1100</v>
      </c>
      <c r="B275" s="1" t="s">
        <v>1101</v>
      </c>
      <c r="C275" s="1" t="s">
        <v>142</v>
      </c>
      <c r="D275" s="1" t="s">
        <v>1102</v>
      </c>
      <c r="E275" s="1" t="s">
        <v>82</v>
      </c>
      <c r="F275" s="1" t="s">
        <v>391</v>
      </c>
      <c r="G275" s="1" t="s">
        <v>182</v>
      </c>
      <c r="H275" s="1" t="s">
        <v>392</v>
      </c>
      <c r="K275" s="1" t="s">
        <v>65</v>
      </c>
      <c r="L275" s="1" t="s">
        <v>517</v>
      </c>
      <c r="M275" s="1" t="s">
        <v>496</v>
      </c>
      <c r="N275" s="1" t="s">
        <v>668</v>
      </c>
      <c r="O275" s="1" t="s">
        <v>669</v>
      </c>
      <c r="P275" s="1"/>
      <c r="Q275" s="1" t="s">
        <v>70</v>
      </c>
      <c r="U275" s="1" t="s">
        <v>1100</v>
      </c>
      <c r="Z275" s="1" t="s">
        <v>71</v>
      </c>
      <c r="AE275" s="1" t="s">
        <v>1103</v>
      </c>
      <c r="AH275" s="1" t="s">
        <v>73</v>
      </c>
      <c r="AK275" s="1" t="s">
        <v>71</v>
      </c>
      <c r="AM275" s="1" t="s">
        <v>71</v>
      </c>
      <c r="AN275" s="1" t="s">
        <v>71</v>
      </c>
      <c r="AS275" s="1" t="s">
        <v>71</v>
      </c>
      <c r="AX275" s="1" t="s">
        <v>71</v>
      </c>
      <c r="BH275" s="1" t="s">
        <v>71</v>
      </c>
    </row>
    <row r="276" customFormat="false" ht="15" hidden="false" customHeight="false" outlineLevel="0" collapsed="false">
      <c r="A276" s="1" t="s">
        <v>1104</v>
      </c>
      <c r="B276" s="1" t="s">
        <v>1105</v>
      </c>
      <c r="C276" s="1" t="s">
        <v>746</v>
      </c>
      <c r="D276" s="1" t="s">
        <v>1106</v>
      </c>
      <c r="E276" s="1" t="s">
        <v>82</v>
      </c>
      <c r="F276" s="1" t="s">
        <v>391</v>
      </c>
      <c r="G276" s="1" t="s">
        <v>97</v>
      </c>
      <c r="H276" s="1" t="s">
        <v>406</v>
      </c>
      <c r="K276" s="1" t="s">
        <v>65</v>
      </c>
      <c r="L276" s="1" t="s">
        <v>860</v>
      </c>
      <c r="M276" s="1" t="s">
        <v>1107</v>
      </c>
      <c r="N276" s="1" t="s">
        <v>1108</v>
      </c>
      <c r="O276" s="1" t="s">
        <v>1109</v>
      </c>
      <c r="P276" s="1"/>
      <c r="Q276" s="1" t="s">
        <v>70</v>
      </c>
      <c r="U276" s="1" t="s">
        <v>1104</v>
      </c>
      <c r="Z276" s="1" t="s">
        <v>71</v>
      </c>
      <c r="AE276" s="1" t="s">
        <v>1103</v>
      </c>
      <c r="AH276" s="1" t="s">
        <v>73</v>
      </c>
      <c r="AK276" s="1" t="s">
        <v>71</v>
      </c>
      <c r="AM276" s="1" t="s">
        <v>71</v>
      </c>
      <c r="AN276" s="1" t="s">
        <v>71</v>
      </c>
      <c r="AS276" s="1" t="s">
        <v>71</v>
      </c>
      <c r="AX276" s="1" t="s">
        <v>71</v>
      </c>
      <c r="BH276" s="1" t="s">
        <v>71</v>
      </c>
    </row>
    <row r="277" customFormat="false" ht="15" hidden="false" customHeight="false" outlineLevel="0" collapsed="false">
      <c r="A277" s="1" t="s">
        <v>1110</v>
      </c>
      <c r="B277" s="1" t="s">
        <v>1111</v>
      </c>
      <c r="C277" s="1" t="s">
        <v>758</v>
      </c>
      <c r="D277" s="1" t="s">
        <v>1112</v>
      </c>
      <c r="E277" s="1" t="s">
        <v>82</v>
      </c>
      <c r="F277" s="1" t="s">
        <v>391</v>
      </c>
      <c r="G277" s="1" t="s">
        <v>443</v>
      </c>
      <c r="H277" s="1" t="s">
        <v>444</v>
      </c>
      <c r="K277" s="1" t="s">
        <v>988</v>
      </c>
      <c r="L277" s="1" t="s">
        <v>989</v>
      </c>
      <c r="M277" s="1" t="s">
        <v>496</v>
      </c>
      <c r="N277" s="1" t="s">
        <v>1000</v>
      </c>
      <c r="O277" s="1" t="s">
        <v>1001</v>
      </c>
      <c r="P277" s="1"/>
      <c r="Q277" s="1" t="s">
        <v>70</v>
      </c>
      <c r="U277" s="1" t="s">
        <v>1110</v>
      </c>
      <c r="Z277" s="1" t="s">
        <v>71</v>
      </c>
      <c r="AE277" s="1" t="s">
        <v>1103</v>
      </c>
      <c r="AH277" s="1" t="s">
        <v>73</v>
      </c>
      <c r="AK277" s="1" t="s">
        <v>71</v>
      </c>
      <c r="AM277" s="1" t="s">
        <v>71</v>
      </c>
      <c r="AN277" s="1" t="s">
        <v>71</v>
      </c>
      <c r="AS277" s="1" t="s">
        <v>71</v>
      </c>
      <c r="AX277" s="1" t="s">
        <v>71</v>
      </c>
      <c r="BH277" s="1" t="s">
        <v>71</v>
      </c>
    </row>
    <row r="278" customFormat="false" ht="15" hidden="false" customHeight="false" outlineLevel="0" collapsed="false">
      <c r="A278" s="1" t="s">
        <v>1113</v>
      </c>
      <c r="B278" s="1" t="s">
        <v>1114</v>
      </c>
      <c r="C278" s="1" t="s">
        <v>758</v>
      </c>
      <c r="D278" s="1" t="s">
        <v>1112</v>
      </c>
      <c r="E278" s="1" t="s">
        <v>82</v>
      </c>
      <c r="F278" s="1" t="s">
        <v>391</v>
      </c>
      <c r="G278" s="1" t="s">
        <v>443</v>
      </c>
      <c r="H278" s="1" t="s">
        <v>444</v>
      </c>
      <c r="K278" s="1" t="s">
        <v>988</v>
      </c>
      <c r="L278" s="1" t="s">
        <v>989</v>
      </c>
      <c r="M278" s="1" t="s">
        <v>496</v>
      </c>
      <c r="N278" s="1" t="s">
        <v>1000</v>
      </c>
      <c r="O278" s="1" t="s">
        <v>1001</v>
      </c>
      <c r="P278" s="1"/>
      <c r="Q278" s="1" t="s">
        <v>70</v>
      </c>
      <c r="U278" s="1" t="s">
        <v>1113</v>
      </c>
      <c r="Z278" s="1" t="s">
        <v>71</v>
      </c>
      <c r="AE278" s="1" t="s">
        <v>1103</v>
      </c>
      <c r="AH278" s="1" t="s">
        <v>73</v>
      </c>
      <c r="AK278" s="1" t="s">
        <v>71</v>
      </c>
      <c r="AM278" s="1" t="s">
        <v>71</v>
      </c>
      <c r="AN278" s="1" t="s">
        <v>71</v>
      </c>
      <c r="AS278" s="1" t="s">
        <v>71</v>
      </c>
      <c r="AX278" s="1" t="s">
        <v>71</v>
      </c>
      <c r="BH278" s="1" t="s">
        <v>71</v>
      </c>
    </row>
    <row r="279" customFormat="false" ht="15" hidden="false" customHeight="false" outlineLevel="0" collapsed="false">
      <c r="A279" s="1" t="s">
        <v>1115</v>
      </c>
      <c r="B279" s="1" t="s">
        <v>976</v>
      </c>
      <c r="C279" s="1" t="s">
        <v>706</v>
      </c>
      <c r="D279" s="1" t="s">
        <v>707</v>
      </c>
      <c r="E279" s="1" t="s">
        <v>82</v>
      </c>
      <c r="F279" s="1" t="s">
        <v>391</v>
      </c>
      <c r="G279" s="1" t="s">
        <v>97</v>
      </c>
      <c r="H279" s="1" t="s">
        <v>406</v>
      </c>
      <c r="M279" s="1" t="s">
        <v>496</v>
      </c>
      <c r="N279" s="1" t="s">
        <v>518</v>
      </c>
      <c r="O279" s="1" t="s">
        <v>519</v>
      </c>
      <c r="P279" s="1"/>
      <c r="Q279" s="1" t="s">
        <v>70</v>
      </c>
      <c r="U279" s="1" t="s">
        <v>1115</v>
      </c>
      <c r="Z279" s="1" t="s">
        <v>71</v>
      </c>
      <c r="AE279" s="1" t="s">
        <v>1103</v>
      </c>
      <c r="AH279" s="1" t="s">
        <v>73</v>
      </c>
      <c r="AK279" s="1" t="s">
        <v>71</v>
      </c>
      <c r="AM279" s="1" t="s">
        <v>71</v>
      </c>
      <c r="AN279" s="1" t="s">
        <v>71</v>
      </c>
      <c r="AS279" s="1" t="s">
        <v>71</v>
      </c>
      <c r="BH279" s="1" t="s">
        <v>71</v>
      </c>
    </row>
    <row r="280" customFormat="false" ht="15" hidden="false" customHeight="false" outlineLevel="0" collapsed="false">
      <c r="A280" s="1" t="s">
        <v>1116</v>
      </c>
      <c r="B280" s="1" t="s">
        <v>1117</v>
      </c>
      <c r="C280" s="1" t="s">
        <v>1118</v>
      </c>
      <c r="D280" s="1" t="s">
        <v>1119</v>
      </c>
      <c r="E280" s="1" t="s">
        <v>82</v>
      </c>
      <c r="F280" s="1" t="s">
        <v>391</v>
      </c>
      <c r="G280" s="1" t="s">
        <v>97</v>
      </c>
      <c r="H280" s="1" t="s">
        <v>406</v>
      </c>
      <c r="M280" s="1" t="s">
        <v>496</v>
      </c>
      <c r="N280" s="1" t="s">
        <v>518</v>
      </c>
      <c r="O280" s="1" t="s">
        <v>519</v>
      </c>
      <c r="P280" s="1"/>
      <c r="Q280" s="1" t="s">
        <v>70</v>
      </c>
      <c r="U280" s="1" t="s">
        <v>1116</v>
      </c>
      <c r="Z280" s="1" t="s">
        <v>71</v>
      </c>
      <c r="AE280" s="1" t="s">
        <v>1103</v>
      </c>
      <c r="AH280" s="1" t="s">
        <v>73</v>
      </c>
      <c r="AK280" s="1" t="s">
        <v>71</v>
      </c>
      <c r="AM280" s="1" t="s">
        <v>71</v>
      </c>
      <c r="AN280" s="1" t="s">
        <v>71</v>
      </c>
      <c r="AS280" s="1" t="s">
        <v>71</v>
      </c>
      <c r="BH280" s="1" t="s">
        <v>71</v>
      </c>
    </row>
    <row r="281" customFormat="false" ht="15" hidden="false" customHeight="false" outlineLevel="0" collapsed="false">
      <c r="A281" s="1" t="s">
        <v>1120</v>
      </c>
      <c r="B281" s="1" t="s">
        <v>1121</v>
      </c>
      <c r="C281" s="1" t="s">
        <v>1118</v>
      </c>
      <c r="D281" s="1" t="s">
        <v>1119</v>
      </c>
      <c r="E281" s="1" t="s">
        <v>82</v>
      </c>
      <c r="F281" s="1" t="s">
        <v>391</v>
      </c>
      <c r="G281" s="1" t="s">
        <v>97</v>
      </c>
      <c r="H281" s="1" t="s">
        <v>406</v>
      </c>
      <c r="M281" s="1" t="s">
        <v>496</v>
      </c>
      <c r="N281" s="1" t="s">
        <v>645</v>
      </c>
      <c r="O281" s="1" t="s">
        <v>646</v>
      </c>
      <c r="P281" s="1"/>
      <c r="Q281" s="1" t="s">
        <v>70</v>
      </c>
      <c r="U281" s="1" t="s">
        <v>1120</v>
      </c>
      <c r="Z281" s="1" t="s">
        <v>71</v>
      </c>
      <c r="AE281" s="1" t="s">
        <v>1103</v>
      </c>
      <c r="AH281" s="1" t="s">
        <v>73</v>
      </c>
      <c r="AK281" s="1" t="s">
        <v>71</v>
      </c>
      <c r="AM281" s="1" t="s">
        <v>71</v>
      </c>
      <c r="AN281" s="1" t="s">
        <v>71</v>
      </c>
      <c r="AS281" s="1" t="s">
        <v>71</v>
      </c>
      <c r="BH281" s="1" t="s">
        <v>71</v>
      </c>
    </row>
    <row r="282" customFormat="false" ht="15" hidden="false" customHeight="false" outlineLevel="0" collapsed="false">
      <c r="A282" s="1" t="s">
        <v>1122</v>
      </c>
      <c r="B282" s="1" t="s">
        <v>1123</v>
      </c>
      <c r="C282" s="1" t="s">
        <v>1118</v>
      </c>
      <c r="D282" s="1" t="s">
        <v>1119</v>
      </c>
      <c r="E282" s="1" t="s">
        <v>82</v>
      </c>
      <c r="F282" s="1" t="s">
        <v>391</v>
      </c>
      <c r="G282" s="1" t="s">
        <v>213</v>
      </c>
      <c r="H282" s="1" t="s">
        <v>477</v>
      </c>
      <c r="K282" s="1" t="s">
        <v>478</v>
      </c>
      <c r="L282" s="1" t="s">
        <v>479</v>
      </c>
      <c r="M282" s="1" t="s">
        <v>496</v>
      </c>
      <c r="N282" s="1" t="s">
        <v>1124</v>
      </c>
      <c r="O282" s="1" t="s">
        <v>400</v>
      </c>
      <c r="P282" s="1"/>
      <c r="Q282" s="1" t="s">
        <v>70</v>
      </c>
      <c r="U282" s="1" t="s">
        <v>1122</v>
      </c>
      <c r="Z282" s="1" t="s">
        <v>71</v>
      </c>
      <c r="AE282" s="1" t="s">
        <v>1103</v>
      </c>
      <c r="AH282" s="1" t="s">
        <v>73</v>
      </c>
      <c r="AK282" s="1" t="s">
        <v>71</v>
      </c>
      <c r="AM282" s="1" t="s">
        <v>71</v>
      </c>
      <c r="AN282" s="1" t="s">
        <v>71</v>
      </c>
      <c r="AS282" s="1" t="s">
        <v>71</v>
      </c>
      <c r="AX282" s="1" t="s">
        <v>71</v>
      </c>
      <c r="BH282" s="1" t="s">
        <v>71</v>
      </c>
    </row>
    <row r="283" customFormat="false" ht="15" hidden="false" customHeight="false" outlineLevel="0" collapsed="false">
      <c r="A283" s="1" t="s">
        <v>1125</v>
      </c>
      <c r="B283" s="1" t="s">
        <v>1126</v>
      </c>
      <c r="C283" s="1" t="s">
        <v>1118</v>
      </c>
      <c r="D283" s="1" t="s">
        <v>1119</v>
      </c>
      <c r="E283" s="1" t="s">
        <v>82</v>
      </c>
      <c r="F283" s="1" t="s">
        <v>391</v>
      </c>
      <c r="G283" s="1" t="s">
        <v>97</v>
      </c>
      <c r="H283" s="1" t="s">
        <v>406</v>
      </c>
      <c r="M283" s="1" t="s">
        <v>496</v>
      </c>
      <c r="N283" s="1" t="s">
        <v>1124</v>
      </c>
      <c r="O283" s="1" t="s">
        <v>400</v>
      </c>
      <c r="P283" s="1"/>
      <c r="Q283" s="1" t="s">
        <v>70</v>
      </c>
      <c r="U283" s="1" t="s">
        <v>1125</v>
      </c>
      <c r="Z283" s="1" t="s">
        <v>71</v>
      </c>
      <c r="AE283" s="1" t="s">
        <v>1103</v>
      </c>
      <c r="AH283" s="1" t="s">
        <v>73</v>
      </c>
      <c r="AK283" s="1" t="s">
        <v>71</v>
      </c>
      <c r="AM283" s="1" t="s">
        <v>71</v>
      </c>
      <c r="AN283" s="1" t="s">
        <v>71</v>
      </c>
      <c r="AS283" s="1" t="s">
        <v>71</v>
      </c>
      <c r="BH283" s="1" t="s">
        <v>71</v>
      </c>
    </row>
    <row r="284" customFormat="false" ht="15" hidden="false" customHeight="false" outlineLevel="0" collapsed="false">
      <c r="A284" s="1" t="s">
        <v>1127</v>
      </c>
      <c r="B284" s="1" t="s">
        <v>1128</v>
      </c>
      <c r="C284" s="1" t="s">
        <v>142</v>
      </c>
      <c r="D284" s="1" t="s">
        <v>1102</v>
      </c>
      <c r="E284" s="1" t="s">
        <v>82</v>
      </c>
      <c r="F284" s="1" t="s">
        <v>391</v>
      </c>
      <c r="G284" s="1" t="s">
        <v>182</v>
      </c>
      <c r="H284" s="1" t="s">
        <v>392</v>
      </c>
      <c r="K284" s="1" t="s">
        <v>65</v>
      </c>
      <c r="L284" s="1" t="s">
        <v>517</v>
      </c>
      <c r="M284" s="1" t="s">
        <v>496</v>
      </c>
      <c r="N284" s="1" t="s">
        <v>668</v>
      </c>
      <c r="O284" s="1" t="s">
        <v>669</v>
      </c>
      <c r="P284" s="1"/>
      <c r="Q284" s="1" t="s">
        <v>70</v>
      </c>
      <c r="U284" s="1" t="s">
        <v>1127</v>
      </c>
      <c r="Z284" s="1" t="s">
        <v>71</v>
      </c>
      <c r="AE284" s="1" t="s">
        <v>1103</v>
      </c>
      <c r="AH284" s="1" t="s">
        <v>73</v>
      </c>
      <c r="AK284" s="1" t="s">
        <v>71</v>
      </c>
      <c r="AM284" s="1" t="s">
        <v>71</v>
      </c>
      <c r="AN284" s="1" t="s">
        <v>71</v>
      </c>
      <c r="AS284" s="1" t="s">
        <v>71</v>
      </c>
      <c r="AX284" s="1" t="s">
        <v>71</v>
      </c>
      <c r="BH284" s="1" t="s">
        <v>71</v>
      </c>
    </row>
    <row r="285" customFormat="false" ht="15" hidden="false" customHeight="false" outlineLevel="0" collapsed="false">
      <c r="A285" s="1" t="s">
        <v>1129</v>
      </c>
      <c r="B285" s="1" t="s">
        <v>1130</v>
      </c>
      <c r="C285" s="1" t="s">
        <v>142</v>
      </c>
      <c r="D285" s="1" t="s">
        <v>1102</v>
      </c>
      <c r="E285" s="1" t="s">
        <v>82</v>
      </c>
      <c r="F285" s="1" t="s">
        <v>391</v>
      </c>
      <c r="G285" s="1" t="s">
        <v>182</v>
      </c>
      <c r="H285" s="1" t="s">
        <v>392</v>
      </c>
      <c r="K285" s="1" t="s">
        <v>65</v>
      </c>
      <c r="L285" s="1" t="s">
        <v>517</v>
      </c>
      <c r="M285" s="1" t="s">
        <v>496</v>
      </c>
      <c r="N285" s="1" t="s">
        <v>668</v>
      </c>
      <c r="O285" s="1" t="s">
        <v>669</v>
      </c>
      <c r="P285" s="1"/>
      <c r="Q285" s="1" t="s">
        <v>70</v>
      </c>
      <c r="U285" s="1" t="s">
        <v>1129</v>
      </c>
      <c r="Z285" s="1" t="s">
        <v>71</v>
      </c>
      <c r="AE285" s="1" t="s">
        <v>1103</v>
      </c>
      <c r="AH285" s="1" t="s">
        <v>73</v>
      </c>
      <c r="AK285" s="1" t="s">
        <v>71</v>
      </c>
      <c r="AM285" s="1" t="s">
        <v>71</v>
      </c>
      <c r="AN285" s="1" t="s">
        <v>71</v>
      </c>
      <c r="AS285" s="1" t="s">
        <v>71</v>
      </c>
      <c r="AX285" s="1" t="s">
        <v>71</v>
      </c>
      <c r="BH285" s="1" t="s">
        <v>71</v>
      </c>
    </row>
    <row r="286" customFormat="false" ht="15" hidden="false" customHeight="false" outlineLevel="0" collapsed="false">
      <c r="A286" s="1" t="s">
        <v>1131</v>
      </c>
      <c r="B286" s="1" t="s">
        <v>1132</v>
      </c>
      <c r="C286" s="1" t="s">
        <v>389</v>
      </c>
      <c r="D286" s="1" t="s">
        <v>390</v>
      </c>
      <c r="E286" s="1" t="s">
        <v>82</v>
      </c>
      <c r="F286" s="1" t="s">
        <v>391</v>
      </c>
      <c r="G286" s="1" t="s">
        <v>182</v>
      </c>
      <c r="H286" s="1" t="s">
        <v>392</v>
      </c>
      <c r="K286" s="1" t="s">
        <v>903</v>
      </c>
      <c r="L286" s="1" t="s">
        <v>904</v>
      </c>
      <c r="M286" s="1" t="s">
        <v>496</v>
      </c>
      <c r="N286" s="1" t="s">
        <v>1133</v>
      </c>
      <c r="O286" s="1" t="s">
        <v>1134</v>
      </c>
      <c r="P286" s="1"/>
      <c r="Q286" s="1" t="s">
        <v>70</v>
      </c>
      <c r="U286" s="1" t="s">
        <v>1131</v>
      </c>
      <c r="Z286" s="1" t="s">
        <v>71</v>
      </c>
      <c r="AE286" s="1" t="s">
        <v>1103</v>
      </c>
      <c r="AH286" s="1" t="s">
        <v>73</v>
      </c>
      <c r="AK286" s="1" t="s">
        <v>71</v>
      </c>
      <c r="AM286" s="1" t="s">
        <v>71</v>
      </c>
      <c r="AN286" s="1" t="s">
        <v>71</v>
      </c>
      <c r="AS286" s="1" t="s">
        <v>71</v>
      </c>
      <c r="AX286" s="1" t="s">
        <v>71</v>
      </c>
      <c r="BH286" s="1" t="s">
        <v>71</v>
      </c>
    </row>
    <row r="287" customFormat="false" ht="15" hidden="false" customHeight="false" outlineLevel="0" collapsed="false">
      <c r="A287" s="1" t="s">
        <v>1135</v>
      </c>
      <c r="B287" s="1" t="s">
        <v>1136</v>
      </c>
      <c r="C287" s="1" t="s">
        <v>1118</v>
      </c>
      <c r="D287" s="1" t="s">
        <v>1119</v>
      </c>
      <c r="E287" s="1" t="s">
        <v>82</v>
      </c>
      <c r="F287" s="1" t="s">
        <v>391</v>
      </c>
      <c r="G287" s="1" t="s">
        <v>97</v>
      </c>
      <c r="H287" s="1" t="s">
        <v>406</v>
      </c>
      <c r="M287" s="1" t="s">
        <v>496</v>
      </c>
      <c r="N287" s="1" t="s">
        <v>518</v>
      </c>
      <c r="O287" s="1" t="s">
        <v>519</v>
      </c>
      <c r="P287" s="1"/>
      <c r="Q287" s="1" t="s">
        <v>70</v>
      </c>
      <c r="U287" s="1" t="s">
        <v>1135</v>
      </c>
      <c r="Z287" s="1" t="s">
        <v>71</v>
      </c>
      <c r="AE287" s="1" t="s">
        <v>1103</v>
      </c>
      <c r="AH287" s="1" t="s">
        <v>73</v>
      </c>
      <c r="AK287" s="1" t="s">
        <v>71</v>
      </c>
      <c r="AM287" s="1" t="s">
        <v>71</v>
      </c>
      <c r="AN287" s="1" t="s">
        <v>71</v>
      </c>
      <c r="AS287" s="1" t="s">
        <v>71</v>
      </c>
      <c r="BH287" s="1" t="s">
        <v>71</v>
      </c>
    </row>
    <row r="288" customFormat="false" ht="15" hidden="false" customHeight="false" outlineLevel="0" collapsed="false">
      <c r="A288" s="1" t="s">
        <v>1137</v>
      </c>
      <c r="B288" s="1" t="s">
        <v>1138</v>
      </c>
      <c r="C288" s="1" t="s">
        <v>152</v>
      </c>
      <c r="D288" s="1" t="s">
        <v>464</v>
      </c>
      <c r="E288" s="1" t="s">
        <v>82</v>
      </c>
      <c r="F288" s="1" t="s">
        <v>391</v>
      </c>
      <c r="G288" s="1" t="s">
        <v>97</v>
      </c>
      <c r="H288" s="1" t="s">
        <v>406</v>
      </c>
      <c r="M288" s="1" t="s">
        <v>465</v>
      </c>
      <c r="N288" s="1" t="s">
        <v>1139</v>
      </c>
      <c r="O288" s="1" t="s">
        <v>1140</v>
      </c>
      <c r="P288" s="1"/>
      <c r="Q288" s="1" t="s">
        <v>70</v>
      </c>
      <c r="U288" s="1" t="s">
        <v>1137</v>
      </c>
      <c r="Z288" s="1" t="s">
        <v>71</v>
      </c>
      <c r="AE288" s="1" t="s">
        <v>1103</v>
      </c>
      <c r="AH288" s="1" t="s">
        <v>73</v>
      </c>
      <c r="AK288" s="1" t="s">
        <v>71</v>
      </c>
      <c r="AM288" s="1" t="s">
        <v>71</v>
      </c>
      <c r="AN288" s="1" t="s">
        <v>71</v>
      </c>
      <c r="AS288" s="1" t="s">
        <v>71</v>
      </c>
      <c r="BH288" s="1" t="s">
        <v>71</v>
      </c>
    </row>
    <row r="289" customFormat="false" ht="15" hidden="false" customHeight="false" outlineLevel="0" collapsed="false">
      <c r="A289" s="1" t="s">
        <v>1141</v>
      </c>
      <c r="B289" s="1" t="s">
        <v>1142</v>
      </c>
      <c r="C289" s="1" t="s">
        <v>152</v>
      </c>
      <c r="D289" s="1" t="s">
        <v>464</v>
      </c>
      <c r="E289" s="1" t="s">
        <v>82</v>
      </c>
      <c r="F289" s="1" t="s">
        <v>391</v>
      </c>
      <c r="G289" s="1" t="s">
        <v>97</v>
      </c>
      <c r="H289" s="1" t="s">
        <v>406</v>
      </c>
      <c r="M289" s="1" t="s">
        <v>465</v>
      </c>
      <c r="N289" s="1" t="s">
        <v>1139</v>
      </c>
      <c r="O289" s="1" t="s">
        <v>1140</v>
      </c>
      <c r="P289" s="1"/>
      <c r="Q289" s="1" t="s">
        <v>70</v>
      </c>
      <c r="U289" s="1" t="s">
        <v>1141</v>
      </c>
      <c r="Z289" s="1" t="s">
        <v>71</v>
      </c>
      <c r="AE289" s="1" t="s">
        <v>1103</v>
      </c>
      <c r="AH289" s="1" t="s">
        <v>73</v>
      </c>
      <c r="AK289" s="1" t="s">
        <v>71</v>
      </c>
      <c r="AM289" s="1" t="s">
        <v>71</v>
      </c>
      <c r="AN289" s="1" t="s">
        <v>71</v>
      </c>
      <c r="AS289" s="1" t="s">
        <v>71</v>
      </c>
      <c r="BH289" s="1" t="s">
        <v>71</v>
      </c>
    </row>
    <row r="290" customFormat="false" ht="15" hidden="false" customHeight="false" outlineLevel="0" collapsed="false">
      <c r="A290" s="1" t="s">
        <v>1143</v>
      </c>
      <c r="B290" s="1" t="s">
        <v>1144</v>
      </c>
      <c r="C290" s="1" t="s">
        <v>152</v>
      </c>
      <c r="D290" s="1" t="s">
        <v>464</v>
      </c>
      <c r="E290" s="1" t="s">
        <v>82</v>
      </c>
      <c r="F290" s="1" t="s">
        <v>391</v>
      </c>
      <c r="G290" s="1" t="s">
        <v>213</v>
      </c>
      <c r="H290" s="1" t="s">
        <v>477</v>
      </c>
      <c r="K290" s="1" t="s">
        <v>887</v>
      </c>
      <c r="L290" s="1" t="s">
        <v>888</v>
      </c>
      <c r="M290" s="1" t="s">
        <v>465</v>
      </c>
      <c r="N290" s="1" t="s">
        <v>1145</v>
      </c>
      <c r="O290" s="1" t="s">
        <v>1140</v>
      </c>
      <c r="P290" s="1"/>
      <c r="Q290" s="1" t="s">
        <v>70</v>
      </c>
      <c r="U290" s="1" t="s">
        <v>1143</v>
      </c>
      <c r="Z290" s="1" t="s">
        <v>71</v>
      </c>
      <c r="AE290" s="1" t="s">
        <v>1103</v>
      </c>
      <c r="AH290" s="1" t="s">
        <v>73</v>
      </c>
      <c r="AK290" s="1" t="s">
        <v>71</v>
      </c>
      <c r="AM290" s="1" t="s">
        <v>71</v>
      </c>
      <c r="AN290" s="1" t="s">
        <v>71</v>
      </c>
      <c r="AS290" s="1" t="s">
        <v>71</v>
      </c>
      <c r="AX290" s="1" t="s">
        <v>71</v>
      </c>
      <c r="BH290" s="1" t="s">
        <v>71</v>
      </c>
    </row>
    <row r="291" customFormat="false" ht="15" hidden="false" customHeight="false" outlineLevel="0" collapsed="false">
      <c r="A291" s="1" t="s">
        <v>1146</v>
      </c>
      <c r="B291" s="1" t="s">
        <v>1147</v>
      </c>
      <c r="C291" s="1" t="s">
        <v>526</v>
      </c>
      <c r="D291" s="1" t="s">
        <v>527</v>
      </c>
      <c r="E291" s="1" t="s">
        <v>82</v>
      </c>
      <c r="F291" s="1" t="s">
        <v>391</v>
      </c>
      <c r="G291" s="1" t="s">
        <v>97</v>
      </c>
      <c r="H291" s="1" t="s">
        <v>406</v>
      </c>
      <c r="M291" s="1" t="s">
        <v>496</v>
      </c>
      <c r="N291" s="1" t="s">
        <v>518</v>
      </c>
      <c r="O291" s="1" t="s">
        <v>519</v>
      </c>
      <c r="P291" s="1"/>
      <c r="Q291" s="1" t="s">
        <v>70</v>
      </c>
      <c r="U291" s="1" t="s">
        <v>1146</v>
      </c>
      <c r="Z291" s="1" t="s">
        <v>71</v>
      </c>
      <c r="AE291" s="1" t="s">
        <v>1103</v>
      </c>
      <c r="AH291" s="1" t="s">
        <v>73</v>
      </c>
      <c r="AK291" s="1" t="s">
        <v>71</v>
      </c>
      <c r="AM291" s="1" t="s">
        <v>71</v>
      </c>
      <c r="AN291" s="1" t="s">
        <v>71</v>
      </c>
      <c r="AS291" s="1" t="s">
        <v>71</v>
      </c>
      <c r="BH291" s="1" t="s">
        <v>71</v>
      </c>
    </row>
    <row r="292" customFormat="false" ht="15" hidden="false" customHeight="false" outlineLevel="0" collapsed="false">
      <c r="A292" s="1" t="s">
        <v>1148</v>
      </c>
      <c r="B292" s="1" t="s">
        <v>1149</v>
      </c>
      <c r="C292" s="1" t="s">
        <v>526</v>
      </c>
      <c r="D292" s="1" t="s">
        <v>527</v>
      </c>
      <c r="E292" s="1" t="s">
        <v>82</v>
      </c>
      <c r="F292" s="1" t="s">
        <v>391</v>
      </c>
      <c r="G292" s="1" t="s">
        <v>213</v>
      </c>
      <c r="H292" s="1" t="s">
        <v>477</v>
      </c>
      <c r="K292" s="1" t="s">
        <v>887</v>
      </c>
      <c r="L292" s="1" t="s">
        <v>888</v>
      </c>
      <c r="M292" s="1" t="s">
        <v>496</v>
      </c>
      <c r="N292" s="1" t="s">
        <v>1150</v>
      </c>
      <c r="O292" s="1" t="s">
        <v>400</v>
      </c>
      <c r="P292" s="1"/>
      <c r="Q292" s="1" t="s">
        <v>70</v>
      </c>
      <c r="U292" s="1" t="s">
        <v>1148</v>
      </c>
      <c r="Z292" s="1" t="s">
        <v>71</v>
      </c>
      <c r="AE292" s="1" t="s">
        <v>1103</v>
      </c>
      <c r="AH292" s="1" t="s">
        <v>73</v>
      </c>
      <c r="AK292" s="1" t="s">
        <v>71</v>
      </c>
      <c r="AM292" s="1" t="s">
        <v>71</v>
      </c>
      <c r="AN292" s="1" t="s">
        <v>71</v>
      </c>
      <c r="AS292" s="1" t="s">
        <v>71</v>
      </c>
      <c r="AX292" s="1" t="s">
        <v>71</v>
      </c>
      <c r="BH292" s="1" t="s">
        <v>71</v>
      </c>
    </row>
    <row r="293" customFormat="false" ht="15" hidden="false" customHeight="false" outlineLevel="0" collapsed="false">
      <c r="A293" s="1" t="s">
        <v>1151</v>
      </c>
      <c r="B293" s="1" t="s">
        <v>1152</v>
      </c>
      <c r="C293" s="1" t="s">
        <v>526</v>
      </c>
      <c r="D293" s="1" t="s">
        <v>527</v>
      </c>
      <c r="E293" s="1" t="s">
        <v>82</v>
      </c>
      <c r="F293" s="1" t="s">
        <v>391</v>
      </c>
      <c r="G293" s="1" t="s">
        <v>97</v>
      </c>
      <c r="H293" s="1" t="s">
        <v>406</v>
      </c>
      <c r="M293" s="1" t="s">
        <v>496</v>
      </c>
      <c r="N293" s="1" t="s">
        <v>536</v>
      </c>
      <c r="O293" s="1" t="s">
        <v>537</v>
      </c>
      <c r="P293" s="1"/>
      <c r="Q293" s="1" t="s">
        <v>70</v>
      </c>
      <c r="U293" s="1" t="s">
        <v>1151</v>
      </c>
      <c r="Z293" s="1" t="s">
        <v>71</v>
      </c>
      <c r="AE293" s="1" t="s">
        <v>1103</v>
      </c>
      <c r="AH293" s="1" t="s">
        <v>73</v>
      </c>
      <c r="AK293" s="1" t="s">
        <v>71</v>
      </c>
      <c r="AM293" s="1" t="s">
        <v>71</v>
      </c>
      <c r="AN293" s="1" t="s">
        <v>71</v>
      </c>
      <c r="AS293" s="1" t="s">
        <v>71</v>
      </c>
      <c r="BH293" s="1" t="s">
        <v>71</v>
      </c>
    </row>
    <row r="294" customFormat="false" ht="15" hidden="false" customHeight="false" outlineLevel="0" collapsed="false">
      <c r="A294" s="1" t="s">
        <v>1153</v>
      </c>
      <c r="B294" s="1" t="s">
        <v>1154</v>
      </c>
      <c r="C294" s="1" t="s">
        <v>220</v>
      </c>
      <c r="D294" s="1" t="s">
        <v>540</v>
      </c>
      <c r="E294" s="1" t="s">
        <v>82</v>
      </c>
      <c r="F294" s="1" t="s">
        <v>391</v>
      </c>
      <c r="G294" s="1" t="s">
        <v>97</v>
      </c>
      <c r="H294" s="1" t="s">
        <v>406</v>
      </c>
      <c r="M294" s="1" t="s">
        <v>496</v>
      </c>
      <c r="N294" s="1" t="s">
        <v>480</v>
      </c>
      <c r="O294" s="1" t="s">
        <v>447</v>
      </c>
      <c r="P294" s="1"/>
      <c r="Q294" s="1" t="s">
        <v>70</v>
      </c>
      <c r="U294" s="1" t="s">
        <v>1153</v>
      </c>
      <c r="Z294" s="1" t="s">
        <v>71</v>
      </c>
      <c r="AE294" s="1" t="s">
        <v>1155</v>
      </c>
      <c r="AH294" s="1" t="s">
        <v>73</v>
      </c>
      <c r="AK294" s="1" t="s">
        <v>71</v>
      </c>
      <c r="AM294" s="1" t="s">
        <v>71</v>
      </c>
      <c r="AN294" s="1" t="s">
        <v>71</v>
      </c>
      <c r="AS294" s="1" t="s">
        <v>71</v>
      </c>
      <c r="BH294" s="1" t="s">
        <v>71</v>
      </c>
    </row>
    <row r="295" customFormat="false" ht="15" hidden="false" customHeight="false" outlineLevel="0" collapsed="false">
      <c r="A295" s="1" t="s">
        <v>1156</v>
      </c>
      <c r="B295" s="1" t="s">
        <v>1157</v>
      </c>
      <c r="C295" s="1" t="s">
        <v>220</v>
      </c>
      <c r="D295" s="1" t="s">
        <v>540</v>
      </c>
      <c r="E295" s="1" t="s">
        <v>82</v>
      </c>
      <c r="F295" s="1" t="s">
        <v>391</v>
      </c>
      <c r="G295" s="1" t="s">
        <v>97</v>
      </c>
      <c r="H295" s="1" t="s">
        <v>406</v>
      </c>
      <c r="M295" s="1" t="s">
        <v>496</v>
      </c>
      <c r="N295" s="1" t="s">
        <v>483</v>
      </c>
      <c r="O295" s="1" t="s">
        <v>400</v>
      </c>
      <c r="P295" s="1"/>
      <c r="Q295" s="1" t="s">
        <v>70</v>
      </c>
      <c r="U295" s="1" t="s">
        <v>1156</v>
      </c>
      <c r="Z295" s="1" t="s">
        <v>71</v>
      </c>
      <c r="AE295" s="1" t="s">
        <v>1155</v>
      </c>
      <c r="AH295" s="1" t="s">
        <v>73</v>
      </c>
      <c r="AK295" s="1" t="s">
        <v>71</v>
      </c>
      <c r="AM295" s="1" t="s">
        <v>71</v>
      </c>
      <c r="AN295" s="1" t="s">
        <v>71</v>
      </c>
      <c r="AS295" s="1" t="s">
        <v>71</v>
      </c>
      <c r="BH295" s="1" t="s">
        <v>71</v>
      </c>
    </row>
    <row r="296" customFormat="false" ht="15" hidden="false" customHeight="false" outlineLevel="0" collapsed="false">
      <c r="A296" s="1" t="s">
        <v>1158</v>
      </c>
      <c r="B296" s="1" t="s">
        <v>1159</v>
      </c>
      <c r="C296" s="1" t="s">
        <v>526</v>
      </c>
      <c r="D296" s="1" t="s">
        <v>527</v>
      </c>
      <c r="E296" s="1" t="s">
        <v>82</v>
      </c>
      <c r="F296" s="1" t="s">
        <v>391</v>
      </c>
      <c r="G296" s="1" t="s">
        <v>213</v>
      </c>
      <c r="H296" s="1" t="s">
        <v>477</v>
      </c>
      <c r="K296" s="1" t="s">
        <v>478</v>
      </c>
      <c r="L296" s="1" t="s">
        <v>479</v>
      </c>
      <c r="M296" s="1" t="s">
        <v>496</v>
      </c>
      <c r="N296" s="1" t="s">
        <v>880</v>
      </c>
      <c r="O296" s="1" t="s">
        <v>881</v>
      </c>
      <c r="P296" s="1"/>
      <c r="Q296" s="1" t="s">
        <v>70</v>
      </c>
      <c r="U296" s="1" t="s">
        <v>1158</v>
      </c>
      <c r="Z296" s="1" t="s">
        <v>71</v>
      </c>
      <c r="AE296" s="1" t="s">
        <v>1155</v>
      </c>
      <c r="AH296" s="1" t="s">
        <v>73</v>
      </c>
      <c r="AK296" s="1" t="s">
        <v>71</v>
      </c>
      <c r="AM296" s="1" t="s">
        <v>71</v>
      </c>
      <c r="AN296" s="1" t="s">
        <v>71</v>
      </c>
      <c r="AS296" s="1" t="s">
        <v>71</v>
      </c>
      <c r="AX296" s="1" t="s">
        <v>71</v>
      </c>
      <c r="BH296" s="1" t="s">
        <v>71</v>
      </c>
    </row>
    <row r="297" customFormat="false" ht="15" hidden="false" customHeight="false" outlineLevel="0" collapsed="false">
      <c r="A297" s="1" t="s">
        <v>1160</v>
      </c>
      <c r="B297" s="1" t="s">
        <v>1161</v>
      </c>
      <c r="C297" s="1" t="s">
        <v>526</v>
      </c>
      <c r="D297" s="1" t="s">
        <v>527</v>
      </c>
      <c r="E297" s="1" t="s">
        <v>82</v>
      </c>
      <c r="F297" s="1" t="s">
        <v>391</v>
      </c>
      <c r="G297" s="1" t="s">
        <v>213</v>
      </c>
      <c r="H297" s="1" t="s">
        <v>477</v>
      </c>
      <c r="K297" s="1" t="s">
        <v>478</v>
      </c>
      <c r="L297" s="1" t="s">
        <v>479</v>
      </c>
      <c r="M297" s="1" t="s">
        <v>496</v>
      </c>
      <c r="N297" s="1" t="s">
        <v>894</v>
      </c>
      <c r="O297" s="1" t="s">
        <v>400</v>
      </c>
      <c r="P297" s="1"/>
      <c r="Q297" s="1" t="s">
        <v>70</v>
      </c>
      <c r="U297" s="1" t="s">
        <v>1160</v>
      </c>
      <c r="Z297" s="1" t="s">
        <v>71</v>
      </c>
      <c r="AE297" s="1" t="s">
        <v>1155</v>
      </c>
      <c r="AH297" s="1" t="s">
        <v>73</v>
      </c>
      <c r="AK297" s="1" t="s">
        <v>71</v>
      </c>
      <c r="AM297" s="1" t="s">
        <v>71</v>
      </c>
      <c r="AN297" s="1" t="s">
        <v>71</v>
      </c>
      <c r="AS297" s="1" t="s">
        <v>71</v>
      </c>
      <c r="AX297" s="1" t="s">
        <v>71</v>
      </c>
      <c r="BH297" s="1" t="s">
        <v>71</v>
      </c>
    </row>
    <row r="298" customFormat="false" ht="15" hidden="false" customHeight="false" outlineLevel="0" collapsed="false">
      <c r="A298" s="1" t="s">
        <v>1162</v>
      </c>
      <c r="B298" s="1" t="s">
        <v>1163</v>
      </c>
      <c r="C298" s="1" t="s">
        <v>526</v>
      </c>
      <c r="D298" s="1" t="s">
        <v>527</v>
      </c>
      <c r="E298" s="1" t="s">
        <v>82</v>
      </c>
      <c r="F298" s="1" t="s">
        <v>391</v>
      </c>
      <c r="G298" s="1" t="s">
        <v>97</v>
      </c>
      <c r="H298" s="1" t="s">
        <v>406</v>
      </c>
      <c r="M298" s="1" t="s">
        <v>496</v>
      </c>
      <c r="N298" s="1" t="s">
        <v>884</v>
      </c>
      <c r="O298" s="1" t="s">
        <v>447</v>
      </c>
      <c r="P298" s="1"/>
      <c r="Q298" s="1" t="s">
        <v>70</v>
      </c>
      <c r="U298" s="1" t="s">
        <v>1162</v>
      </c>
      <c r="Z298" s="1" t="s">
        <v>71</v>
      </c>
      <c r="AE298" s="1" t="s">
        <v>1155</v>
      </c>
      <c r="AH298" s="1" t="s">
        <v>73</v>
      </c>
      <c r="AK298" s="1" t="s">
        <v>71</v>
      </c>
      <c r="AM298" s="1" t="s">
        <v>71</v>
      </c>
      <c r="AN298" s="1" t="s">
        <v>71</v>
      </c>
      <c r="AS298" s="1" t="s">
        <v>71</v>
      </c>
      <c r="BH298" s="1" t="s">
        <v>71</v>
      </c>
    </row>
    <row r="299" customFormat="false" ht="15" hidden="false" customHeight="false" outlineLevel="0" collapsed="false">
      <c r="A299" s="1" t="s">
        <v>1164</v>
      </c>
      <c r="B299" s="1" t="s">
        <v>1165</v>
      </c>
      <c r="C299" s="1" t="s">
        <v>526</v>
      </c>
      <c r="D299" s="1" t="s">
        <v>527</v>
      </c>
      <c r="E299" s="1" t="s">
        <v>82</v>
      </c>
      <c r="F299" s="1" t="s">
        <v>391</v>
      </c>
      <c r="G299" s="1" t="s">
        <v>97</v>
      </c>
      <c r="H299" s="1" t="s">
        <v>406</v>
      </c>
      <c r="M299" s="1" t="s">
        <v>496</v>
      </c>
      <c r="N299" s="1" t="s">
        <v>518</v>
      </c>
      <c r="O299" s="1" t="s">
        <v>519</v>
      </c>
      <c r="P299" s="1"/>
      <c r="Q299" s="1" t="s">
        <v>70</v>
      </c>
      <c r="U299" s="1" t="s">
        <v>1164</v>
      </c>
      <c r="Z299" s="1" t="s">
        <v>71</v>
      </c>
      <c r="AE299" s="1" t="s">
        <v>1155</v>
      </c>
      <c r="AH299" s="1" t="s">
        <v>73</v>
      </c>
      <c r="AK299" s="1" t="s">
        <v>71</v>
      </c>
      <c r="AM299" s="1" t="s">
        <v>71</v>
      </c>
      <c r="AN299" s="1" t="s">
        <v>71</v>
      </c>
      <c r="AS299" s="1" t="s">
        <v>71</v>
      </c>
      <c r="BH299" s="1" t="s">
        <v>71</v>
      </c>
    </row>
    <row r="300" customFormat="false" ht="15" hidden="false" customHeight="false" outlineLevel="0" collapsed="false">
      <c r="A300" s="1" t="s">
        <v>1166</v>
      </c>
      <c r="B300" s="1" t="s">
        <v>1167</v>
      </c>
      <c r="C300" s="1" t="s">
        <v>526</v>
      </c>
      <c r="D300" s="1" t="s">
        <v>527</v>
      </c>
      <c r="E300" s="1" t="s">
        <v>82</v>
      </c>
      <c r="F300" s="1" t="s">
        <v>391</v>
      </c>
      <c r="G300" s="1" t="s">
        <v>97</v>
      </c>
      <c r="H300" s="1" t="s">
        <v>406</v>
      </c>
      <c r="M300" s="1" t="s">
        <v>496</v>
      </c>
      <c r="N300" s="1" t="s">
        <v>518</v>
      </c>
      <c r="O300" s="1" t="s">
        <v>519</v>
      </c>
      <c r="P300" s="1"/>
      <c r="Q300" s="1" t="s">
        <v>70</v>
      </c>
      <c r="U300" s="1" t="s">
        <v>1166</v>
      </c>
      <c r="Z300" s="1" t="s">
        <v>71</v>
      </c>
      <c r="AE300" s="1" t="s">
        <v>1155</v>
      </c>
      <c r="AH300" s="1" t="s">
        <v>73</v>
      </c>
      <c r="AK300" s="1" t="s">
        <v>71</v>
      </c>
      <c r="AM300" s="1" t="s">
        <v>71</v>
      </c>
      <c r="AN300" s="1" t="s">
        <v>71</v>
      </c>
      <c r="AS300" s="1" t="s">
        <v>71</v>
      </c>
      <c r="BH300" s="1" t="s">
        <v>71</v>
      </c>
    </row>
    <row r="301" customFormat="false" ht="15" hidden="false" customHeight="false" outlineLevel="0" collapsed="false">
      <c r="A301" s="1" t="s">
        <v>1168</v>
      </c>
      <c r="B301" s="1" t="s">
        <v>1169</v>
      </c>
      <c r="C301" s="1" t="s">
        <v>526</v>
      </c>
      <c r="D301" s="1" t="s">
        <v>527</v>
      </c>
      <c r="E301" s="1" t="s">
        <v>82</v>
      </c>
      <c r="F301" s="1" t="s">
        <v>391</v>
      </c>
      <c r="G301" s="1" t="s">
        <v>97</v>
      </c>
      <c r="H301" s="1" t="s">
        <v>406</v>
      </c>
      <c r="M301" s="1" t="s">
        <v>496</v>
      </c>
      <c r="N301" s="1" t="s">
        <v>740</v>
      </c>
      <c r="O301" s="1" t="s">
        <v>741</v>
      </c>
      <c r="P301" s="1"/>
      <c r="Q301" s="1" t="s">
        <v>70</v>
      </c>
      <c r="U301" s="1" t="s">
        <v>1168</v>
      </c>
      <c r="Z301" s="1" t="s">
        <v>71</v>
      </c>
      <c r="AE301" s="1" t="s">
        <v>1155</v>
      </c>
      <c r="AH301" s="1" t="s">
        <v>73</v>
      </c>
      <c r="AK301" s="1" t="s">
        <v>71</v>
      </c>
      <c r="AM301" s="1" t="s">
        <v>71</v>
      </c>
      <c r="AN301" s="1" t="s">
        <v>71</v>
      </c>
      <c r="AS301" s="1" t="s">
        <v>71</v>
      </c>
      <c r="BH301" s="1" t="s">
        <v>71</v>
      </c>
    </row>
    <row r="302" customFormat="false" ht="15" hidden="false" customHeight="false" outlineLevel="0" collapsed="false">
      <c r="A302" s="1" t="s">
        <v>1170</v>
      </c>
      <c r="B302" s="1" t="s">
        <v>1171</v>
      </c>
      <c r="C302" s="1" t="s">
        <v>526</v>
      </c>
      <c r="D302" s="1" t="s">
        <v>527</v>
      </c>
      <c r="E302" s="1" t="s">
        <v>82</v>
      </c>
      <c r="F302" s="1" t="s">
        <v>391</v>
      </c>
      <c r="G302" s="1" t="s">
        <v>97</v>
      </c>
      <c r="H302" s="1" t="s">
        <v>406</v>
      </c>
      <c r="M302" s="1" t="s">
        <v>496</v>
      </c>
      <c r="N302" s="1" t="s">
        <v>486</v>
      </c>
      <c r="O302" s="1" t="s">
        <v>447</v>
      </c>
      <c r="P302" s="1"/>
      <c r="Q302" s="1" t="s">
        <v>70</v>
      </c>
      <c r="U302" s="1" t="s">
        <v>1170</v>
      </c>
      <c r="Z302" s="1" t="s">
        <v>71</v>
      </c>
      <c r="AE302" s="1" t="s">
        <v>1155</v>
      </c>
      <c r="AH302" s="1" t="s">
        <v>73</v>
      </c>
      <c r="AK302" s="1" t="s">
        <v>71</v>
      </c>
      <c r="AM302" s="1" t="s">
        <v>71</v>
      </c>
      <c r="AN302" s="1" t="s">
        <v>71</v>
      </c>
      <c r="AS302" s="1" t="s">
        <v>71</v>
      </c>
      <c r="BH302" s="1" t="s">
        <v>71</v>
      </c>
    </row>
    <row r="303" customFormat="false" ht="15" hidden="false" customHeight="false" outlineLevel="0" collapsed="false">
      <c r="A303" s="1" t="s">
        <v>1172</v>
      </c>
      <c r="B303" s="1" t="s">
        <v>1173</v>
      </c>
      <c r="C303" s="1" t="s">
        <v>526</v>
      </c>
      <c r="D303" s="1" t="s">
        <v>527</v>
      </c>
      <c r="E303" s="1" t="s">
        <v>82</v>
      </c>
      <c r="F303" s="1" t="s">
        <v>391</v>
      </c>
      <c r="G303" s="1" t="s">
        <v>97</v>
      </c>
      <c r="H303" s="1" t="s">
        <v>406</v>
      </c>
      <c r="M303" s="1" t="s">
        <v>496</v>
      </c>
      <c r="N303" s="1" t="s">
        <v>894</v>
      </c>
      <c r="O303" s="1" t="s">
        <v>400</v>
      </c>
      <c r="P303" s="1"/>
      <c r="Q303" s="1" t="s">
        <v>70</v>
      </c>
      <c r="U303" s="1" t="s">
        <v>1172</v>
      </c>
      <c r="Z303" s="1" t="s">
        <v>71</v>
      </c>
      <c r="AE303" s="1" t="s">
        <v>1155</v>
      </c>
      <c r="AH303" s="1" t="s">
        <v>73</v>
      </c>
      <c r="AK303" s="1" t="s">
        <v>71</v>
      </c>
      <c r="AM303" s="1" t="s">
        <v>71</v>
      </c>
      <c r="AN303" s="1" t="s">
        <v>71</v>
      </c>
      <c r="AS303" s="1" t="s">
        <v>71</v>
      </c>
      <c r="BH303" s="1" t="s">
        <v>71</v>
      </c>
    </row>
    <row r="304" customFormat="false" ht="15" hidden="false" customHeight="false" outlineLevel="0" collapsed="false">
      <c r="A304" s="1" t="s">
        <v>1174</v>
      </c>
      <c r="B304" s="1" t="s">
        <v>1175</v>
      </c>
      <c r="C304" s="1" t="s">
        <v>343</v>
      </c>
      <c r="D304" s="1" t="s">
        <v>344</v>
      </c>
      <c r="E304" s="1" t="s">
        <v>61</v>
      </c>
      <c r="F304" s="1" t="s">
        <v>101</v>
      </c>
      <c r="G304" s="1" t="s">
        <v>93</v>
      </c>
      <c r="H304" s="1" t="s">
        <v>64</v>
      </c>
      <c r="K304" s="1" t="s">
        <v>903</v>
      </c>
      <c r="L304" s="1" t="s">
        <v>1176</v>
      </c>
      <c r="M304" s="1" t="s">
        <v>104</v>
      </c>
      <c r="N304" s="1" t="s">
        <v>1177</v>
      </c>
      <c r="O304" s="1" t="s">
        <v>1178</v>
      </c>
      <c r="P304" s="1" t="e">
        <f aca="false">image("https://drive.google.com/uc?export=view&amp;id=1K93xTKkNAZdhjZwPLcayiSiGZzByHvBd")</f>
        <v>#NAME?</v>
      </c>
      <c r="Q304" s="1" t="s">
        <v>205</v>
      </c>
      <c r="U304" s="1" t="s">
        <v>1174</v>
      </c>
      <c r="Z304" s="1" t="s">
        <v>71</v>
      </c>
      <c r="AE304" s="1" t="s">
        <v>1179</v>
      </c>
      <c r="AH304" s="1" t="s">
        <v>73</v>
      </c>
      <c r="AK304" s="1" t="s">
        <v>71</v>
      </c>
      <c r="AM304" s="1" t="s">
        <v>71</v>
      </c>
      <c r="AN304" s="1" t="s">
        <v>71</v>
      </c>
      <c r="AS304" s="1" t="s">
        <v>71</v>
      </c>
      <c r="AX304" s="1" t="s">
        <v>71</v>
      </c>
      <c r="AY304" s="1" t="s">
        <v>59</v>
      </c>
      <c r="AZ304" s="1" t="s">
        <v>74</v>
      </c>
      <c r="BH304" s="1" t="s">
        <v>71</v>
      </c>
    </row>
    <row r="305" customFormat="false" ht="15" hidden="false" customHeight="false" outlineLevel="0" collapsed="false">
      <c r="A305" s="1" t="s">
        <v>1180</v>
      </c>
      <c r="B305" s="1" t="s">
        <v>1181</v>
      </c>
      <c r="C305" s="1" t="s">
        <v>706</v>
      </c>
      <c r="D305" s="1" t="s">
        <v>707</v>
      </c>
      <c r="E305" s="1" t="s">
        <v>82</v>
      </c>
      <c r="F305" s="1" t="s">
        <v>391</v>
      </c>
      <c r="G305" s="1" t="s">
        <v>97</v>
      </c>
      <c r="H305" s="1" t="s">
        <v>406</v>
      </c>
      <c r="M305" s="1" t="s">
        <v>496</v>
      </c>
      <c r="N305" s="1" t="s">
        <v>905</v>
      </c>
      <c r="O305" s="1" t="s">
        <v>906</v>
      </c>
      <c r="P305" s="1"/>
      <c r="Q305" s="1" t="s">
        <v>70</v>
      </c>
      <c r="U305" s="1" t="s">
        <v>1180</v>
      </c>
      <c r="Z305" s="1" t="s">
        <v>71</v>
      </c>
      <c r="AE305" s="1" t="s">
        <v>1182</v>
      </c>
      <c r="AH305" s="1" t="s">
        <v>73</v>
      </c>
      <c r="AK305" s="1" t="s">
        <v>71</v>
      </c>
      <c r="AM305" s="1" t="s">
        <v>71</v>
      </c>
      <c r="AN305" s="1" t="s">
        <v>71</v>
      </c>
      <c r="AS305" s="1" t="s">
        <v>71</v>
      </c>
      <c r="BH305" s="1" t="s">
        <v>71</v>
      </c>
    </row>
    <row r="306" customFormat="false" ht="15" hidden="false" customHeight="false" outlineLevel="0" collapsed="false">
      <c r="A306" s="1" t="s">
        <v>1183</v>
      </c>
      <c r="B306" s="1" t="s">
        <v>1184</v>
      </c>
      <c r="C306" s="1" t="s">
        <v>706</v>
      </c>
      <c r="D306" s="1" t="s">
        <v>707</v>
      </c>
      <c r="E306" s="1" t="s">
        <v>82</v>
      </c>
      <c r="F306" s="1" t="s">
        <v>391</v>
      </c>
      <c r="G306" s="1" t="s">
        <v>97</v>
      </c>
      <c r="H306" s="1" t="s">
        <v>406</v>
      </c>
      <c r="M306" s="1" t="s">
        <v>496</v>
      </c>
      <c r="N306" s="1" t="s">
        <v>530</v>
      </c>
      <c r="O306" s="1" t="s">
        <v>531</v>
      </c>
      <c r="P306" s="1"/>
      <c r="Q306" s="1" t="s">
        <v>70</v>
      </c>
      <c r="U306" s="1" t="s">
        <v>1183</v>
      </c>
      <c r="Z306" s="1" t="s">
        <v>71</v>
      </c>
      <c r="AE306" s="1" t="s">
        <v>1182</v>
      </c>
      <c r="AH306" s="1" t="s">
        <v>73</v>
      </c>
      <c r="AK306" s="1" t="s">
        <v>71</v>
      </c>
      <c r="AM306" s="1" t="s">
        <v>71</v>
      </c>
      <c r="AN306" s="1" t="s">
        <v>71</v>
      </c>
      <c r="AS306" s="1" t="s">
        <v>71</v>
      </c>
      <c r="BH306" s="1" t="s">
        <v>71</v>
      </c>
    </row>
    <row r="307" customFormat="false" ht="15" hidden="false" customHeight="false" outlineLevel="0" collapsed="false">
      <c r="A307" s="1" t="s">
        <v>1185</v>
      </c>
      <c r="B307" s="1" t="s">
        <v>1186</v>
      </c>
      <c r="C307" s="1" t="s">
        <v>265</v>
      </c>
      <c r="D307" s="1" t="s">
        <v>897</v>
      </c>
      <c r="E307" s="1" t="s">
        <v>82</v>
      </c>
      <c r="F307" s="1" t="s">
        <v>391</v>
      </c>
      <c r="G307" s="1" t="s">
        <v>97</v>
      </c>
      <c r="H307" s="1" t="s">
        <v>406</v>
      </c>
      <c r="M307" s="1" t="s">
        <v>496</v>
      </c>
      <c r="N307" s="1" t="s">
        <v>1187</v>
      </c>
      <c r="O307" s="1" t="s">
        <v>1188</v>
      </c>
      <c r="P307" s="1"/>
      <c r="Q307" s="1" t="s">
        <v>70</v>
      </c>
      <c r="U307" s="1" t="s">
        <v>1185</v>
      </c>
      <c r="Z307" s="1" t="s">
        <v>71</v>
      </c>
      <c r="AE307" s="1" t="s">
        <v>1182</v>
      </c>
      <c r="AH307" s="1" t="s">
        <v>73</v>
      </c>
      <c r="AK307" s="1" t="s">
        <v>71</v>
      </c>
      <c r="AM307" s="1" t="s">
        <v>71</v>
      </c>
      <c r="AN307" s="1" t="s">
        <v>71</v>
      </c>
      <c r="AS307" s="1" t="s">
        <v>71</v>
      </c>
      <c r="BH307" s="1" t="s">
        <v>71</v>
      </c>
    </row>
    <row r="308" customFormat="false" ht="15" hidden="false" customHeight="false" outlineLevel="0" collapsed="false">
      <c r="A308" s="1" t="s">
        <v>1189</v>
      </c>
      <c r="B308" s="1" t="s">
        <v>1190</v>
      </c>
      <c r="C308" s="1" t="s">
        <v>526</v>
      </c>
      <c r="D308" s="1" t="s">
        <v>527</v>
      </c>
      <c r="E308" s="1" t="s">
        <v>82</v>
      </c>
      <c r="F308" s="1" t="s">
        <v>391</v>
      </c>
      <c r="G308" s="1" t="s">
        <v>213</v>
      </c>
      <c r="H308" s="1" t="s">
        <v>477</v>
      </c>
      <c r="K308" s="1" t="s">
        <v>478</v>
      </c>
      <c r="L308" s="1" t="s">
        <v>479</v>
      </c>
      <c r="M308" s="1" t="s">
        <v>496</v>
      </c>
      <c r="N308" s="1" t="s">
        <v>1191</v>
      </c>
      <c r="O308" s="1" t="s">
        <v>1192</v>
      </c>
      <c r="P308" s="1"/>
      <c r="Q308" s="1" t="s">
        <v>70</v>
      </c>
      <c r="U308" s="1" t="s">
        <v>1189</v>
      </c>
      <c r="Z308" s="1" t="s">
        <v>71</v>
      </c>
      <c r="AE308" s="1" t="s">
        <v>1182</v>
      </c>
      <c r="AH308" s="1" t="s">
        <v>73</v>
      </c>
      <c r="AK308" s="1" t="s">
        <v>71</v>
      </c>
      <c r="AM308" s="1" t="s">
        <v>71</v>
      </c>
      <c r="AN308" s="1" t="s">
        <v>71</v>
      </c>
      <c r="AS308" s="1" t="s">
        <v>71</v>
      </c>
      <c r="AX308" s="1" t="s">
        <v>71</v>
      </c>
      <c r="BH308" s="1" t="s">
        <v>71</v>
      </c>
    </row>
    <row r="309" customFormat="false" ht="15" hidden="false" customHeight="false" outlineLevel="0" collapsed="false">
      <c r="A309" s="1" t="s">
        <v>380</v>
      </c>
      <c r="B309" s="1" t="s">
        <v>1193</v>
      </c>
      <c r="C309" s="1" t="s">
        <v>526</v>
      </c>
      <c r="D309" s="1" t="s">
        <v>527</v>
      </c>
      <c r="E309" s="1" t="s">
        <v>82</v>
      </c>
      <c r="F309" s="1" t="s">
        <v>391</v>
      </c>
      <c r="G309" s="1" t="s">
        <v>213</v>
      </c>
      <c r="H309" s="1" t="s">
        <v>477</v>
      </c>
      <c r="K309" s="1" t="s">
        <v>478</v>
      </c>
      <c r="L309" s="1" t="s">
        <v>479</v>
      </c>
      <c r="M309" s="1" t="s">
        <v>496</v>
      </c>
      <c r="N309" s="1" t="s">
        <v>512</v>
      </c>
      <c r="O309" s="1" t="s">
        <v>513</v>
      </c>
      <c r="P309" s="1"/>
      <c r="Q309" s="1" t="s">
        <v>70</v>
      </c>
      <c r="U309" s="1" t="s">
        <v>380</v>
      </c>
      <c r="Z309" s="1" t="s">
        <v>71</v>
      </c>
      <c r="AE309" s="1" t="s">
        <v>1194</v>
      </c>
      <c r="AH309" s="1" t="s">
        <v>73</v>
      </c>
      <c r="AK309" s="1" t="s">
        <v>71</v>
      </c>
      <c r="AM309" s="1" t="s">
        <v>71</v>
      </c>
      <c r="AN309" s="1" t="s">
        <v>71</v>
      </c>
      <c r="AS309" s="1" t="s">
        <v>71</v>
      </c>
      <c r="AX309" s="1" t="s">
        <v>71</v>
      </c>
      <c r="BH309" s="1" t="s">
        <v>71</v>
      </c>
    </row>
    <row r="310" customFormat="false" ht="15" hidden="false" customHeight="false" outlineLevel="0" collapsed="false">
      <c r="A310" s="1" t="s">
        <v>1195</v>
      </c>
      <c r="B310" s="1" t="s">
        <v>1196</v>
      </c>
      <c r="C310" s="1" t="s">
        <v>136</v>
      </c>
      <c r="D310" s="1" t="s">
        <v>208</v>
      </c>
      <c r="E310" s="1" t="s">
        <v>65</v>
      </c>
      <c r="F310" s="1" t="s">
        <v>119</v>
      </c>
      <c r="G310" s="1" t="s">
        <v>65</v>
      </c>
      <c r="H310" s="1" t="s">
        <v>64</v>
      </c>
      <c r="K310" s="1" t="s">
        <v>177</v>
      </c>
      <c r="L310" s="1" t="s">
        <v>178</v>
      </c>
      <c r="M310" s="1" t="s">
        <v>104</v>
      </c>
      <c r="N310" s="1" t="s">
        <v>123</v>
      </c>
      <c r="O310" s="1" t="s">
        <v>124</v>
      </c>
      <c r="P310" s="1"/>
      <c r="Q310" s="1" t="s">
        <v>70</v>
      </c>
      <c r="U310" s="1" t="s">
        <v>1195</v>
      </c>
      <c r="Z310" s="1" t="s">
        <v>71</v>
      </c>
      <c r="AE310" s="1" t="s">
        <v>1197</v>
      </c>
      <c r="AH310" s="1" t="s">
        <v>73</v>
      </c>
      <c r="AK310" s="1" t="s">
        <v>71</v>
      </c>
      <c r="AM310" s="1" t="s">
        <v>71</v>
      </c>
      <c r="AN310" s="1" t="s">
        <v>71</v>
      </c>
      <c r="AS310" s="1" t="s">
        <v>71</v>
      </c>
      <c r="AY310" s="1" t="s">
        <v>59</v>
      </c>
      <c r="AZ310" s="1" t="s">
        <v>74</v>
      </c>
      <c r="BH310" s="1" t="s">
        <v>71</v>
      </c>
    </row>
    <row r="311" customFormat="false" ht="15" hidden="false" customHeight="false" outlineLevel="0" collapsed="false">
      <c r="A311" s="1" t="s">
        <v>1198</v>
      </c>
      <c r="B311" s="1" t="s">
        <v>1199</v>
      </c>
      <c r="C311" s="1" t="s">
        <v>136</v>
      </c>
      <c r="D311" s="1" t="s">
        <v>208</v>
      </c>
      <c r="E311" s="1" t="s">
        <v>65</v>
      </c>
      <c r="F311" s="1" t="s">
        <v>119</v>
      </c>
      <c r="G311" s="1" t="s">
        <v>65</v>
      </c>
      <c r="H311" s="1" t="s">
        <v>64</v>
      </c>
      <c r="K311" s="1" t="s">
        <v>170</v>
      </c>
      <c r="L311" s="1" t="s">
        <v>171</v>
      </c>
      <c r="M311" s="1" t="s">
        <v>122</v>
      </c>
      <c r="N311" s="1" t="s">
        <v>123</v>
      </c>
      <c r="O311" s="1" t="s">
        <v>124</v>
      </c>
      <c r="P311" s="1"/>
      <c r="Q311" s="1" t="s">
        <v>70</v>
      </c>
      <c r="U311" s="1" t="s">
        <v>1198</v>
      </c>
      <c r="Z311" s="1" t="s">
        <v>71</v>
      </c>
      <c r="AE311" s="1" t="s">
        <v>1197</v>
      </c>
      <c r="AH311" s="1" t="s">
        <v>73</v>
      </c>
      <c r="AK311" s="1" t="s">
        <v>71</v>
      </c>
      <c r="AM311" s="1" t="s">
        <v>71</v>
      </c>
      <c r="AN311" s="1" t="s">
        <v>71</v>
      </c>
      <c r="AS311" s="1" t="s">
        <v>71</v>
      </c>
      <c r="AY311" s="1" t="s">
        <v>59</v>
      </c>
      <c r="AZ311" s="1" t="s">
        <v>74</v>
      </c>
      <c r="BH311" s="1" t="s">
        <v>71</v>
      </c>
    </row>
    <row r="312" customFormat="false" ht="15" hidden="false" customHeight="false" outlineLevel="0" collapsed="false">
      <c r="A312" s="1" t="s">
        <v>1200</v>
      </c>
      <c r="B312" s="1" t="s">
        <v>1201</v>
      </c>
      <c r="C312" s="1" t="s">
        <v>136</v>
      </c>
      <c r="D312" s="1" t="s">
        <v>208</v>
      </c>
      <c r="E312" s="1" t="s">
        <v>65</v>
      </c>
      <c r="F312" s="1" t="s">
        <v>119</v>
      </c>
      <c r="G312" s="1" t="s">
        <v>65</v>
      </c>
      <c r="H312" s="1" t="s">
        <v>64</v>
      </c>
      <c r="K312" s="1" t="s">
        <v>573</v>
      </c>
      <c r="L312" s="1" t="s">
        <v>1202</v>
      </c>
      <c r="M312" s="1" t="s">
        <v>104</v>
      </c>
      <c r="N312" s="1" t="s">
        <v>123</v>
      </c>
      <c r="O312" s="1" t="s">
        <v>124</v>
      </c>
      <c r="P312" s="1"/>
      <c r="Q312" s="1" t="s">
        <v>70</v>
      </c>
      <c r="U312" s="1" t="s">
        <v>1200</v>
      </c>
      <c r="Z312" s="1" t="s">
        <v>71</v>
      </c>
      <c r="AE312" s="1" t="s">
        <v>1197</v>
      </c>
      <c r="AH312" s="1" t="s">
        <v>73</v>
      </c>
      <c r="AK312" s="1" t="s">
        <v>71</v>
      </c>
      <c r="AM312" s="1" t="s">
        <v>71</v>
      </c>
      <c r="AN312" s="1" t="s">
        <v>71</v>
      </c>
      <c r="AS312" s="1" t="s">
        <v>71</v>
      </c>
      <c r="AX312" s="1" t="s">
        <v>71</v>
      </c>
      <c r="AY312" s="1" t="s">
        <v>59</v>
      </c>
      <c r="AZ312" s="1" t="s">
        <v>74</v>
      </c>
      <c r="BH312" s="1" t="s">
        <v>71</v>
      </c>
    </row>
    <row r="313" customFormat="false" ht="15" hidden="false" customHeight="false" outlineLevel="0" collapsed="false">
      <c r="A313" s="1" t="s">
        <v>1203</v>
      </c>
      <c r="B313" s="1" t="s">
        <v>1204</v>
      </c>
      <c r="C313" s="1" t="s">
        <v>526</v>
      </c>
      <c r="D313" s="1" t="s">
        <v>527</v>
      </c>
      <c r="E313" s="1" t="s">
        <v>82</v>
      </c>
      <c r="F313" s="1" t="s">
        <v>391</v>
      </c>
      <c r="G313" s="1" t="s">
        <v>213</v>
      </c>
      <c r="H313" s="1" t="s">
        <v>477</v>
      </c>
      <c r="K313" s="1" t="s">
        <v>478</v>
      </c>
      <c r="L313" s="1" t="s">
        <v>479</v>
      </c>
      <c r="M313" s="1" t="s">
        <v>496</v>
      </c>
      <c r="N313" s="1" t="s">
        <v>1205</v>
      </c>
      <c r="O313" s="1" t="s">
        <v>1206</v>
      </c>
      <c r="P313" s="1"/>
      <c r="Q313" s="1" t="s">
        <v>70</v>
      </c>
      <c r="U313" s="1" t="s">
        <v>1203</v>
      </c>
      <c r="Z313" s="1" t="s">
        <v>71</v>
      </c>
      <c r="AE313" s="1" t="s">
        <v>1207</v>
      </c>
      <c r="AH313" s="1" t="s">
        <v>73</v>
      </c>
      <c r="AK313" s="1" t="s">
        <v>71</v>
      </c>
      <c r="AM313" s="1" t="s">
        <v>71</v>
      </c>
      <c r="AN313" s="1" t="s">
        <v>71</v>
      </c>
      <c r="AS313" s="1" t="s">
        <v>71</v>
      </c>
      <c r="AX313" s="1" t="s">
        <v>71</v>
      </c>
      <c r="BH313" s="1" t="s">
        <v>71</v>
      </c>
    </row>
    <row r="314" customFormat="false" ht="15" hidden="false" customHeight="false" outlineLevel="0" collapsed="false">
      <c r="A314" s="1" t="s">
        <v>1208</v>
      </c>
      <c r="B314" s="1" t="s">
        <v>1209</v>
      </c>
      <c r="C314" s="1" t="s">
        <v>780</v>
      </c>
      <c r="D314" s="1" t="s">
        <v>1210</v>
      </c>
      <c r="E314" s="1" t="s">
        <v>82</v>
      </c>
      <c r="F314" s="1" t="s">
        <v>391</v>
      </c>
      <c r="G314" s="1" t="s">
        <v>443</v>
      </c>
      <c r="H314" s="1" t="s">
        <v>444</v>
      </c>
      <c r="K314" s="1" t="s">
        <v>618</v>
      </c>
      <c r="L314" s="1" t="s">
        <v>619</v>
      </c>
      <c r="M314" s="1" t="s">
        <v>496</v>
      </c>
      <c r="N314" s="1" t="s">
        <v>1211</v>
      </c>
      <c r="O314" s="1" t="s">
        <v>1212</v>
      </c>
      <c r="P314" s="1"/>
      <c r="Q314" s="1" t="s">
        <v>70</v>
      </c>
      <c r="U314" s="1" t="s">
        <v>1208</v>
      </c>
      <c r="Z314" s="1" t="s">
        <v>71</v>
      </c>
      <c r="AE314" s="1" t="s">
        <v>1207</v>
      </c>
      <c r="AH314" s="1" t="s">
        <v>73</v>
      </c>
      <c r="AK314" s="1" t="s">
        <v>71</v>
      </c>
      <c r="AM314" s="1" t="s">
        <v>71</v>
      </c>
      <c r="AN314" s="1" t="s">
        <v>71</v>
      </c>
      <c r="AS314" s="1" t="s">
        <v>71</v>
      </c>
      <c r="AX314" s="1" t="s">
        <v>71</v>
      </c>
      <c r="BH314" s="1" t="s">
        <v>71</v>
      </c>
    </row>
    <row r="315" customFormat="false" ht="15" hidden="false" customHeight="false" outlineLevel="0" collapsed="false">
      <c r="A315" s="1" t="s">
        <v>1213</v>
      </c>
      <c r="B315" s="1" t="s">
        <v>1214</v>
      </c>
      <c r="C315" s="1" t="s">
        <v>526</v>
      </c>
      <c r="D315" s="1" t="s">
        <v>527</v>
      </c>
      <c r="E315" s="1" t="s">
        <v>82</v>
      </c>
      <c r="F315" s="1" t="s">
        <v>391</v>
      </c>
      <c r="G315" s="1" t="s">
        <v>97</v>
      </c>
      <c r="H315" s="1" t="s">
        <v>406</v>
      </c>
      <c r="M315" s="1" t="s">
        <v>496</v>
      </c>
      <c r="N315" s="1" t="s">
        <v>518</v>
      </c>
      <c r="O315" s="1" t="s">
        <v>519</v>
      </c>
      <c r="P315" s="1"/>
      <c r="Q315" s="1" t="s">
        <v>70</v>
      </c>
      <c r="U315" s="1" t="s">
        <v>1213</v>
      </c>
      <c r="Z315" s="1" t="s">
        <v>71</v>
      </c>
      <c r="AE315" s="1" t="s">
        <v>1207</v>
      </c>
      <c r="AH315" s="1" t="s">
        <v>73</v>
      </c>
      <c r="AK315" s="1" t="s">
        <v>71</v>
      </c>
      <c r="AM315" s="1" t="s">
        <v>71</v>
      </c>
      <c r="AN315" s="1" t="s">
        <v>71</v>
      </c>
      <c r="AS315" s="1" t="s">
        <v>71</v>
      </c>
      <c r="BH315" s="1" t="s">
        <v>71</v>
      </c>
    </row>
    <row r="316" customFormat="false" ht="15" hidden="false" customHeight="false" outlineLevel="0" collapsed="false">
      <c r="A316" s="1" t="s">
        <v>1215</v>
      </c>
      <c r="B316" s="1" t="s">
        <v>1216</v>
      </c>
      <c r="C316" s="1" t="s">
        <v>526</v>
      </c>
      <c r="D316" s="1" t="s">
        <v>527</v>
      </c>
      <c r="E316" s="1" t="s">
        <v>82</v>
      </c>
      <c r="F316" s="1" t="s">
        <v>391</v>
      </c>
      <c r="G316" s="1" t="s">
        <v>97</v>
      </c>
      <c r="H316" s="1" t="s">
        <v>406</v>
      </c>
      <c r="M316" s="1" t="s">
        <v>496</v>
      </c>
      <c r="N316" s="1" t="s">
        <v>518</v>
      </c>
      <c r="O316" s="1" t="s">
        <v>519</v>
      </c>
      <c r="P316" s="1"/>
      <c r="Q316" s="1" t="s">
        <v>70</v>
      </c>
      <c r="U316" s="1" t="s">
        <v>1215</v>
      </c>
      <c r="Z316" s="1" t="s">
        <v>71</v>
      </c>
      <c r="AE316" s="1" t="s">
        <v>1207</v>
      </c>
      <c r="AH316" s="1" t="s">
        <v>73</v>
      </c>
      <c r="AK316" s="1" t="s">
        <v>71</v>
      </c>
      <c r="AM316" s="1" t="s">
        <v>71</v>
      </c>
      <c r="AN316" s="1" t="s">
        <v>71</v>
      </c>
      <c r="AS316" s="1" t="s">
        <v>71</v>
      </c>
      <c r="BH316" s="1" t="s">
        <v>71</v>
      </c>
    </row>
    <row r="317" customFormat="false" ht="15" hidden="false" customHeight="false" outlineLevel="0" collapsed="false">
      <c r="A317" s="1" t="s">
        <v>1217</v>
      </c>
      <c r="B317" s="1" t="s">
        <v>1218</v>
      </c>
      <c r="C317" s="1" t="s">
        <v>526</v>
      </c>
      <c r="D317" s="1" t="s">
        <v>527</v>
      </c>
      <c r="E317" s="1" t="s">
        <v>82</v>
      </c>
      <c r="F317" s="1" t="s">
        <v>391</v>
      </c>
      <c r="G317" s="1" t="s">
        <v>97</v>
      </c>
      <c r="H317" s="1" t="s">
        <v>406</v>
      </c>
      <c r="M317" s="1" t="s">
        <v>496</v>
      </c>
      <c r="N317" s="1" t="s">
        <v>1219</v>
      </c>
      <c r="O317" s="1" t="s">
        <v>1220</v>
      </c>
      <c r="P317" s="1"/>
      <c r="Q317" s="1" t="s">
        <v>70</v>
      </c>
      <c r="U317" s="1" t="s">
        <v>1217</v>
      </c>
      <c r="Z317" s="1" t="s">
        <v>71</v>
      </c>
      <c r="AE317" s="1" t="s">
        <v>1207</v>
      </c>
      <c r="AH317" s="1" t="s">
        <v>73</v>
      </c>
      <c r="AK317" s="1" t="s">
        <v>71</v>
      </c>
      <c r="AM317" s="1" t="s">
        <v>71</v>
      </c>
      <c r="AN317" s="1" t="s">
        <v>71</v>
      </c>
      <c r="AS317" s="1" t="s">
        <v>71</v>
      </c>
      <c r="BH317" s="1" t="s">
        <v>71</v>
      </c>
    </row>
    <row r="318" customFormat="false" ht="15" hidden="false" customHeight="false" outlineLevel="0" collapsed="false">
      <c r="A318" s="1" t="s">
        <v>1221</v>
      </c>
      <c r="B318" s="1" t="s">
        <v>1222</v>
      </c>
      <c r="C318" s="1" t="s">
        <v>526</v>
      </c>
      <c r="D318" s="1" t="s">
        <v>527</v>
      </c>
      <c r="E318" s="1" t="s">
        <v>82</v>
      </c>
      <c r="F318" s="1" t="s">
        <v>391</v>
      </c>
      <c r="G318" s="1" t="s">
        <v>97</v>
      </c>
      <c r="H318" s="1" t="s">
        <v>406</v>
      </c>
      <c r="M318" s="1" t="s">
        <v>496</v>
      </c>
      <c r="N318" s="1" t="s">
        <v>518</v>
      </c>
      <c r="O318" s="1" t="s">
        <v>519</v>
      </c>
      <c r="P318" s="1"/>
      <c r="Q318" s="1" t="s">
        <v>70</v>
      </c>
      <c r="U318" s="1" t="s">
        <v>1221</v>
      </c>
      <c r="Z318" s="1" t="s">
        <v>71</v>
      </c>
      <c r="AE318" s="1" t="s">
        <v>1207</v>
      </c>
      <c r="AH318" s="1" t="s">
        <v>73</v>
      </c>
      <c r="AK318" s="1" t="s">
        <v>71</v>
      </c>
      <c r="AM318" s="1" t="s">
        <v>71</v>
      </c>
      <c r="AN318" s="1" t="s">
        <v>71</v>
      </c>
      <c r="AS318" s="1" t="s">
        <v>71</v>
      </c>
      <c r="BH318" s="1" t="s">
        <v>71</v>
      </c>
    </row>
    <row r="319" customFormat="false" ht="15" hidden="false" customHeight="false" outlineLevel="0" collapsed="false">
      <c r="A319" s="1" t="s">
        <v>1223</v>
      </c>
      <c r="B319" s="1" t="s">
        <v>1224</v>
      </c>
      <c r="C319" s="1" t="s">
        <v>526</v>
      </c>
      <c r="D319" s="1" t="s">
        <v>527</v>
      </c>
      <c r="E319" s="1" t="s">
        <v>82</v>
      </c>
      <c r="F319" s="1" t="s">
        <v>391</v>
      </c>
      <c r="G319" s="1" t="s">
        <v>213</v>
      </c>
      <c r="H319" s="1" t="s">
        <v>477</v>
      </c>
      <c r="K319" s="1" t="s">
        <v>478</v>
      </c>
      <c r="L319" s="1" t="s">
        <v>479</v>
      </c>
      <c r="M319" s="1" t="s">
        <v>496</v>
      </c>
      <c r="N319" s="1" t="s">
        <v>1225</v>
      </c>
      <c r="O319" s="1" t="s">
        <v>400</v>
      </c>
      <c r="P319" s="1"/>
      <c r="Q319" s="1" t="s">
        <v>70</v>
      </c>
      <c r="U319" s="1" t="s">
        <v>1223</v>
      </c>
      <c r="Z319" s="1" t="s">
        <v>71</v>
      </c>
      <c r="AE319" s="1" t="s">
        <v>1207</v>
      </c>
      <c r="AH319" s="1" t="s">
        <v>73</v>
      </c>
      <c r="AK319" s="1" t="s">
        <v>71</v>
      </c>
      <c r="AM319" s="1" t="s">
        <v>71</v>
      </c>
      <c r="AN319" s="1" t="s">
        <v>71</v>
      </c>
      <c r="AS319" s="1" t="s">
        <v>71</v>
      </c>
      <c r="AX319" s="1" t="s">
        <v>71</v>
      </c>
      <c r="BH319" s="1" t="s">
        <v>71</v>
      </c>
    </row>
    <row r="320" customFormat="false" ht="15" hidden="false" customHeight="false" outlineLevel="0" collapsed="false">
      <c r="A320" s="1" t="s">
        <v>1226</v>
      </c>
      <c r="B320" s="1" t="s">
        <v>1227</v>
      </c>
      <c r="C320" s="1" t="s">
        <v>526</v>
      </c>
      <c r="D320" s="1" t="s">
        <v>527</v>
      </c>
      <c r="E320" s="1" t="s">
        <v>82</v>
      </c>
      <c r="F320" s="1" t="s">
        <v>391</v>
      </c>
      <c r="G320" s="1" t="s">
        <v>97</v>
      </c>
      <c r="H320" s="1" t="s">
        <v>406</v>
      </c>
      <c r="M320" s="1" t="s">
        <v>496</v>
      </c>
      <c r="N320" s="1" t="s">
        <v>1228</v>
      </c>
      <c r="O320" s="1" t="s">
        <v>1043</v>
      </c>
      <c r="P320" s="1"/>
      <c r="Q320" s="1" t="s">
        <v>70</v>
      </c>
      <c r="U320" s="1" t="s">
        <v>1226</v>
      </c>
      <c r="Z320" s="1" t="s">
        <v>71</v>
      </c>
      <c r="AE320" s="1" t="s">
        <v>1207</v>
      </c>
      <c r="AH320" s="1" t="s">
        <v>73</v>
      </c>
      <c r="AK320" s="1" t="s">
        <v>71</v>
      </c>
      <c r="AM320" s="1" t="s">
        <v>71</v>
      </c>
      <c r="AN320" s="1" t="s">
        <v>71</v>
      </c>
      <c r="AS320" s="1" t="s">
        <v>71</v>
      </c>
      <c r="BH320" s="1" t="s">
        <v>71</v>
      </c>
    </row>
    <row r="321" customFormat="false" ht="15" hidden="false" customHeight="false" outlineLevel="0" collapsed="false">
      <c r="A321" s="1" t="s">
        <v>1229</v>
      </c>
      <c r="B321" s="1" t="s">
        <v>1230</v>
      </c>
      <c r="C321" s="1" t="s">
        <v>526</v>
      </c>
      <c r="D321" s="1" t="s">
        <v>527</v>
      </c>
      <c r="E321" s="1" t="s">
        <v>82</v>
      </c>
      <c r="F321" s="1" t="s">
        <v>391</v>
      </c>
      <c r="G321" s="1" t="s">
        <v>443</v>
      </c>
      <c r="H321" s="1" t="s">
        <v>444</v>
      </c>
      <c r="K321" s="1" t="s">
        <v>618</v>
      </c>
      <c r="L321" s="1" t="s">
        <v>619</v>
      </c>
      <c r="M321" s="1" t="s">
        <v>496</v>
      </c>
      <c r="N321" s="1" t="s">
        <v>536</v>
      </c>
      <c r="O321" s="1" t="s">
        <v>537</v>
      </c>
      <c r="P321" s="1"/>
      <c r="Q321" s="1" t="s">
        <v>70</v>
      </c>
      <c r="U321" s="1" t="s">
        <v>1229</v>
      </c>
      <c r="Z321" s="1" t="s">
        <v>71</v>
      </c>
      <c r="AE321" s="1" t="s">
        <v>1207</v>
      </c>
      <c r="AH321" s="1" t="s">
        <v>73</v>
      </c>
      <c r="AK321" s="1" t="s">
        <v>71</v>
      </c>
      <c r="AM321" s="1" t="s">
        <v>71</v>
      </c>
      <c r="AN321" s="1" t="s">
        <v>71</v>
      </c>
      <c r="AS321" s="1" t="s">
        <v>71</v>
      </c>
      <c r="AX321" s="1" t="s">
        <v>71</v>
      </c>
      <c r="BH321" s="1" t="s">
        <v>71</v>
      </c>
    </row>
    <row r="322" customFormat="false" ht="15" hidden="false" customHeight="false" outlineLevel="0" collapsed="false">
      <c r="A322" s="1" t="s">
        <v>1231</v>
      </c>
      <c r="B322" s="1" t="s">
        <v>1232</v>
      </c>
      <c r="C322" s="1" t="s">
        <v>526</v>
      </c>
      <c r="D322" s="1" t="s">
        <v>527</v>
      </c>
      <c r="E322" s="1" t="s">
        <v>82</v>
      </c>
      <c r="F322" s="1" t="s">
        <v>391</v>
      </c>
      <c r="G322" s="1" t="s">
        <v>97</v>
      </c>
      <c r="H322" s="1" t="s">
        <v>406</v>
      </c>
      <c r="M322" s="1" t="s">
        <v>496</v>
      </c>
      <c r="N322" s="1" t="s">
        <v>1233</v>
      </c>
      <c r="O322" s="1" t="s">
        <v>447</v>
      </c>
      <c r="P322" s="1"/>
      <c r="Q322" s="1" t="s">
        <v>70</v>
      </c>
      <c r="U322" s="1" t="s">
        <v>1231</v>
      </c>
      <c r="Z322" s="1" t="s">
        <v>71</v>
      </c>
      <c r="AE322" s="1" t="s">
        <v>1207</v>
      </c>
      <c r="AH322" s="1" t="s">
        <v>73</v>
      </c>
      <c r="AK322" s="1" t="s">
        <v>71</v>
      </c>
      <c r="AM322" s="1" t="s">
        <v>71</v>
      </c>
      <c r="AN322" s="1" t="s">
        <v>71</v>
      </c>
      <c r="AS322" s="1" t="s">
        <v>71</v>
      </c>
      <c r="BH322" s="1" t="s">
        <v>71</v>
      </c>
    </row>
    <row r="323" customFormat="false" ht="15" hidden="false" customHeight="false" outlineLevel="0" collapsed="false">
      <c r="A323" s="1" t="s">
        <v>1234</v>
      </c>
      <c r="B323" s="1" t="s">
        <v>1235</v>
      </c>
      <c r="C323" s="1" t="s">
        <v>182</v>
      </c>
      <c r="D323" s="1" t="s">
        <v>239</v>
      </c>
      <c r="E323" s="1" t="s">
        <v>61</v>
      </c>
      <c r="F323" s="1" t="s">
        <v>101</v>
      </c>
      <c r="G323" s="1" t="s">
        <v>177</v>
      </c>
      <c r="H323" s="1" t="s">
        <v>255</v>
      </c>
      <c r="K323" s="1" t="s">
        <v>115</v>
      </c>
      <c r="L323" s="1" t="s">
        <v>1236</v>
      </c>
      <c r="M323" s="1" t="s">
        <v>296</v>
      </c>
      <c r="N323" s="1" t="s">
        <v>259</v>
      </c>
      <c r="O323" s="1" t="s">
        <v>260</v>
      </c>
      <c r="P323" s="1"/>
      <c r="Q323" s="1" t="s">
        <v>70</v>
      </c>
      <c r="U323" s="1" t="s">
        <v>245</v>
      </c>
      <c r="Z323" s="1" t="s">
        <v>71</v>
      </c>
      <c r="AE323" s="1" t="s">
        <v>1237</v>
      </c>
      <c r="AH323" s="1" t="s">
        <v>73</v>
      </c>
      <c r="AK323" s="1" t="s">
        <v>71</v>
      </c>
      <c r="AM323" s="1" t="s">
        <v>71</v>
      </c>
      <c r="AN323" s="1" t="s">
        <v>71</v>
      </c>
      <c r="AS323" s="1" t="s">
        <v>71</v>
      </c>
      <c r="AX323" s="1" t="s">
        <v>71</v>
      </c>
      <c r="AY323" s="1" t="s">
        <v>59</v>
      </c>
      <c r="AZ323" s="1" t="s">
        <v>74</v>
      </c>
      <c r="BH323" s="1" t="s">
        <v>71</v>
      </c>
    </row>
    <row r="324" customFormat="false" ht="15" hidden="false" customHeight="false" outlineLevel="0" collapsed="false">
      <c r="A324" s="1" t="s">
        <v>1238</v>
      </c>
      <c r="B324" s="1" t="s">
        <v>1239</v>
      </c>
      <c r="C324" s="1" t="s">
        <v>161</v>
      </c>
      <c r="D324" s="1" t="s">
        <v>162</v>
      </c>
      <c r="E324" s="1" t="s">
        <v>61</v>
      </c>
      <c r="F324" s="1" t="s">
        <v>101</v>
      </c>
      <c r="G324" s="1" t="s">
        <v>93</v>
      </c>
      <c r="H324" s="1" t="s">
        <v>64</v>
      </c>
      <c r="K324" s="1" t="s">
        <v>224</v>
      </c>
      <c r="L324" s="1" t="s">
        <v>225</v>
      </c>
      <c r="M324" s="1" t="s">
        <v>122</v>
      </c>
      <c r="N324" s="1" t="s">
        <v>105</v>
      </c>
      <c r="O324" s="1" t="s">
        <v>106</v>
      </c>
      <c r="P324" s="1" t="e">
        <f aca="false">image("https://drive.google.com/uc?export=view&amp;id=13NjooMzTLh6uuHucWhAqHpnrdCs22QSX")</f>
        <v>#NAME?</v>
      </c>
      <c r="Q324" s="1" t="s">
        <v>205</v>
      </c>
      <c r="U324" s="1" t="s">
        <v>1238</v>
      </c>
      <c r="Z324" s="1" t="s">
        <v>71</v>
      </c>
      <c r="AE324" s="1" t="s">
        <v>1237</v>
      </c>
      <c r="AH324" s="1" t="s">
        <v>73</v>
      </c>
      <c r="AK324" s="1" t="s">
        <v>71</v>
      </c>
      <c r="AM324" s="1" t="s">
        <v>71</v>
      </c>
      <c r="AN324" s="1" t="s">
        <v>71</v>
      </c>
      <c r="AS324" s="1" t="s">
        <v>71</v>
      </c>
      <c r="AX324" s="1" t="s">
        <v>71</v>
      </c>
      <c r="AY324" s="1" t="s">
        <v>59</v>
      </c>
      <c r="AZ324" s="1" t="s">
        <v>74</v>
      </c>
      <c r="BH324" s="1" t="s">
        <v>71</v>
      </c>
    </row>
    <row r="325" customFormat="false" ht="15" hidden="false" customHeight="false" outlineLevel="0" collapsed="false">
      <c r="A325" s="1" t="s">
        <v>1240</v>
      </c>
      <c r="B325" s="1" t="s">
        <v>1241</v>
      </c>
      <c r="C325" s="1" t="s">
        <v>220</v>
      </c>
      <c r="D325" s="1" t="s">
        <v>540</v>
      </c>
      <c r="E325" s="1" t="s">
        <v>82</v>
      </c>
      <c r="F325" s="1" t="s">
        <v>391</v>
      </c>
      <c r="G325" s="1" t="s">
        <v>213</v>
      </c>
      <c r="H325" s="1" t="s">
        <v>477</v>
      </c>
      <c r="K325" s="1" t="s">
        <v>478</v>
      </c>
      <c r="L325" s="1" t="s">
        <v>479</v>
      </c>
      <c r="M325" s="1" t="s">
        <v>59</v>
      </c>
      <c r="N325" s="1" t="s">
        <v>536</v>
      </c>
      <c r="O325" s="1" t="s">
        <v>537</v>
      </c>
      <c r="P325" s="1"/>
      <c r="Q325" s="1" t="s">
        <v>70</v>
      </c>
      <c r="U325" s="1" t="s">
        <v>1240</v>
      </c>
      <c r="Z325" s="1" t="s">
        <v>71</v>
      </c>
      <c r="AE325" s="1" t="s">
        <v>1242</v>
      </c>
      <c r="AH325" s="1" t="s">
        <v>73</v>
      </c>
      <c r="AK325" s="1" t="s">
        <v>71</v>
      </c>
      <c r="AM325" s="1" t="s">
        <v>71</v>
      </c>
      <c r="AN325" s="1" t="s">
        <v>71</v>
      </c>
      <c r="AS325" s="1" t="s">
        <v>71</v>
      </c>
      <c r="BH325" s="1" t="s">
        <v>71</v>
      </c>
    </row>
    <row r="326" customFormat="false" ht="15" hidden="false" customHeight="false" outlineLevel="0" collapsed="false">
      <c r="A326" s="1" t="s">
        <v>1243</v>
      </c>
      <c r="B326" s="1" t="s">
        <v>1244</v>
      </c>
      <c r="C326" s="1" t="s">
        <v>220</v>
      </c>
      <c r="D326" s="1" t="s">
        <v>540</v>
      </c>
      <c r="E326" s="1" t="s">
        <v>82</v>
      </c>
      <c r="F326" s="1" t="s">
        <v>391</v>
      </c>
      <c r="G326" s="1" t="s">
        <v>213</v>
      </c>
      <c r="H326" s="1" t="s">
        <v>477</v>
      </c>
      <c r="K326" s="1" t="s">
        <v>478</v>
      </c>
      <c r="L326" s="1" t="s">
        <v>479</v>
      </c>
      <c r="M326" s="1" t="s">
        <v>59</v>
      </c>
      <c r="N326" s="1" t="s">
        <v>518</v>
      </c>
      <c r="O326" s="1" t="s">
        <v>519</v>
      </c>
      <c r="P326" s="1"/>
      <c r="Q326" s="1" t="s">
        <v>70</v>
      </c>
      <c r="U326" s="1" t="s">
        <v>1243</v>
      </c>
      <c r="Z326" s="1" t="s">
        <v>71</v>
      </c>
      <c r="AE326" s="1" t="s">
        <v>1242</v>
      </c>
      <c r="AH326" s="1" t="s">
        <v>73</v>
      </c>
      <c r="AK326" s="1" t="s">
        <v>71</v>
      </c>
      <c r="AM326" s="1" t="s">
        <v>71</v>
      </c>
      <c r="AN326" s="1" t="s">
        <v>71</v>
      </c>
      <c r="AS326" s="1" t="s">
        <v>71</v>
      </c>
      <c r="BH326" s="1" t="s">
        <v>71</v>
      </c>
    </row>
    <row r="327" customFormat="false" ht="15" hidden="false" customHeight="false" outlineLevel="0" collapsed="false">
      <c r="A327" s="1" t="s">
        <v>1245</v>
      </c>
      <c r="B327" s="1" t="s">
        <v>1246</v>
      </c>
      <c r="C327" s="1" t="s">
        <v>220</v>
      </c>
      <c r="D327" s="1" t="s">
        <v>540</v>
      </c>
      <c r="E327" s="1" t="s">
        <v>82</v>
      </c>
      <c r="F327" s="1" t="s">
        <v>391</v>
      </c>
      <c r="G327" s="1" t="s">
        <v>213</v>
      </c>
      <c r="H327" s="1" t="s">
        <v>477</v>
      </c>
      <c r="K327" s="1" t="s">
        <v>478</v>
      </c>
      <c r="L327" s="1" t="s">
        <v>479</v>
      </c>
      <c r="M327" s="1" t="s">
        <v>59</v>
      </c>
      <c r="N327" s="1" t="s">
        <v>880</v>
      </c>
      <c r="O327" s="1" t="s">
        <v>881</v>
      </c>
      <c r="P327" s="1"/>
      <c r="Q327" s="1" t="s">
        <v>70</v>
      </c>
      <c r="U327" s="1" t="s">
        <v>1245</v>
      </c>
      <c r="Z327" s="1" t="s">
        <v>71</v>
      </c>
      <c r="AE327" s="1" t="s">
        <v>1242</v>
      </c>
      <c r="AH327" s="1" t="s">
        <v>73</v>
      </c>
      <c r="AK327" s="1" t="s">
        <v>71</v>
      </c>
      <c r="AM327" s="1" t="s">
        <v>71</v>
      </c>
      <c r="AN327" s="1" t="s">
        <v>71</v>
      </c>
      <c r="AS327" s="1" t="s">
        <v>71</v>
      </c>
      <c r="AX327" s="1" t="s">
        <v>71</v>
      </c>
      <c r="BH327" s="1" t="s">
        <v>71</v>
      </c>
    </row>
    <row r="328" customFormat="false" ht="15" hidden="false" customHeight="false" outlineLevel="0" collapsed="false">
      <c r="A328" s="1" t="s">
        <v>1247</v>
      </c>
      <c r="B328" s="1" t="s">
        <v>1248</v>
      </c>
      <c r="C328" s="1" t="s">
        <v>220</v>
      </c>
      <c r="D328" s="1" t="s">
        <v>540</v>
      </c>
      <c r="E328" s="1" t="s">
        <v>82</v>
      </c>
      <c r="F328" s="1" t="s">
        <v>391</v>
      </c>
      <c r="G328" s="1" t="s">
        <v>213</v>
      </c>
      <c r="H328" s="1" t="s">
        <v>477</v>
      </c>
      <c r="K328" s="1" t="s">
        <v>478</v>
      </c>
      <c r="L328" s="1" t="s">
        <v>479</v>
      </c>
      <c r="M328" s="1" t="s">
        <v>59</v>
      </c>
      <c r="N328" s="1" t="s">
        <v>1249</v>
      </c>
      <c r="O328" s="1" t="s">
        <v>1250</v>
      </c>
      <c r="P328" s="1"/>
      <c r="Q328" s="1" t="s">
        <v>70</v>
      </c>
      <c r="U328" s="1" t="s">
        <v>1247</v>
      </c>
      <c r="Z328" s="1" t="s">
        <v>71</v>
      </c>
      <c r="AA328" s="1" t="s">
        <v>91</v>
      </c>
      <c r="AE328" s="1" t="s">
        <v>1242</v>
      </c>
      <c r="AH328" s="1" t="s">
        <v>73</v>
      </c>
      <c r="AK328" s="1" t="s">
        <v>71</v>
      </c>
      <c r="AM328" s="1" t="s">
        <v>71</v>
      </c>
      <c r="AN328" s="1" t="s">
        <v>71</v>
      </c>
      <c r="AS328" s="1" t="s">
        <v>71</v>
      </c>
      <c r="AX328" s="1" t="s">
        <v>71</v>
      </c>
      <c r="BH328" s="1" t="s">
        <v>71</v>
      </c>
    </row>
    <row r="329" customFormat="false" ht="15" hidden="false" customHeight="false" outlineLevel="0" collapsed="false">
      <c r="A329" s="1" t="s">
        <v>1251</v>
      </c>
      <c r="B329" s="1" t="s">
        <v>1252</v>
      </c>
      <c r="C329" s="1" t="s">
        <v>220</v>
      </c>
      <c r="D329" s="1" t="s">
        <v>540</v>
      </c>
      <c r="E329" s="1" t="s">
        <v>82</v>
      </c>
      <c r="F329" s="1" t="s">
        <v>391</v>
      </c>
      <c r="G329" s="1" t="s">
        <v>213</v>
      </c>
      <c r="H329" s="1" t="s">
        <v>477</v>
      </c>
      <c r="K329" s="1" t="s">
        <v>478</v>
      </c>
      <c r="L329" s="1" t="s">
        <v>479</v>
      </c>
      <c r="M329" s="1" t="s">
        <v>59</v>
      </c>
      <c r="N329" s="1" t="s">
        <v>1253</v>
      </c>
      <c r="O329" s="1" t="s">
        <v>400</v>
      </c>
      <c r="P329" s="1"/>
      <c r="Q329" s="1" t="s">
        <v>70</v>
      </c>
      <c r="U329" s="1" t="s">
        <v>1251</v>
      </c>
      <c r="Z329" s="1" t="s">
        <v>71</v>
      </c>
      <c r="AE329" s="1" t="s">
        <v>1242</v>
      </c>
      <c r="AH329" s="1" t="s">
        <v>73</v>
      </c>
      <c r="AK329" s="1" t="s">
        <v>71</v>
      </c>
      <c r="AM329" s="1" t="s">
        <v>71</v>
      </c>
      <c r="AN329" s="1" t="s">
        <v>71</v>
      </c>
      <c r="AS329" s="1" t="s">
        <v>71</v>
      </c>
      <c r="BH329" s="1" t="s">
        <v>71</v>
      </c>
    </row>
    <row r="330" customFormat="false" ht="15" hidden="false" customHeight="false" outlineLevel="0" collapsed="false">
      <c r="A330" s="1" t="s">
        <v>1254</v>
      </c>
      <c r="B330" s="1" t="s">
        <v>1255</v>
      </c>
      <c r="C330" s="1" t="s">
        <v>220</v>
      </c>
      <c r="D330" s="1" t="s">
        <v>540</v>
      </c>
      <c r="E330" s="1" t="s">
        <v>82</v>
      </c>
      <c r="F330" s="1" t="s">
        <v>391</v>
      </c>
      <c r="G330" s="1" t="s">
        <v>213</v>
      </c>
      <c r="H330" s="1" t="s">
        <v>477</v>
      </c>
      <c r="K330" s="1" t="s">
        <v>478</v>
      </c>
      <c r="L330" s="1" t="s">
        <v>479</v>
      </c>
      <c r="M330" s="1" t="s">
        <v>59</v>
      </c>
      <c r="N330" s="1" t="s">
        <v>1046</v>
      </c>
      <c r="O330" s="1" t="s">
        <v>447</v>
      </c>
      <c r="P330" s="1"/>
      <c r="Q330" s="1" t="s">
        <v>70</v>
      </c>
      <c r="U330" s="1" t="s">
        <v>1254</v>
      </c>
      <c r="Z330" s="1" t="s">
        <v>71</v>
      </c>
      <c r="AE330" s="1" t="s">
        <v>1242</v>
      </c>
      <c r="AH330" s="1" t="s">
        <v>73</v>
      </c>
      <c r="AK330" s="1" t="s">
        <v>71</v>
      </c>
      <c r="AM330" s="1" t="s">
        <v>71</v>
      </c>
      <c r="AN330" s="1" t="s">
        <v>71</v>
      </c>
      <c r="AS330" s="1" t="s">
        <v>71</v>
      </c>
      <c r="BH330" s="1" t="s">
        <v>71</v>
      </c>
    </row>
    <row r="331" customFormat="false" ht="15" hidden="false" customHeight="false" outlineLevel="0" collapsed="false">
      <c r="A331" s="1" t="s">
        <v>1256</v>
      </c>
      <c r="B331" s="1" t="s">
        <v>1257</v>
      </c>
      <c r="C331" s="1" t="s">
        <v>220</v>
      </c>
      <c r="D331" s="1" t="s">
        <v>540</v>
      </c>
      <c r="E331" s="1" t="s">
        <v>82</v>
      </c>
      <c r="F331" s="1" t="s">
        <v>391</v>
      </c>
      <c r="G331" s="1" t="s">
        <v>213</v>
      </c>
      <c r="H331" s="1" t="s">
        <v>477</v>
      </c>
      <c r="K331" s="1" t="s">
        <v>478</v>
      </c>
      <c r="L331" s="1" t="s">
        <v>479</v>
      </c>
      <c r="M331" s="1" t="s">
        <v>59</v>
      </c>
      <c r="N331" s="1" t="s">
        <v>880</v>
      </c>
      <c r="O331" s="1" t="s">
        <v>881</v>
      </c>
      <c r="P331" s="1"/>
      <c r="Q331" s="1" t="s">
        <v>70</v>
      </c>
      <c r="U331" s="1" t="s">
        <v>1256</v>
      </c>
      <c r="Z331" s="1" t="s">
        <v>71</v>
      </c>
      <c r="AE331" s="1" t="s">
        <v>1242</v>
      </c>
      <c r="AH331" s="1" t="s">
        <v>73</v>
      </c>
      <c r="AK331" s="1" t="s">
        <v>71</v>
      </c>
      <c r="AM331" s="1" t="s">
        <v>71</v>
      </c>
      <c r="AN331" s="1" t="s">
        <v>71</v>
      </c>
      <c r="AS331" s="1" t="s">
        <v>71</v>
      </c>
      <c r="BH331" s="1" t="s">
        <v>71</v>
      </c>
    </row>
    <row r="332" customFormat="false" ht="15" hidden="false" customHeight="false" outlineLevel="0" collapsed="false">
      <c r="A332" s="1" t="s">
        <v>1258</v>
      </c>
      <c r="B332" s="1" t="s">
        <v>1259</v>
      </c>
      <c r="C332" s="1" t="s">
        <v>220</v>
      </c>
      <c r="D332" s="1" t="s">
        <v>540</v>
      </c>
      <c r="E332" s="1" t="s">
        <v>82</v>
      </c>
      <c r="F332" s="1" t="s">
        <v>391</v>
      </c>
      <c r="G332" s="1" t="s">
        <v>213</v>
      </c>
      <c r="H332" s="1" t="s">
        <v>477</v>
      </c>
      <c r="K332" s="1" t="s">
        <v>478</v>
      </c>
      <c r="L332" s="1" t="s">
        <v>479</v>
      </c>
      <c r="M332" s="1" t="s">
        <v>59</v>
      </c>
      <c r="N332" s="1" t="s">
        <v>894</v>
      </c>
      <c r="O332" s="1" t="s">
        <v>400</v>
      </c>
      <c r="P332" s="1"/>
      <c r="Q332" s="1" t="s">
        <v>70</v>
      </c>
      <c r="U332" s="1" t="s">
        <v>1258</v>
      </c>
      <c r="Z332" s="1" t="s">
        <v>71</v>
      </c>
      <c r="AE332" s="1" t="s">
        <v>1242</v>
      </c>
      <c r="AH332" s="1" t="s">
        <v>73</v>
      </c>
      <c r="AK332" s="1" t="s">
        <v>71</v>
      </c>
      <c r="AM332" s="1" t="s">
        <v>71</v>
      </c>
      <c r="AN332" s="1" t="s">
        <v>71</v>
      </c>
      <c r="AS332" s="1" t="s">
        <v>71</v>
      </c>
      <c r="BH332" s="1" t="s">
        <v>71</v>
      </c>
    </row>
    <row r="333" customFormat="false" ht="15" hidden="false" customHeight="false" outlineLevel="0" collapsed="false">
      <c r="A333" s="1" t="s">
        <v>1260</v>
      </c>
      <c r="B333" s="1" t="s">
        <v>1261</v>
      </c>
      <c r="C333" s="1" t="s">
        <v>220</v>
      </c>
      <c r="D333" s="1" t="s">
        <v>540</v>
      </c>
      <c r="E333" s="1" t="s">
        <v>82</v>
      </c>
      <c r="F333" s="1" t="s">
        <v>391</v>
      </c>
      <c r="G333" s="1" t="s">
        <v>213</v>
      </c>
      <c r="H333" s="1" t="s">
        <v>477</v>
      </c>
      <c r="K333" s="1" t="s">
        <v>478</v>
      </c>
      <c r="L333" s="1" t="s">
        <v>479</v>
      </c>
      <c r="M333" s="1" t="s">
        <v>59</v>
      </c>
      <c r="N333" s="1" t="s">
        <v>740</v>
      </c>
      <c r="O333" s="1" t="s">
        <v>741</v>
      </c>
      <c r="P333" s="1"/>
      <c r="Q333" s="1" t="s">
        <v>70</v>
      </c>
      <c r="U333" s="1" t="s">
        <v>1260</v>
      </c>
      <c r="Z333" s="1" t="s">
        <v>71</v>
      </c>
      <c r="AE333" s="1" t="s">
        <v>1242</v>
      </c>
      <c r="AH333" s="1" t="s">
        <v>73</v>
      </c>
      <c r="AK333" s="1" t="s">
        <v>71</v>
      </c>
      <c r="AM333" s="1" t="s">
        <v>71</v>
      </c>
      <c r="AN333" s="1" t="s">
        <v>71</v>
      </c>
      <c r="AS333" s="1" t="s">
        <v>71</v>
      </c>
      <c r="AX333" s="1" t="s">
        <v>71</v>
      </c>
      <c r="BH333" s="1" t="s">
        <v>71</v>
      </c>
    </row>
    <row r="334" customFormat="false" ht="15" hidden="false" customHeight="false" outlineLevel="0" collapsed="false">
      <c r="A334" s="1" t="s">
        <v>1262</v>
      </c>
      <c r="B334" s="1" t="s">
        <v>1263</v>
      </c>
      <c r="C334" s="1" t="s">
        <v>220</v>
      </c>
      <c r="D334" s="1" t="s">
        <v>540</v>
      </c>
      <c r="E334" s="1" t="s">
        <v>82</v>
      </c>
      <c r="F334" s="1" t="s">
        <v>391</v>
      </c>
      <c r="G334" s="1" t="s">
        <v>213</v>
      </c>
      <c r="H334" s="1" t="s">
        <v>477</v>
      </c>
      <c r="K334" s="1" t="s">
        <v>478</v>
      </c>
      <c r="L334" s="1" t="s">
        <v>479</v>
      </c>
      <c r="M334" s="1" t="s">
        <v>59</v>
      </c>
      <c r="N334" s="1" t="s">
        <v>740</v>
      </c>
      <c r="O334" s="1" t="s">
        <v>741</v>
      </c>
      <c r="P334" s="1"/>
      <c r="Q334" s="1" t="s">
        <v>70</v>
      </c>
      <c r="U334" s="1" t="s">
        <v>1262</v>
      </c>
      <c r="Z334" s="1" t="s">
        <v>71</v>
      </c>
      <c r="AE334" s="1" t="s">
        <v>1242</v>
      </c>
      <c r="AH334" s="1" t="s">
        <v>73</v>
      </c>
      <c r="AK334" s="1" t="s">
        <v>71</v>
      </c>
      <c r="AM334" s="1" t="s">
        <v>71</v>
      </c>
      <c r="AN334" s="1" t="s">
        <v>71</v>
      </c>
      <c r="AS334" s="1" t="s">
        <v>71</v>
      </c>
      <c r="BH334" s="1" t="s">
        <v>71</v>
      </c>
    </row>
    <row r="335" customFormat="false" ht="15" hidden="false" customHeight="false" outlineLevel="0" collapsed="false">
      <c r="A335" s="1" t="s">
        <v>1264</v>
      </c>
      <c r="B335" s="1" t="s">
        <v>1265</v>
      </c>
      <c r="C335" s="1" t="s">
        <v>220</v>
      </c>
      <c r="D335" s="1" t="s">
        <v>540</v>
      </c>
      <c r="E335" s="1" t="s">
        <v>82</v>
      </c>
      <c r="F335" s="1" t="s">
        <v>391</v>
      </c>
      <c r="G335" s="1" t="s">
        <v>213</v>
      </c>
      <c r="H335" s="1" t="s">
        <v>477</v>
      </c>
      <c r="K335" s="1" t="s">
        <v>478</v>
      </c>
      <c r="L335" s="1" t="s">
        <v>479</v>
      </c>
      <c r="M335" s="1" t="s">
        <v>59</v>
      </c>
      <c r="N335" s="1" t="s">
        <v>1042</v>
      </c>
      <c r="O335" s="1" t="s">
        <v>1043</v>
      </c>
      <c r="P335" s="1"/>
      <c r="Q335" s="1" t="s">
        <v>70</v>
      </c>
      <c r="U335" s="1" t="s">
        <v>1264</v>
      </c>
      <c r="Z335" s="1" t="s">
        <v>71</v>
      </c>
      <c r="AE335" s="1" t="s">
        <v>1242</v>
      </c>
      <c r="AH335" s="1" t="s">
        <v>73</v>
      </c>
      <c r="AK335" s="1" t="s">
        <v>71</v>
      </c>
      <c r="AM335" s="1" t="s">
        <v>71</v>
      </c>
      <c r="AN335" s="1" t="s">
        <v>71</v>
      </c>
      <c r="AS335" s="1" t="s">
        <v>71</v>
      </c>
      <c r="AX335" s="1" t="s">
        <v>71</v>
      </c>
      <c r="BH335" s="1" t="s">
        <v>71</v>
      </c>
    </row>
    <row r="336" customFormat="false" ht="15" hidden="false" customHeight="false" outlineLevel="0" collapsed="false">
      <c r="A336" s="1" t="s">
        <v>1266</v>
      </c>
      <c r="B336" s="1" t="s">
        <v>1267</v>
      </c>
      <c r="C336" s="1" t="s">
        <v>220</v>
      </c>
      <c r="D336" s="1" t="s">
        <v>540</v>
      </c>
      <c r="E336" s="1" t="s">
        <v>82</v>
      </c>
      <c r="F336" s="1" t="s">
        <v>391</v>
      </c>
      <c r="G336" s="1" t="s">
        <v>213</v>
      </c>
      <c r="H336" s="1" t="s">
        <v>477</v>
      </c>
      <c r="K336" s="1" t="s">
        <v>478</v>
      </c>
      <c r="L336" s="1" t="s">
        <v>479</v>
      </c>
      <c r="M336" s="1" t="s">
        <v>59</v>
      </c>
      <c r="N336" s="1" t="s">
        <v>1046</v>
      </c>
      <c r="O336" s="1" t="s">
        <v>447</v>
      </c>
      <c r="P336" s="1"/>
      <c r="Q336" s="1" t="s">
        <v>70</v>
      </c>
      <c r="U336" s="1" t="s">
        <v>1266</v>
      </c>
      <c r="Z336" s="1" t="s">
        <v>71</v>
      </c>
      <c r="AE336" s="1" t="s">
        <v>1242</v>
      </c>
      <c r="AH336" s="1" t="s">
        <v>73</v>
      </c>
      <c r="AK336" s="1" t="s">
        <v>71</v>
      </c>
      <c r="AM336" s="1" t="s">
        <v>71</v>
      </c>
      <c r="AN336" s="1" t="s">
        <v>71</v>
      </c>
      <c r="AS336" s="1" t="s">
        <v>71</v>
      </c>
      <c r="AX336" s="1" t="s">
        <v>71</v>
      </c>
      <c r="BH336" s="1" t="s">
        <v>71</v>
      </c>
    </row>
    <row r="337" customFormat="false" ht="15" hidden="false" customHeight="false" outlineLevel="0" collapsed="false">
      <c r="A337" s="1" t="s">
        <v>1268</v>
      </c>
      <c r="B337" s="1" t="s">
        <v>1269</v>
      </c>
      <c r="C337" s="1" t="s">
        <v>220</v>
      </c>
      <c r="D337" s="1" t="s">
        <v>540</v>
      </c>
      <c r="E337" s="1" t="s">
        <v>82</v>
      </c>
      <c r="F337" s="1" t="s">
        <v>391</v>
      </c>
      <c r="G337" s="1" t="s">
        <v>213</v>
      </c>
      <c r="H337" s="1" t="s">
        <v>477</v>
      </c>
      <c r="K337" s="1" t="s">
        <v>478</v>
      </c>
      <c r="L337" s="1" t="s">
        <v>479</v>
      </c>
      <c r="M337" s="1" t="s">
        <v>59</v>
      </c>
      <c r="N337" s="1" t="s">
        <v>1270</v>
      </c>
      <c r="O337" s="1" t="s">
        <v>1271</v>
      </c>
      <c r="P337" s="1"/>
      <c r="Q337" s="1" t="s">
        <v>70</v>
      </c>
      <c r="U337" s="1" t="s">
        <v>1268</v>
      </c>
      <c r="Z337" s="1" t="s">
        <v>71</v>
      </c>
      <c r="AE337" s="1" t="s">
        <v>1242</v>
      </c>
      <c r="AH337" s="1" t="s">
        <v>73</v>
      </c>
      <c r="AK337" s="1" t="s">
        <v>71</v>
      </c>
      <c r="AM337" s="1" t="s">
        <v>71</v>
      </c>
      <c r="AN337" s="1" t="s">
        <v>71</v>
      </c>
      <c r="AS337" s="1" t="s">
        <v>71</v>
      </c>
      <c r="AX337" s="1" t="s">
        <v>71</v>
      </c>
      <c r="BH337" s="1" t="s">
        <v>71</v>
      </c>
    </row>
    <row r="338" customFormat="false" ht="15" hidden="false" customHeight="false" outlineLevel="0" collapsed="false">
      <c r="A338" s="1" t="s">
        <v>1272</v>
      </c>
      <c r="B338" s="1" t="s">
        <v>1273</v>
      </c>
      <c r="C338" s="1" t="s">
        <v>528</v>
      </c>
      <c r="D338" s="1" t="s">
        <v>1274</v>
      </c>
      <c r="E338" s="1" t="s">
        <v>82</v>
      </c>
      <c r="F338" s="1" t="s">
        <v>391</v>
      </c>
      <c r="G338" s="1" t="s">
        <v>443</v>
      </c>
      <c r="H338" s="1" t="s">
        <v>444</v>
      </c>
      <c r="K338" s="1" t="s">
        <v>618</v>
      </c>
      <c r="L338" s="1" t="s">
        <v>619</v>
      </c>
      <c r="M338" s="1" t="s">
        <v>496</v>
      </c>
      <c r="N338" s="1" t="s">
        <v>842</v>
      </c>
      <c r="O338" s="1" t="s">
        <v>400</v>
      </c>
      <c r="P338" s="1"/>
      <c r="Q338" s="1" t="s">
        <v>70</v>
      </c>
      <c r="U338" s="1" t="s">
        <v>1272</v>
      </c>
      <c r="Z338" s="1" t="s">
        <v>71</v>
      </c>
      <c r="AE338" s="1" t="s">
        <v>1242</v>
      </c>
      <c r="AH338" s="1" t="s">
        <v>73</v>
      </c>
      <c r="AK338" s="1" t="s">
        <v>71</v>
      </c>
      <c r="AM338" s="1" t="s">
        <v>71</v>
      </c>
      <c r="AN338" s="1" t="s">
        <v>71</v>
      </c>
      <c r="AQ338" s="1" t="s">
        <v>496</v>
      </c>
      <c r="AR338" s="1" t="s">
        <v>1275</v>
      </c>
      <c r="AS338" s="1" t="s">
        <v>71</v>
      </c>
      <c r="AX338" s="1" t="s">
        <v>71</v>
      </c>
      <c r="BH338" s="1" t="s">
        <v>71</v>
      </c>
    </row>
    <row r="339" customFormat="false" ht="15" hidden="false" customHeight="false" outlineLevel="0" collapsed="false">
      <c r="A339" s="1" t="s">
        <v>1276</v>
      </c>
      <c r="B339" s="1" t="s">
        <v>1277</v>
      </c>
      <c r="C339" s="1" t="s">
        <v>220</v>
      </c>
      <c r="D339" s="1" t="s">
        <v>540</v>
      </c>
      <c r="E339" s="1" t="s">
        <v>82</v>
      </c>
      <c r="F339" s="1" t="s">
        <v>391</v>
      </c>
      <c r="G339" s="1" t="s">
        <v>213</v>
      </c>
      <c r="H339" s="1" t="s">
        <v>477</v>
      </c>
      <c r="K339" s="1" t="s">
        <v>478</v>
      </c>
      <c r="L339" s="1" t="s">
        <v>479</v>
      </c>
      <c r="M339" s="1" t="s">
        <v>59</v>
      </c>
      <c r="N339" s="1" t="s">
        <v>518</v>
      </c>
      <c r="O339" s="1" t="s">
        <v>519</v>
      </c>
      <c r="P339" s="1"/>
      <c r="Q339" s="1" t="s">
        <v>70</v>
      </c>
      <c r="U339" s="1" t="s">
        <v>1276</v>
      </c>
      <c r="Z339" s="1" t="s">
        <v>71</v>
      </c>
      <c r="AE339" s="1" t="s">
        <v>1242</v>
      </c>
      <c r="AH339" s="1" t="s">
        <v>73</v>
      </c>
      <c r="AK339" s="1" t="s">
        <v>71</v>
      </c>
      <c r="AM339" s="1" t="s">
        <v>71</v>
      </c>
      <c r="AN339" s="1" t="s">
        <v>71</v>
      </c>
      <c r="AQ339" s="1" t="s">
        <v>496</v>
      </c>
      <c r="AR339" s="1" t="s">
        <v>1275</v>
      </c>
      <c r="AS339" s="1" t="s">
        <v>71</v>
      </c>
      <c r="BH339" s="1" t="s">
        <v>71</v>
      </c>
    </row>
    <row r="340" customFormat="false" ht="15" hidden="false" customHeight="false" outlineLevel="0" collapsed="false">
      <c r="A340" s="1" t="s">
        <v>1278</v>
      </c>
      <c r="B340" s="1" t="s">
        <v>1279</v>
      </c>
      <c r="C340" s="1" t="s">
        <v>220</v>
      </c>
      <c r="D340" s="1" t="s">
        <v>540</v>
      </c>
      <c r="E340" s="1" t="s">
        <v>82</v>
      </c>
      <c r="F340" s="1" t="s">
        <v>391</v>
      </c>
      <c r="G340" s="1" t="s">
        <v>213</v>
      </c>
      <c r="H340" s="1" t="s">
        <v>477</v>
      </c>
      <c r="K340" s="1" t="s">
        <v>478</v>
      </c>
      <c r="L340" s="1" t="s">
        <v>479</v>
      </c>
      <c r="M340" s="1" t="s">
        <v>59</v>
      </c>
      <c r="N340" s="1" t="s">
        <v>740</v>
      </c>
      <c r="O340" s="1" t="s">
        <v>741</v>
      </c>
      <c r="P340" s="1"/>
      <c r="Q340" s="1" t="s">
        <v>70</v>
      </c>
      <c r="U340" s="1" t="s">
        <v>1278</v>
      </c>
      <c r="Z340" s="1" t="s">
        <v>71</v>
      </c>
      <c r="AE340" s="1" t="s">
        <v>1242</v>
      </c>
      <c r="AH340" s="1" t="s">
        <v>73</v>
      </c>
      <c r="AK340" s="1" t="s">
        <v>71</v>
      </c>
      <c r="AM340" s="1" t="s">
        <v>71</v>
      </c>
      <c r="AN340" s="1" t="s">
        <v>71</v>
      </c>
      <c r="AQ340" s="1" t="s">
        <v>496</v>
      </c>
      <c r="AR340" s="1" t="s">
        <v>1275</v>
      </c>
      <c r="AS340" s="1" t="s">
        <v>71</v>
      </c>
      <c r="BH340" s="1" t="s">
        <v>71</v>
      </c>
    </row>
    <row r="341" customFormat="false" ht="15" hidden="false" customHeight="false" outlineLevel="0" collapsed="false">
      <c r="A341" s="1" t="s">
        <v>1280</v>
      </c>
      <c r="B341" s="1" t="s">
        <v>1281</v>
      </c>
      <c r="C341" s="1" t="s">
        <v>220</v>
      </c>
      <c r="D341" s="1" t="s">
        <v>540</v>
      </c>
      <c r="E341" s="1" t="s">
        <v>82</v>
      </c>
      <c r="F341" s="1" t="s">
        <v>391</v>
      </c>
      <c r="G341" s="1" t="s">
        <v>213</v>
      </c>
      <c r="H341" s="1" t="s">
        <v>477</v>
      </c>
      <c r="K341" s="1" t="s">
        <v>478</v>
      </c>
      <c r="L341" s="1" t="s">
        <v>479</v>
      </c>
      <c r="M341" s="1" t="s">
        <v>59</v>
      </c>
      <c r="N341" s="1" t="s">
        <v>1282</v>
      </c>
      <c r="O341" s="1" t="s">
        <v>447</v>
      </c>
      <c r="P341" s="1"/>
      <c r="Q341" s="1" t="s">
        <v>70</v>
      </c>
      <c r="U341" s="1" t="s">
        <v>1280</v>
      </c>
      <c r="Z341" s="1" t="s">
        <v>71</v>
      </c>
      <c r="AE341" s="1" t="s">
        <v>1242</v>
      </c>
      <c r="AH341" s="1" t="s">
        <v>73</v>
      </c>
      <c r="AK341" s="1" t="s">
        <v>71</v>
      </c>
      <c r="AM341" s="1" t="s">
        <v>71</v>
      </c>
      <c r="AN341" s="1" t="s">
        <v>71</v>
      </c>
      <c r="AQ341" s="1" t="s">
        <v>496</v>
      </c>
      <c r="AR341" s="1" t="s">
        <v>1275</v>
      </c>
      <c r="AS341" s="1" t="s">
        <v>71</v>
      </c>
      <c r="AX341" s="1" t="s">
        <v>71</v>
      </c>
      <c r="BH341" s="1" t="s">
        <v>71</v>
      </c>
    </row>
    <row r="342" customFormat="false" ht="15" hidden="false" customHeight="false" outlineLevel="0" collapsed="false">
      <c r="A342" s="1" t="s">
        <v>1283</v>
      </c>
      <c r="B342" s="1" t="s">
        <v>1284</v>
      </c>
      <c r="C342" s="1" t="s">
        <v>220</v>
      </c>
      <c r="D342" s="1" t="s">
        <v>540</v>
      </c>
      <c r="E342" s="1" t="s">
        <v>82</v>
      </c>
      <c r="F342" s="1" t="s">
        <v>391</v>
      </c>
      <c r="G342" s="1" t="s">
        <v>213</v>
      </c>
      <c r="H342" s="1" t="s">
        <v>477</v>
      </c>
      <c r="K342" s="1" t="s">
        <v>478</v>
      </c>
      <c r="L342" s="1" t="s">
        <v>479</v>
      </c>
      <c r="M342" s="1" t="s">
        <v>59</v>
      </c>
      <c r="N342" s="1" t="s">
        <v>518</v>
      </c>
      <c r="O342" s="1" t="s">
        <v>519</v>
      </c>
      <c r="P342" s="1"/>
      <c r="Q342" s="1" t="s">
        <v>70</v>
      </c>
      <c r="U342" s="1" t="s">
        <v>1283</v>
      </c>
      <c r="Z342" s="1" t="s">
        <v>71</v>
      </c>
      <c r="AE342" s="1" t="s">
        <v>1242</v>
      </c>
      <c r="AH342" s="1" t="s">
        <v>73</v>
      </c>
      <c r="AK342" s="1" t="s">
        <v>71</v>
      </c>
      <c r="AM342" s="1" t="s">
        <v>71</v>
      </c>
      <c r="AN342" s="1" t="s">
        <v>71</v>
      </c>
      <c r="AQ342" s="1" t="s">
        <v>496</v>
      </c>
      <c r="AR342" s="1" t="s">
        <v>1275</v>
      </c>
      <c r="AS342" s="1" t="s">
        <v>71</v>
      </c>
      <c r="BH342" s="1" t="s">
        <v>71</v>
      </c>
    </row>
    <row r="343" customFormat="false" ht="15" hidden="false" customHeight="false" outlineLevel="0" collapsed="false">
      <c r="A343" s="1" t="s">
        <v>1285</v>
      </c>
      <c r="B343" s="1" t="s">
        <v>1286</v>
      </c>
      <c r="C343" s="1" t="s">
        <v>220</v>
      </c>
      <c r="D343" s="1" t="s">
        <v>540</v>
      </c>
      <c r="E343" s="1" t="s">
        <v>82</v>
      </c>
      <c r="F343" s="1" t="s">
        <v>391</v>
      </c>
      <c r="G343" s="1" t="s">
        <v>213</v>
      </c>
      <c r="H343" s="1" t="s">
        <v>477</v>
      </c>
      <c r="K343" s="1" t="s">
        <v>478</v>
      </c>
      <c r="L343" s="1" t="s">
        <v>479</v>
      </c>
      <c r="M343" s="1" t="s">
        <v>59</v>
      </c>
      <c r="N343" s="1" t="s">
        <v>1287</v>
      </c>
      <c r="O343" s="1" t="s">
        <v>673</v>
      </c>
      <c r="P343" s="1"/>
      <c r="Q343" s="1" t="s">
        <v>70</v>
      </c>
      <c r="U343" s="1" t="s">
        <v>1285</v>
      </c>
      <c r="Z343" s="1" t="s">
        <v>71</v>
      </c>
      <c r="AE343" s="1" t="s">
        <v>1242</v>
      </c>
      <c r="AH343" s="1" t="s">
        <v>73</v>
      </c>
      <c r="AK343" s="1" t="s">
        <v>71</v>
      </c>
      <c r="AM343" s="1" t="s">
        <v>71</v>
      </c>
      <c r="AN343" s="1" t="s">
        <v>71</v>
      </c>
      <c r="AQ343" s="1" t="s">
        <v>496</v>
      </c>
      <c r="AR343" s="1" t="s">
        <v>1275</v>
      </c>
      <c r="AS343" s="1" t="s">
        <v>71</v>
      </c>
      <c r="BH343" s="1" t="s">
        <v>71</v>
      </c>
    </row>
    <row r="344" customFormat="false" ht="15" hidden="false" customHeight="false" outlineLevel="0" collapsed="false">
      <c r="A344" s="1" t="s">
        <v>1288</v>
      </c>
      <c r="B344" s="1" t="s">
        <v>1289</v>
      </c>
      <c r="C344" s="1" t="s">
        <v>220</v>
      </c>
      <c r="D344" s="1" t="s">
        <v>540</v>
      </c>
      <c r="E344" s="1" t="s">
        <v>82</v>
      </c>
      <c r="F344" s="1" t="s">
        <v>391</v>
      </c>
      <c r="G344" s="1" t="s">
        <v>213</v>
      </c>
      <c r="H344" s="1" t="s">
        <v>477</v>
      </c>
      <c r="K344" s="1" t="s">
        <v>478</v>
      </c>
      <c r="L344" s="1" t="s">
        <v>479</v>
      </c>
      <c r="M344" s="1" t="s">
        <v>59</v>
      </c>
      <c r="N344" s="1" t="s">
        <v>536</v>
      </c>
      <c r="O344" s="1" t="s">
        <v>537</v>
      </c>
      <c r="P344" s="1"/>
      <c r="Q344" s="1" t="s">
        <v>70</v>
      </c>
      <c r="U344" s="1" t="s">
        <v>1288</v>
      </c>
      <c r="Z344" s="1" t="s">
        <v>71</v>
      </c>
      <c r="AE344" s="1" t="s">
        <v>1242</v>
      </c>
      <c r="AH344" s="1" t="s">
        <v>73</v>
      </c>
      <c r="AK344" s="1" t="s">
        <v>71</v>
      </c>
      <c r="AM344" s="1" t="s">
        <v>71</v>
      </c>
      <c r="AN344" s="1" t="s">
        <v>71</v>
      </c>
      <c r="AQ344" s="1" t="s">
        <v>496</v>
      </c>
      <c r="AR344" s="1" t="s">
        <v>1275</v>
      </c>
      <c r="AS344" s="1" t="s">
        <v>71</v>
      </c>
      <c r="AX344" s="1" t="s">
        <v>71</v>
      </c>
      <c r="BH344" s="1" t="s">
        <v>71</v>
      </c>
    </row>
    <row r="345" customFormat="false" ht="15" hidden="false" customHeight="false" outlineLevel="0" collapsed="false">
      <c r="A345" s="1" t="s">
        <v>1290</v>
      </c>
      <c r="B345" s="1" t="s">
        <v>1291</v>
      </c>
      <c r="C345" s="1" t="s">
        <v>220</v>
      </c>
      <c r="D345" s="1" t="s">
        <v>540</v>
      </c>
      <c r="E345" s="1" t="s">
        <v>82</v>
      </c>
      <c r="F345" s="1" t="s">
        <v>391</v>
      </c>
      <c r="G345" s="1" t="s">
        <v>213</v>
      </c>
      <c r="H345" s="1" t="s">
        <v>477</v>
      </c>
      <c r="K345" s="1" t="s">
        <v>478</v>
      </c>
      <c r="L345" s="1" t="s">
        <v>479</v>
      </c>
      <c r="M345" s="1" t="s">
        <v>59</v>
      </c>
      <c r="N345" s="1" t="s">
        <v>1292</v>
      </c>
      <c r="O345" s="1" t="s">
        <v>1293</v>
      </c>
      <c r="P345" s="1"/>
      <c r="Q345" s="1" t="s">
        <v>70</v>
      </c>
      <c r="U345" s="1" t="s">
        <v>1290</v>
      </c>
      <c r="Z345" s="1" t="s">
        <v>71</v>
      </c>
      <c r="AE345" s="1" t="s">
        <v>1242</v>
      </c>
      <c r="AH345" s="1" t="s">
        <v>73</v>
      </c>
      <c r="AK345" s="1" t="s">
        <v>71</v>
      </c>
      <c r="AM345" s="1" t="s">
        <v>71</v>
      </c>
      <c r="AN345" s="1" t="s">
        <v>71</v>
      </c>
      <c r="AQ345" s="1" t="s">
        <v>496</v>
      </c>
      <c r="AR345" s="1" t="s">
        <v>1275</v>
      </c>
      <c r="AS345" s="1" t="s">
        <v>71</v>
      </c>
      <c r="BH345" s="1" t="s">
        <v>71</v>
      </c>
    </row>
    <row r="346" customFormat="false" ht="15" hidden="false" customHeight="false" outlineLevel="0" collapsed="false">
      <c r="A346" s="1" t="s">
        <v>1294</v>
      </c>
      <c r="B346" s="1" t="s">
        <v>1295</v>
      </c>
      <c r="C346" s="1" t="s">
        <v>220</v>
      </c>
      <c r="D346" s="1" t="s">
        <v>540</v>
      </c>
      <c r="E346" s="1" t="s">
        <v>82</v>
      </c>
      <c r="F346" s="1" t="s">
        <v>391</v>
      </c>
      <c r="G346" s="1" t="s">
        <v>213</v>
      </c>
      <c r="H346" s="1" t="s">
        <v>477</v>
      </c>
      <c r="K346" s="1" t="s">
        <v>478</v>
      </c>
      <c r="L346" s="1" t="s">
        <v>479</v>
      </c>
      <c r="M346" s="1" t="s">
        <v>59</v>
      </c>
      <c r="N346" s="1" t="s">
        <v>1296</v>
      </c>
      <c r="O346" s="1" t="s">
        <v>1297</v>
      </c>
      <c r="P346" s="1"/>
      <c r="Q346" s="1" t="s">
        <v>70</v>
      </c>
      <c r="U346" s="1" t="s">
        <v>1294</v>
      </c>
      <c r="Z346" s="1" t="s">
        <v>71</v>
      </c>
      <c r="AE346" s="1" t="s">
        <v>1242</v>
      </c>
      <c r="AH346" s="1" t="s">
        <v>73</v>
      </c>
      <c r="AK346" s="1" t="s">
        <v>71</v>
      </c>
      <c r="AM346" s="1" t="s">
        <v>71</v>
      </c>
      <c r="AN346" s="1" t="s">
        <v>71</v>
      </c>
      <c r="AQ346" s="1" t="s">
        <v>496</v>
      </c>
      <c r="AR346" s="1" t="s">
        <v>1275</v>
      </c>
      <c r="AS346" s="1" t="s">
        <v>71</v>
      </c>
      <c r="AX346" s="1" t="s">
        <v>71</v>
      </c>
      <c r="BH346" s="1" t="s">
        <v>71</v>
      </c>
    </row>
    <row r="347" customFormat="false" ht="15" hidden="false" customHeight="false" outlineLevel="0" collapsed="false">
      <c r="A347" s="1" t="s">
        <v>1298</v>
      </c>
      <c r="B347" s="1" t="s">
        <v>1299</v>
      </c>
      <c r="C347" s="1" t="s">
        <v>220</v>
      </c>
      <c r="D347" s="1" t="s">
        <v>540</v>
      </c>
      <c r="E347" s="1" t="s">
        <v>82</v>
      </c>
      <c r="F347" s="1" t="s">
        <v>391</v>
      </c>
      <c r="G347" s="1" t="s">
        <v>213</v>
      </c>
      <c r="H347" s="1" t="s">
        <v>477</v>
      </c>
      <c r="K347" s="1" t="s">
        <v>478</v>
      </c>
      <c r="L347" s="1" t="s">
        <v>479</v>
      </c>
      <c r="M347" s="1" t="s">
        <v>59</v>
      </c>
      <c r="N347" s="1" t="s">
        <v>1287</v>
      </c>
      <c r="O347" s="1" t="s">
        <v>673</v>
      </c>
      <c r="P347" s="1"/>
      <c r="Q347" s="1" t="s">
        <v>70</v>
      </c>
      <c r="U347" s="1" t="s">
        <v>1298</v>
      </c>
      <c r="Z347" s="1" t="s">
        <v>71</v>
      </c>
      <c r="AE347" s="1" t="s">
        <v>1242</v>
      </c>
      <c r="AH347" s="1" t="s">
        <v>73</v>
      </c>
      <c r="AK347" s="1" t="s">
        <v>71</v>
      </c>
      <c r="AM347" s="1" t="s">
        <v>71</v>
      </c>
      <c r="AN347" s="1" t="s">
        <v>71</v>
      </c>
      <c r="AQ347" s="1" t="s">
        <v>496</v>
      </c>
      <c r="AR347" s="1" t="s">
        <v>1275</v>
      </c>
      <c r="AS347" s="1" t="s">
        <v>71</v>
      </c>
      <c r="BH347" s="1" t="s">
        <v>71</v>
      </c>
    </row>
    <row r="348" customFormat="false" ht="15" hidden="false" customHeight="false" outlineLevel="0" collapsed="false">
      <c r="A348" s="1" t="s">
        <v>1300</v>
      </c>
      <c r="B348" s="1" t="s">
        <v>1301</v>
      </c>
      <c r="C348" s="1" t="s">
        <v>220</v>
      </c>
      <c r="D348" s="1" t="s">
        <v>540</v>
      </c>
      <c r="E348" s="1" t="s">
        <v>82</v>
      </c>
      <c r="F348" s="1" t="s">
        <v>391</v>
      </c>
      <c r="G348" s="1" t="s">
        <v>213</v>
      </c>
      <c r="H348" s="1" t="s">
        <v>477</v>
      </c>
      <c r="K348" s="1" t="s">
        <v>478</v>
      </c>
      <c r="L348" s="1" t="s">
        <v>479</v>
      </c>
      <c r="M348" s="1" t="s">
        <v>59</v>
      </c>
      <c r="N348" s="1" t="s">
        <v>905</v>
      </c>
      <c r="O348" s="1" t="s">
        <v>906</v>
      </c>
      <c r="P348" s="1"/>
      <c r="Q348" s="1" t="s">
        <v>70</v>
      </c>
      <c r="U348" s="1" t="s">
        <v>1300</v>
      </c>
      <c r="Z348" s="1" t="s">
        <v>71</v>
      </c>
      <c r="AE348" s="1" t="s">
        <v>1242</v>
      </c>
      <c r="AH348" s="1" t="s">
        <v>73</v>
      </c>
      <c r="AK348" s="1" t="s">
        <v>71</v>
      </c>
      <c r="AM348" s="1" t="s">
        <v>71</v>
      </c>
      <c r="AN348" s="1" t="s">
        <v>71</v>
      </c>
      <c r="AQ348" s="1" t="s">
        <v>496</v>
      </c>
      <c r="AR348" s="1" t="s">
        <v>1275</v>
      </c>
      <c r="AS348" s="1" t="s">
        <v>71</v>
      </c>
      <c r="AX348" s="1" t="s">
        <v>71</v>
      </c>
      <c r="BH348" s="1" t="s">
        <v>71</v>
      </c>
    </row>
    <row r="349" customFormat="false" ht="15" hidden="false" customHeight="false" outlineLevel="0" collapsed="false">
      <c r="A349" s="1" t="s">
        <v>1302</v>
      </c>
      <c r="B349" s="1" t="s">
        <v>1303</v>
      </c>
      <c r="C349" s="1" t="s">
        <v>220</v>
      </c>
      <c r="D349" s="1" t="s">
        <v>540</v>
      </c>
      <c r="E349" s="1" t="s">
        <v>82</v>
      </c>
      <c r="F349" s="1" t="s">
        <v>391</v>
      </c>
      <c r="G349" s="1" t="s">
        <v>213</v>
      </c>
      <c r="H349" s="1" t="s">
        <v>477</v>
      </c>
      <c r="K349" s="1" t="s">
        <v>478</v>
      </c>
      <c r="L349" s="1" t="s">
        <v>479</v>
      </c>
      <c r="M349" s="1" t="s">
        <v>59</v>
      </c>
      <c r="N349" s="1" t="s">
        <v>518</v>
      </c>
      <c r="O349" s="1" t="s">
        <v>519</v>
      </c>
      <c r="P349" s="1"/>
      <c r="Q349" s="1" t="s">
        <v>70</v>
      </c>
      <c r="U349" s="1" t="s">
        <v>1302</v>
      </c>
      <c r="Z349" s="1" t="s">
        <v>71</v>
      </c>
      <c r="AE349" s="1" t="s">
        <v>1304</v>
      </c>
      <c r="AH349" s="1" t="s">
        <v>73</v>
      </c>
      <c r="AK349" s="1" t="s">
        <v>71</v>
      </c>
      <c r="AM349" s="1" t="s">
        <v>71</v>
      </c>
      <c r="AN349" s="1" t="s">
        <v>71</v>
      </c>
      <c r="AS349" s="1" t="s">
        <v>71</v>
      </c>
      <c r="AX349" s="1" t="s">
        <v>71</v>
      </c>
      <c r="BH349" s="1" t="s">
        <v>71</v>
      </c>
    </row>
    <row r="350" customFormat="false" ht="15" hidden="false" customHeight="false" outlineLevel="0" collapsed="false">
      <c r="A350" s="1" t="s">
        <v>1305</v>
      </c>
      <c r="B350" s="1" t="s">
        <v>1306</v>
      </c>
      <c r="C350" s="1" t="s">
        <v>152</v>
      </c>
      <c r="D350" s="1" t="s">
        <v>464</v>
      </c>
      <c r="E350" s="1" t="s">
        <v>82</v>
      </c>
      <c r="F350" s="1" t="s">
        <v>391</v>
      </c>
      <c r="G350" s="1" t="s">
        <v>213</v>
      </c>
      <c r="H350" s="1" t="s">
        <v>477</v>
      </c>
      <c r="K350" s="1" t="s">
        <v>478</v>
      </c>
      <c r="L350" s="1" t="s">
        <v>479</v>
      </c>
      <c r="M350" s="1" t="s">
        <v>59</v>
      </c>
      <c r="N350" s="1" t="s">
        <v>1307</v>
      </c>
      <c r="O350" s="1" t="s">
        <v>1308</v>
      </c>
      <c r="P350" s="1"/>
      <c r="Q350" s="1" t="s">
        <v>70</v>
      </c>
      <c r="U350" s="1" t="s">
        <v>1305</v>
      </c>
      <c r="Z350" s="1" t="s">
        <v>71</v>
      </c>
      <c r="AE350" s="1" t="s">
        <v>1309</v>
      </c>
      <c r="AH350" s="1" t="s">
        <v>73</v>
      </c>
      <c r="AK350" s="1" t="s">
        <v>71</v>
      </c>
      <c r="AM350" s="1" t="s">
        <v>71</v>
      </c>
      <c r="AN350" s="1" t="s">
        <v>71</v>
      </c>
      <c r="AS350" s="1" t="s">
        <v>71</v>
      </c>
      <c r="BH350" s="1" t="s">
        <v>71</v>
      </c>
    </row>
    <row r="351" customFormat="false" ht="15" hidden="false" customHeight="false" outlineLevel="0" collapsed="false">
      <c r="A351" s="1" t="s">
        <v>1310</v>
      </c>
      <c r="B351" s="1" t="s">
        <v>1311</v>
      </c>
      <c r="C351" s="1" t="s">
        <v>161</v>
      </c>
      <c r="D351" s="1" t="s">
        <v>162</v>
      </c>
      <c r="E351" s="1" t="s">
        <v>65</v>
      </c>
      <c r="F351" s="1" t="s">
        <v>119</v>
      </c>
      <c r="G351" s="1" t="s">
        <v>65</v>
      </c>
      <c r="H351" s="1" t="s">
        <v>64</v>
      </c>
      <c r="K351" s="1" t="s">
        <v>130</v>
      </c>
      <c r="L351" s="1" t="s">
        <v>1312</v>
      </c>
      <c r="M351" s="1" t="s">
        <v>104</v>
      </c>
      <c r="N351" s="1" t="s">
        <v>123</v>
      </c>
      <c r="O351" s="1" t="s">
        <v>124</v>
      </c>
      <c r="P351" s="1"/>
      <c r="Q351" s="1" t="s">
        <v>70</v>
      </c>
      <c r="U351" s="1" t="s">
        <v>1310</v>
      </c>
      <c r="Z351" s="1" t="s">
        <v>71</v>
      </c>
      <c r="AA351" s="1" t="s">
        <v>91</v>
      </c>
      <c r="AE351" s="1" t="s">
        <v>1313</v>
      </c>
      <c r="AH351" s="1" t="s">
        <v>73</v>
      </c>
      <c r="AK351" s="1" t="s">
        <v>71</v>
      </c>
      <c r="AM351" s="1" t="s">
        <v>71</v>
      </c>
      <c r="AN351" s="1" t="s">
        <v>71</v>
      </c>
      <c r="AS351" s="1" t="s">
        <v>71</v>
      </c>
      <c r="AX351" s="1" t="s">
        <v>71</v>
      </c>
      <c r="AY351" s="1" t="s">
        <v>59</v>
      </c>
      <c r="AZ351" s="1" t="s">
        <v>74</v>
      </c>
      <c r="BH351" s="1" t="s">
        <v>71</v>
      </c>
    </row>
    <row r="352" customFormat="false" ht="15" hidden="false" customHeight="false" outlineLevel="0" collapsed="false">
      <c r="A352" s="1" t="s">
        <v>1314</v>
      </c>
      <c r="B352" s="1" t="s">
        <v>1315</v>
      </c>
      <c r="C352" s="1" t="s">
        <v>134</v>
      </c>
      <c r="D352" s="1" t="s">
        <v>1062</v>
      </c>
      <c r="E352" s="1" t="s">
        <v>65</v>
      </c>
      <c r="F352" s="1" t="s">
        <v>119</v>
      </c>
      <c r="G352" s="1" t="s">
        <v>65</v>
      </c>
      <c r="H352" s="1" t="s">
        <v>64</v>
      </c>
      <c r="K352" s="1" t="s">
        <v>573</v>
      </c>
      <c r="L352" s="1" t="s">
        <v>1202</v>
      </c>
      <c r="M352" s="1" t="s">
        <v>104</v>
      </c>
      <c r="N352" s="1" t="s">
        <v>123</v>
      </c>
      <c r="O352" s="1" t="s">
        <v>124</v>
      </c>
      <c r="P352" s="1"/>
      <c r="Q352" s="1" t="s">
        <v>70</v>
      </c>
      <c r="U352" s="1" t="s">
        <v>1314</v>
      </c>
      <c r="Z352" s="1" t="s">
        <v>71</v>
      </c>
      <c r="AA352" s="1" t="s">
        <v>91</v>
      </c>
      <c r="AE352" s="1" t="s">
        <v>1316</v>
      </c>
      <c r="AH352" s="1" t="s">
        <v>73</v>
      </c>
      <c r="AK352" s="1" t="s">
        <v>71</v>
      </c>
      <c r="AM352" s="1" t="s">
        <v>71</v>
      </c>
      <c r="AN352" s="1" t="s">
        <v>71</v>
      </c>
      <c r="AS352" s="1" t="s">
        <v>71</v>
      </c>
      <c r="AX352" s="1" t="s">
        <v>71</v>
      </c>
      <c r="AY352" s="1" t="s">
        <v>59</v>
      </c>
      <c r="AZ352" s="1" t="s">
        <v>74</v>
      </c>
      <c r="BH352" s="1" t="s">
        <v>71</v>
      </c>
    </row>
    <row r="353" customFormat="false" ht="15" hidden="false" customHeight="false" outlineLevel="0" collapsed="false">
      <c r="A353" s="1" t="s">
        <v>1317</v>
      </c>
      <c r="B353" s="1" t="s">
        <v>1318</v>
      </c>
      <c r="C353" s="1" t="s">
        <v>1319</v>
      </c>
      <c r="D353" s="1" t="s">
        <v>1320</v>
      </c>
      <c r="E353" s="1" t="s">
        <v>59</v>
      </c>
      <c r="F353" s="1" t="s">
        <v>63</v>
      </c>
      <c r="G353" s="1" t="s">
        <v>59</v>
      </c>
      <c r="H353" s="1" t="s">
        <v>64</v>
      </c>
      <c r="K353" s="1" t="s">
        <v>88</v>
      </c>
      <c r="L353" s="1" t="s">
        <v>89</v>
      </c>
      <c r="M353" s="1" t="s">
        <v>1321</v>
      </c>
      <c r="N353" s="1" t="s">
        <v>123</v>
      </c>
      <c r="O353" s="1" t="s">
        <v>124</v>
      </c>
      <c r="P353" s="1"/>
      <c r="Q353" s="1" t="s">
        <v>70</v>
      </c>
      <c r="U353" s="1" t="s">
        <v>1317</v>
      </c>
      <c r="Z353" s="1" t="s">
        <v>71</v>
      </c>
      <c r="AA353" s="1" t="s">
        <v>91</v>
      </c>
      <c r="AE353" s="1" t="s">
        <v>1322</v>
      </c>
      <c r="AH353" s="1" t="s">
        <v>73</v>
      </c>
      <c r="AK353" s="1" t="s">
        <v>71</v>
      </c>
      <c r="AM353" s="1" t="s">
        <v>71</v>
      </c>
      <c r="AN353" s="1" t="s">
        <v>71</v>
      </c>
      <c r="AS353" s="1" t="s">
        <v>71</v>
      </c>
      <c r="AX353" s="1" t="s">
        <v>71</v>
      </c>
      <c r="AY353" s="1" t="s">
        <v>59</v>
      </c>
      <c r="AZ353" s="1" t="s">
        <v>74</v>
      </c>
      <c r="BH353" s="1" t="s">
        <v>71</v>
      </c>
    </row>
    <row r="354" customFormat="false" ht="15" hidden="false" customHeight="false" outlineLevel="0" collapsed="false">
      <c r="A354" s="1" t="s">
        <v>1323</v>
      </c>
      <c r="B354" s="1" t="s">
        <v>1324</v>
      </c>
      <c r="C354" s="1" t="s">
        <v>148</v>
      </c>
      <c r="D354" s="1" t="s">
        <v>1325</v>
      </c>
      <c r="E354" s="1" t="s">
        <v>61</v>
      </c>
      <c r="F354" s="1" t="s">
        <v>101</v>
      </c>
      <c r="G354" s="1" t="s">
        <v>148</v>
      </c>
      <c r="H354" s="1" t="s">
        <v>231</v>
      </c>
      <c r="K354" s="1" t="s">
        <v>232</v>
      </c>
      <c r="L354" s="1" t="s">
        <v>233</v>
      </c>
      <c r="M354" s="1" t="s">
        <v>1326</v>
      </c>
      <c r="N354" s="1" t="s">
        <v>234</v>
      </c>
      <c r="O354" s="1" t="s">
        <v>235</v>
      </c>
      <c r="P354" s="1"/>
      <c r="Q354" s="1" t="s">
        <v>70</v>
      </c>
      <c r="U354" s="1" t="s">
        <v>1323</v>
      </c>
      <c r="Z354" s="1" t="s">
        <v>71</v>
      </c>
      <c r="AA354" s="1" t="s">
        <v>91</v>
      </c>
      <c r="AE354" s="1" t="s">
        <v>1327</v>
      </c>
      <c r="AH354" s="1" t="s">
        <v>73</v>
      </c>
      <c r="AK354" s="1" t="s">
        <v>71</v>
      </c>
      <c r="AM354" s="1" t="s">
        <v>71</v>
      </c>
      <c r="AN354" s="1" t="s">
        <v>71</v>
      </c>
      <c r="AS354" s="1" t="s">
        <v>71</v>
      </c>
      <c r="AX354" s="1" t="s">
        <v>71</v>
      </c>
      <c r="AY354" s="1" t="s">
        <v>59</v>
      </c>
      <c r="AZ354" s="1" t="s">
        <v>74</v>
      </c>
      <c r="BH354" s="1" t="s">
        <v>71</v>
      </c>
    </row>
    <row r="355" customFormat="false" ht="15" hidden="false" customHeight="false" outlineLevel="0" collapsed="false">
      <c r="A355" s="1" t="s">
        <v>1328</v>
      </c>
      <c r="B355" s="1" t="s">
        <v>1329</v>
      </c>
      <c r="C355" s="1" t="s">
        <v>1031</v>
      </c>
      <c r="D355" s="1" t="s">
        <v>1032</v>
      </c>
      <c r="E355" s="1" t="s">
        <v>59</v>
      </c>
      <c r="F355" s="1" t="s">
        <v>63</v>
      </c>
      <c r="G355" s="1" t="s">
        <v>59</v>
      </c>
      <c r="H355" s="1" t="s">
        <v>64</v>
      </c>
      <c r="K355" s="1" t="s">
        <v>82</v>
      </c>
      <c r="L355" s="1" t="s">
        <v>83</v>
      </c>
      <c r="M355" s="1" t="s">
        <v>1330</v>
      </c>
      <c r="N355" s="1" t="s">
        <v>85</v>
      </c>
      <c r="O355" s="1" t="s">
        <v>86</v>
      </c>
      <c r="P355" s="1"/>
      <c r="Q355" s="1" t="s">
        <v>70</v>
      </c>
      <c r="U355" s="1" t="s">
        <v>1328</v>
      </c>
      <c r="Z355" s="1" t="s">
        <v>71</v>
      </c>
      <c r="AE355" s="1" t="s">
        <v>1331</v>
      </c>
      <c r="AH355" s="1" t="s">
        <v>73</v>
      </c>
      <c r="AK355" s="1" t="s">
        <v>71</v>
      </c>
      <c r="AM355" s="1" t="s">
        <v>71</v>
      </c>
      <c r="AN355" s="1" t="s">
        <v>71</v>
      </c>
      <c r="AS355" s="1" t="s">
        <v>71</v>
      </c>
      <c r="AX355" s="1" t="s">
        <v>71</v>
      </c>
      <c r="AY355" s="1" t="s">
        <v>59</v>
      </c>
      <c r="AZ355" s="1" t="s">
        <v>74</v>
      </c>
      <c r="BH355" s="1" t="s">
        <v>71</v>
      </c>
    </row>
    <row r="356" customFormat="false" ht="15" hidden="false" customHeight="false" outlineLevel="0" collapsed="false">
      <c r="A356" s="1" t="s">
        <v>1332</v>
      </c>
      <c r="B356" s="1" t="s">
        <v>1333</v>
      </c>
      <c r="C356" s="1" t="s">
        <v>1334</v>
      </c>
      <c r="D356" s="1" t="s">
        <v>239</v>
      </c>
      <c r="E356" s="1" t="s">
        <v>61</v>
      </c>
      <c r="F356" s="1" t="s">
        <v>101</v>
      </c>
      <c r="G356" s="1" t="s">
        <v>148</v>
      </c>
      <c r="H356" s="1" t="s">
        <v>231</v>
      </c>
      <c r="K356" s="1" t="s">
        <v>1335</v>
      </c>
      <c r="L356" s="1" t="s">
        <v>1336</v>
      </c>
      <c r="M356" s="1" t="s">
        <v>258</v>
      </c>
      <c r="N356" s="1" t="s">
        <v>243</v>
      </c>
      <c r="O356" s="1" t="s">
        <v>244</v>
      </c>
      <c r="P356" s="1" t="e">
        <f aca="false">image("https://drive.google.com/uc?export=view&amp;id=1be_m8aWQaB0sdGD4oJ4dukPBzmC07YhK")</f>
        <v>#NAME?</v>
      </c>
      <c r="Q356" s="1" t="s">
        <v>205</v>
      </c>
      <c r="U356" s="1" t="s">
        <v>263</v>
      </c>
      <c r="Z356" s="1" t="s">
        <v>71</v>
      </c>
      <c r="AE356" s="1" t="s">
        <v>1337</v>
      </c>
      <c r="AH356" s="1" t="s">
        <v>73</v>
      </c>
      <c r="AK356" s="1" t="s">
        <v>71</v>
      </c>
      <c r="AM356" s="1" t="s">
        <v>71</v>
      </c>
      <c r="AN356" s="1" t="s">
        <v>71</v>
      </c>
      <c r="AS356" s="1" t="s">
        <v>71</v>
      </c>
      <c r="AX356" s="1" t="s">
        <v>71</v>
      </c>
      <c r="AY356" s="1" t="s">
        <v>59</v>
      </c>
      <c r="AZ356" s="1" t="s">
        <v>74</v>
      </c>
      <c r="BH356" s="1" t="s">
        <v>71</v>
      </c>
    </row>
    <row r="357" customFormat="false" ht="15" hidden="false" customHeight="false" outlineLevel="0" collapsed="false">
      <c r="A357" s="1" t="s">
        <v>1338</v>
      </c>
      <c r="B357" s="1" t="s">
        <v>1339</v>
      </c>
      <c r="C357" s="1" t="s">
        <v>182</v>
      </c>
      <c r="D357" s="1" t="s">
        <v>239</v>
      </c>
      <c r="E357" s="1" t="s">
        <v>61</v>
      </c>
      <c r="F357" s="1" t="s">
        <v>101</v>
      </c>
      <c r="G357" s="1" t="s">
        <v>148</v>
      </c>
      <c r="H357" s="1" t="s">
        <v>231</v>
      </c>
      <c r="K357" s="1" t="s">
        <v>232</v>
      </c>
      <c r="L357" s="1" t="s">
        <v>233</v>
      </c>
      <c r="M357" s="1" t="s">
        <v>310</v>
      </c>
      <c r="N357" s="1" t="s">
        <v>234</v>
      </c>
      <c r="O357" s="1" t="s">
        <v>235</v>
      </c>
      <c r="P357" s="1" t="e">
        <f aca="false">image("https://drive.google.com/uc?export=view&amp;id=1f64NQbGHM6AK2Sqjkcm1veGbd21aVZMd")</f>
        <v>#NAME?</v>
      </c>
      <c r="Q357" s="1" t="s">
        <v>205</v>
      </c>
      <c r="U357" s="1" t="s">
        <v>263</v>
      </c>
      <c r="Z357" s="1" t="s">
        <v>71</v>
      </c>
      <c r="AE357" s="1" t="s">
        <v>1340</v>
      </c>
      <c r="AH357" s="1" t="s">
        <v>73</v>
      </c>
      <c r="AK357" s="1" t="s">
        <v>71</v>
      </c>
      <c r="AM357" s="1" t="s">
        <v>71</v>
      </c>
      <c r="AN357" s="1" t="s">
        <v>71</v>
      </c>
      <c r="AS357" s="1" t="s">
        <v>71</v>
      </c>
      <c r="AX357" s="1" t="s">
        <v>71</v>
      </c>
      <c r="AY357" s="1" t="s">
        <v>59</v>
      </c>
      <c r="AZ357" s="1" t="s">
        <v>74</v>
      </c>
      <c r="BH357" s="1" t="s">
        <v>71</v>
      </c>
    </row>
    <row r="358" customFormat="false" ht="15" hidden="false" customHeight="false" outlineLevel="0" collapsed="false">
      <c r="A358" s="1" t="s">
        <v>1341</v>
      </c>
      <c r="B358" s="1" t="s">
        <v>1342</v>
      </c>
      <c r="C358" s="1" t="s">
        <v>1343</v>
      </c>
      <c r="D358" s="1" t="s">
        <v>1344</v>
      </c>
      <c r="E358" s="1" t="s">
        <v>65</v>
      </c>
      <c r="F358" s="1" t="s">
        <v>119</v>
      </c>
      <c r="G358" s="1" t="s">
        <v>65</v>
      </c>
      <c r="H358" s="1" t="s">
        <v>64</v>
      </c>
      <c r="K358" s="1" t="s">
        <v>170</v>
      </c>
      <c r="L358" s="1" t="s">
        <v>171</v>
      </c>
      <c r="M358" s="1" t="s">
        <v>104</v>
      </c>
      <c r="N358" s="1" t="s">
        <v>123</v>
      </c>
      <c r="O358" s="1" t="s">
        <v>124</v>
      </c>
      <c r="P358" s="1"/>
      <c r="Q358" s="1" t="s">
        <v>70</v>
      </c>
      <c r="U358" s="1" t="s">
        <v>1341</v>
      </c>
      <c r="Z358" s="1" t="s">
        <v>71</v>
      </c>
      <c r="AA358" s="1" t="s">
        <v>91</v>
      </c>
      <c r="AE358" s="1" t="s">
        <v>1345</v>
      </c>
      <c r="AH358" s="1" t="s">
        <v>73</v>
      </c>
      <c r="AK358" s="1" t="s">
        <v>71</v>
      </c>
      <c r="AM358" s="1" t="s">
        <v>71</v>
      </c>
      <c r="AN358" s="1" t="s">
        <v>71</v>
      </c>
      <c r="AS358" s="1" t="s">
        <v>71</v>
      </c>
      <c r="AX358" s="1" t="s">
        <v>71</v>
      </c>
      <c r="AY358" s="1" t="s">
        <v>59</v>
      </c>
      <c r="AZ358" s="1" t="s">
        <v>74</v>
      </c>
      <c r="BH358" s="1" t="s">
        <v>71</v>
      </c>
    </row>
    <row r="359" customFormat="false" ht="15" hidden="false" customHeight="false" outlineLevel="0" collapsed="false">
      <c r="A359" s="1" t="s">
        <v>1346</v>
      </c>
      <c r="B359" s="1" t="s">
        <v>1347</v>
      </c>
      <c r="C359" s="1" t="s">
        <v>161</v>
      </c>
      <c r="D359" s="1" t="s">
        <v>162</v>
      </c>
      <c r="E359" s="1" t="s">
        <v>61</v>
      </c>
      <c r="F359" s="1" t="s">
        <v>101</v>
      </c>
      <c r="G359" s="1" t="s">
        <v>93</v>
      </c>
      <c r="H359" s="1" t="s">
        <v>64</v>
      </c>
      <c r="K359" s="1" t="s">
        <v>126</v>
      </c>
      <c r="L359" s="1" t="s">
        <v>335</v>
      </c>
      <c r="M359" s="1" t="s">
        <v>104</v>
      </c>
      <c r="N359" s="1" t="s">
        <v>105</v>
      </c>
      <c r="O359" s="1" t="s">
        <v>106</v>
      </c>
      <c r="P359" s="1" t="e">
        <f aca="false">image("https://drive.google.com/uc?export=view&amp;id=1XfqADPvmTiNmRCA1gjakTobwWoxu1bAi")</f>
        <v>#NAME?</v>
      </c>
      <c r="Q359" s="1" t="s">
        <v>205</v>
      </c>
      <c r="U359" s="1" t="s">
        <v>1346</v>
      </c>
      <c r="Z359" s="1" t="s">
        <v>71</v>
      </c>
      <c r="AE359" s="1" t="s">
        <v>1348</v>
      </c>
      <c r="AH359" s="1" t="s">
        <v>73</v>
      </c>
      <c r="AK359" s="1" t="s">
        <v>71</v>
      </c>
      <c r="AM359" s="1" t="s">
        <v>71</v>
      </c>
      <c r="AN359" s="1" t="s">
        <v>71</v>
      </c>
      <c r="AS359" s="1" t="s">
        <v>71</v>
      </c>
      <c r="AX359" s="1" t="s">
        <v>71</v>
      </c>
      <c r="AY359" s="1" t="s">
        <v>59</v>
      </c>
      <c r="AZ359" s="1" t="s">
        <v>74</v>
      </c>
      <c r="BH359" s="1" t="s">
        <v>71</v>
      </c>
    </row>
    <row r="360" customFormat="false" ht="15" hidden="false" customHeight="false" outlineLevel="0" collapsed="false">
      <c r="A360" s="1" t="s">
        <v>1349</v>
      </c>
      <c r="B360" s="1" t="s">
        <v>1350</v>
      </c>
      <c r="C360" s="1" t="s">
        <v>1351</v>
      </c>
      <c r="D360" s="1" t="s">
        <v>1352</v>
      </c>
      <c r="E360" s="1" t="s">
        <v>61</v>
      </c>
      <c r="F360" s="1" t="s">
        <v>101</v>
      </c>
      <c r="G360" s="1" t="s">
        <v>93</v>
      </c>
      <c r="H360" s="1" t="s">
        <v>64</v>
      </c>
      <c r="K360" s="1" t="s">
        <v>213</v>
      </c>
      <c r="L360" s="1" t="s">
        <v>700</v>
      </c>
      <c r="M360" s="1" t="s">
        <v>104</v>
      </c>
      <c r="N360" s="1" t="s">
        <v>203</v>
      </c>
      <c r="O360" s="1" t="s">
        <v>204</v>
      </c>
      <c r="P360" s="1"/>
      <c r="Q360" s="1" t="s">
        <v>70</v>
      </c>
      <c r="U360" s="1" t="s">
        <v>1349</v>
      </c>
      <c r="Z360" s="1" t="s">
        <v>71</v>
      </c>
      <c r="AA360" s="1" t="s">
        <v>91</v>
      </c>
      <c r="AE360" s="1" t="s">
        <v>1353</v>
      </c>
      <c r="AH360" s="1" t="s">
        <v>73</v>
      </c>
      <c r="AK360" s="1" t="s">
        <v>71</v>
      </c>
      <c r="AM360" s="1" t="s">
        <v>71</v>
      </c>
      <c r="AN360" s="1" t="s">
        <v>71</v>
      </c>
      <c r="AS360" s="1" t="s">
        <v>71</v>
      </c>
      <c r="AX360" s="1" t="s">
        <v>71</v>
      </c>
      <c r="AY360" s="1" t="s">
        <v>59</v>
      </c>
      <c r="AZ360" s="1" t="s">
        <v>74</v>
      </c>
      <c r="BH360" s="1" t="s">
        <v>71</v>
      </c>
    </row>
    <row r="361" customFormat="false" ht="15" hidden="false" customHeight="false" outlineLevel="0" collapsed="false">
      <c r="A361" s="1" t="s">
        <v>1354</v>
      </c>
      <c r="B361" s="1" t="s">
        <v>1355</v>
      </c>
      <c r="C361" s="1" t="s">
        <v>161</v>
      </c>
      <c r="D361" s="1" t="s">
        <v>162</v>
      </c>
      <c r="E361" s="1" t="s">
        <v>61</v>
      </c>
      <c r="F361" s="1" t="s">
        <v>101</v>
      </c>
      <c r="G361" s="1" t="s">
        <v>93</v>
      </c>
      <c r="H361" s="1" t="s">
        <v>64</v>
      </c>
      <c r="K361" s="1" t="s">
        <v>1356</v>
      </c>
      <c r="L361" s="1" t="s">
        <v>1357</v>
      </c>
      <c r="M361" s="1" t="s">
        <v>285</v>
      </c>
      <c r="N361" s="1" t="s">
        <v>105</v>
      </c>
      <c r="O361" s="1" t="s">
        <v>106</v>
      </c>
      <c r="P361" s="1"/>
      <c r="Q361" s="1" t="s">
        <v>70</v>
      </c>
      <c r="U361" s="1" t="s">
        <v>1354</v>
      </c>
      <c r="Z361" s="1" t="s">
        <v>71</v>
      </c>
      <c r="AE361" s="1" t="s">
        <v>1353</v>
      </c>
      <c r="AH361" s="1" t="s">
        <v>73</v>
      </c>
      <c r="AK361" s="1" t="s">
        <v>71</v>
      </c>
      <c r="AM361" s="1" t="s">
        <v>71</v>
      </c>
      <c r="AN361" s="1" t="s">
        <v>71</v>
      </c>
      <c r="AS361" s="1" t="s">
        <v>71</v>
      </c>
      <c r="AX361" s="1" t="s">
        <v>71</v>
      </c>
      <c r="AY361" s="1" t="s">
        <v>59</v>
      </c>
      <c r="AZ361" s="1" t="s">
        <v>74</v>
      </c>
      <c r="BH361" s="1" t="s">
        <v>71</v>
      </c>
    </row>
    <row r="362" customFormat="false" ht="15" hidden="false" customHeight="false" outlineLevel="0" collapsed="false">
      <c r="A362" s="1" t="s">
        <v>1358</v>
      </c>
      <c r="B362" s="1" t="s">
        <v>1359</v>
      </c>
      <c r="C362" s="1" t="s">
        <v>222</v>
      </c>
      <c r="D362" s="1" t="s">
        <v>223</v>
      </c>
      <c r="E362" s="1" t="s">
        <v>61</v>
      </c>
      <c r="F362" s="1" t="s">
        <v>101</v>
      </c>
      <c r="G362" s="1" t="s">
        <v>93</v>
      </c>
      <c r="H362" s="1" t="s">
        <v>64</v>
      </c>
      <c r="K362" s="1" t="s">
        <v>229</v>
      </c>
      <c r="L362" s="1" t="s">
        <v>605</v>
      </c>
      <c r="M362" s="1" t="s">
        <v>104</v>
      </c>
      <c r="N362" s="1" t="s">
        <v>123</v>
      </c>
      <c r="O362" s="1" t="s">
        <v>124</v>
      </c>
      <c r="P362" s="1" t="e">
        <f aca="false">image("https://drive.google.com/uc?export=view&amp;id=1XQW2_mZadEdg-Y5Vv_cRP0sGdcUZTJh_")</f>
        <v>#NAME?</v>
      </c>
      <c r="Q362" s="1" t="s">
        <v>205</v>
      </c>
      <c r="U362" s="1" t="s">
        <v>1358</v>
      </c>
      <c r="Z362" s="1" t="s">
        <v>71</v>
      </c>
      <c r="AE362" s="1" t="s">
        <v>1360</v>
      </c>
      <c r="AH362" s="1" t="s">
        <v>73</v>
      </c>
      <c r="AK362" s="1" t="s">
        <v>71</v>
      </c>
      <c r="AM362" s="1" t="s">
        <v>71</v>
      </c>
      <c r="AN362" s="1" t="s">
        <v>71</v>
      </c>
      <c r="AS362" s="1" t="s">
        <v>71</v>
      </c>
      <c r="AX362" s="1" t="s">
        <v>71</v>
      </c>
      <c r="AY362" s="1" t="s">
        <v>59</v>
      </c>
      <c r="AZ362" s="1" t="s">
        <v>74</v>
      </c>
      <c r="BH362" s="1" t="s">
        <v>71</v>
      </c>
    </row>
    <row r="363" customFormat="false" ht="15" hidden="false" customHeight="false" outlineLevel="0" collapsed="false">
      <c r="A363" s="1" t="s">
        <v>1361</v>
      </c>
      <c r="B363" s="1" t="s">
        <v>1362</v>
      </c>
      <c r="C363" s="1" t="s">
        <v>273</v>
      </c>
      <c r="D363" s="1" t="s">
        <v>274</v>
      </c>
      <c r="E363" s="1" t="s">
        <v>61</v>
      </c>
      <c r="F363" s="1" t="s">
        <v>101</v>
      </c>
      <c r="G363" s="1" t="s">
        <v>275</v>
      </c>
      <c r="H363" s="1" t="s">
        <v>276</v>
      </c>
      <c r="K363" s="1" t="s">
        <v>157</v>
      </c>
      <c r="L363" s="1" t="s">
        <v>1363</v>
      </c>
      <c r="M363" s="1" t="s">
        <v>1364</v>
      </c>
      <c r="N363" s="1" t="s">
        <v>1365</v>
      </c>
      <c r="O363" s="1" t="s">
        <v>1366</v>
      </c>
      <c r="P363" s="1"/>
      <c r="Q363" s="1" t="s">
        <v>70</v>
      </c>
      <c r="U363" s="1" t="s">
        <v>1361</v>
      </c>
      <c r="Z363" s="1" t="s">
        <v>71</v>
      </c>
      <c r="AE363" s="1" t="s">
        <v>1367</v>
      </c>
      <c r="AH363" s="1" t="s">
        <v>73</v>
      </c>
      <c r="AK363" s="1" t="s">
        <v>71</v>
      </c>
      <c r="AM363" s="1" t="s">
        <v>71</v>
      </c>
      <c r="AN363" s="1" t="s">
        <v>71</v>
      </c>
      <c r="AS363" s="1" t="s">
        <v>71</v>
      </c>
      <c r="AX363" s="1" t="s">
        <v>71</v>
      </c>
      <c r="AY363" s="1" t="s">
        <v>59</v>
      </c>
      <c r="AZ363" s="1" t="s">
        <v>74</v>
      </c>
      <c r="BH363" s="1" t="s">
        <v>71</v>
      </c>
    </row>
    <row r="364" customFormat="false" ht="15" hidden="false" customHeight="false" outlineLevel="0" collapsed="false">
      <c r="A364" s="1" t="s">
        <v>1368</v>
      </c>
      <c r="B364" s="1" t="s">
        <v>1369</v>
      </c>
      <c r="C364" s="1" t="s">
        <v>188</v>
      </c>
      <c r="D364" s="1" t="s">
        <v>189</v>
      </c>
      <c r="E364" s="1" t="s">
        <v>59</v>
      </c>
      <c r="F364" s="1" t="s">
        <v>63</v>
      </c>
      <c r="G364" s="1" t="s">
        <v>59</v>
      </c>
      <c r="H364" s="1" t="s">
        <v>64</v>
      </c>
      <c r="K364" s="1" t="s">
        <v>82</v>
      </c>
      <c r="L364" s="1" t="s">
        <v>83</v>
      </c>
      <c r="M364" s="1" t="s">
        <v>352</v>
      </c>
      <c r="N364" s="1" t="s">
        <v>85</v>
      </c>
      <c r="O364" s="1" t="s">
        <v>86</v>
      </c>
      <c r="P364" s="1"/>
      <c r="Q364" s="1" t="s">
        <v>70</v>
      </c>
      <c r="U364" s="1" t="s">
        <v>1368</v>
      </c>
      <c r="Z364" s="1" t="s">
        <v>71</v>
      </c>
      <c r="AE364" s="1" t="s">
        <v>1370</v>
      </c>
      <c r="AH364" s="1" t="s">
        <v>73</v>
      </c>
      <c r="AK364" s="1" t="s">
        <v>71</v>
      </c>
      <c r="AM364" s="1" t="s">
        <v>71</v>
      </c>
      <c r="AN364" s="1" t="s">
        <v>71</v>
      </c>
      <c r="AS364" s="1" t="s">
        <v>71</v>
      </c>
      <c r="AX364" s="1" t="s">
        <v>71</v>
      </c>
      <c r="AY364" s="1" t="s">
        <v>59</v>
      </c>
      <c r="AZ364" s="1" t="s">
        <v>74</v>
      </c>
      <c r="BH364" s="1" t="s">
        <v>71</v>
      </c>
    </row>
    <row r="365" customFormat="false" ht="15" hidden="false" customHeight="false" outlineLevel="0" collapsed="false">
      <c r="A365" s="1" t="s">
        <v>1371</v>
      </c>
      <c r="B365" s="1" t="s">
        <v>1372</v>
      </c>
      <c r="C365" s="1" t="s">
        <v>182</v>
      </c>
      <c r="D365" s="1" t="s">
        <v>239</v>
      </c>
      <c r="E365" s="1" t="s">
        <v>61</v>
      </c>
      <c r="F365" s="1" t="s">
        <v>101</v>
      </c>
      <c r="G365" s="1" t="s">
        <v>148</v>
      </c>
      <c r="H365" s="1" t="s">
        <v>231</v>
      </c>
      <c r="I365" s="1" t="s">
        <v>59</v>
      </c>
      <c r="J365" s="1" t="s">
        <v>1373</v>
      </c>
      <c r="K365" s="1" t="s">
        <v>240</v>
      </c>
      <c r="L365" s="1" t="s">
        <v>241</v>
      </c>
      <c r="M365" s="1" t="s">
        <v>242</v>
      </c>
      <c r="N365" s="1" t="s">
        <v>243</v>
      </c>
      <c r="O365" s="1" t="s">
        <v>244</v>
      </c>
      <c r="P365" s="1"/>
      <c r="Q365" s="1" t="s">
        <v>70</v>
      </c>
      <c r="U365" s="1" t="s">
        <v>245</v>
      </c>
      <c r="Z365" s="1" t="s">
        <v>71</v>
      </c>
      <c r="AE365" s="1" t="s">
        <v>1374</v>
      </c>
      <c r="AH365" s="1" t="s">
        <v>73</v>
      </c>
      <c r="AK365" s="1" t="s">
        <v>71</v>
      </c>
      <c r="AM365" s="1" t="s">
        <v>71</v>
      </c>
      <c r="AN365" s="1" t="s">
        <v>71</v>
      </c>
      <c r="AS365" s="1" t="s">
        <v>71</v>
      </c>
      <c r="AX365" s="1" t="s">
        <v>71</v>
      </c>
      <c r="AY365" s="1" t="s">
        <v>59</v>
      </c>
      <c r="AZ365" s="1" t="s">
        <v>74</v>
      </c>
      <c r="BH365" s="1" t="s">
        <v>71</v>
      </c>
    </row>
    <row r="366" customFormat="false" ht="15" hidden="false" customHeight="false" outlineLevel="0" collapsed="false">
      <c r="A366" s="1" t="s">
        <v>343</v>
      </c>
      <c r="B366" s="1" t="s">
        <v>1375</v>
      </c>
      <c r="C366" s="1" t="s">
        <v>182</v>
      </c>
      <c r="D366" s="1" t="s">
        <v>239</v>
      </c>
      <c r="E366" s="1" t="s">
        <v>65</v>
      </c>
      <c r="F366" s="1" t="s">
        <v>119</v>
      </c>
      <c r="G366" s="1" t="s">
        <v>88</v>
      </c>
      <c r="H366" s="1" t="s">
        <v>255</v>
      </c>
      <c r="I366" s="1" t="s">
        <v>65</v>
      </c>
      <c r="J366" s="1" t="s">
        <v>1376</v>
      </c>
      <c r="K366" s="1" t="s">
        <v>256</v>
      </c>
      <c r="L366" s="1" t="s">
        <v>257</v>
      </c>
      <c r="M366" s="1" t="s">
        <v>1364</v>
      </c>
      <c r="N366" s="1" t="s">
        <v>259</v>
      </c>
      <c r="O366" s="1" t="s">
        <v>260</v>
      </c>
      <c r="P366" s="1"/>
      <c r="Q366" s="1" t="s">
        <v>70</v>
      </c>
      <c r="U366" s="1" t="s">
        <v>245</v>
      </c>
      <c r="Z366" s="1" t="s">
        <v>71</v>
      </c>
      <c r="AE366" s="1" t="s">
        <v>1377</v>
      </c>
      <c r="AH366" s="1" t="s">
        <v>73</v>
      </c>
      <c r="AK366" s="1" t="s">
        <v>71</v>
      </c>
      <c r="AM366" s="1" t="s">
        <v>71</v>
      </c>
      <c r="AN366" s="1" t="s">
        <v>71</v>
      </c>
      <c r="AS366" s="1" t="s">
        <v>71</v>
      </c>
      <c r="AX366" s="1" t="s">
        <v>71</v>
      </c>
      <c r="AY366" s="1" t="s">
        <v>59</v>
      </c>
      <c r="AZ366" s="1" t="s">
        <v>74</v>
      </c>
      <c r="BH366" s="1" t="s">
        <v>71</v>
      </c>
    </row>
    <row r="367" customFormat="false" ht="15" hidden="false" customHeight="false" outlineLevel="0" collapsed="false">
      <c r="A367" s="1" t="s">
        <v>1378</v>
      </c>
      <c r="B367" s="1" t="s">
        <v>1379</v>
      </c>
      <c r="C367" s="1" t="s">
        <v>213</v>
      </c>
      <c r="D367" s="1" t="s">
        <v>214</v>
      </c>
      <c r="E367" s="1" t="s">
        <v>61</v>
      </c>
      <c r="F367" s="1" t="s">
        <v>101</v>
      </c>
      <c r="G367" s="1" t="s">
        <v>93</v>
      </c>
      <c r="H367" s="1" t="s">
        <v>64</v>
      </c>
      <c r="K367" s="1" t="s">
        <v>290</v>
      </c>
      <c r="L367" s="1" t="s">
        <v>291</v>
      </c>
      <c r="M367" s="1" t="s">
        <v>122</v>
      </c>
      <c r="N367" s="1" t="s">
        <v>105</v>
      </c>
      <c r="O367" s="1" t="s">
        <v>106</v>
      </c>
      <c r="P367" s="1"/>
      <c r="Q367" s="1" t="s">
        <v>70</v>
      </c>
      <c r="U367" s="1" t="s">
        <v>1378</v>
      </c>
      <c r="Z367" s="1" t="s">
        <v>71</v>
      </c>
      <c r="AE367" s="1" t="s">
        <v>1380</v>
      </c>
      <c r="AH367" s="1" t="s">
        <v>73</v>
      </c>
      <c r="AK367" s="1" t="s">
        <v>71</v>
      </c>
      <c r="AM367" s="1" t="s">
        <v>71</v>
      </c>
      <c r="AN367" s="1" t="s">
        <v>71</v>
      </c>
      <c r="AS367" s="1" t="s">
        <v>71</v>
      </c>
      <c r="AX367" s="1" t="s">
        <v>71</v>
      </c>
      <c r="AY367" s="1" t="s">
        <v>59</v>
      </c>
      <c r="AZ367" s="1" t="s">
        <v>74</v>
      </c>
      <c r="BH367" s="1" t="s">
        <v>71</v>
      </c>
    </row>
    <row r="368" customFormat="false" ht="15" hidden="false" customHeight="false" outlineLevel="0" collapsed="false">
      <c r="A368" s="1" t="s">
        <v>1381</v>
      </c>
      <c r="B368" s="1" t="s">
        <v>1382</v>
      </c>
      <c r="C368" s="1" t="s">
        <v>213</v>
      </c>
      <c r="D368" s="1" t="s">
        <v>214</v>
      </c>
      <c r="E368" s="1" t="s">
        <v>61</v>
      </c>
      <c r="F368" s="1" t="s">
        <v>101</v>
      </c>
      <c r="G368" s="1" t="s">
        <v>93</v>
      </c>
      <c r="H368" s="1" t="s">
        <v>64</v>
      </c>
      <c r="K368" s="1" t="s">
        <v>126</v>
      </c>
      <c r="L368" s="1" t="s">
        <v>335</v>
      </c>
      <c r="M368" s="1" t="s">
        <v>122</v>
      </c>
      <c r="N368" s="1" t="s">
        <v>105</v>
      </c>
      <c r="O368" s="1" t="s">
        <v>106</v>
      </c>
      <c r="P368" s="1"/>
      <c r="Q368" s="1" t="s">
        <v>70</v>
      </c>
      <c r="U368" s="1" t="s">
        <v>1381</v>
      </c>
      <c r="Z368" s="1" t="s">
        <v>71</v>
      </c>
      <c r="AE368" s="1" t="s">
        <v>1380</v>
      </c>
      <c r="AH368" s="1" t="s">
        <v>73</v>
      </c>
      <c r="AK368" s="1" t="s">
        <v>71</v>
      </c>
      <c r="AM368" s="1" t="s">
        <v>71</v>
      </c>
      <c r="AN368" s="1" t="s">
        <v>71</v>
      </c>
      <c r="AS368" s="1" t="s">
        <v>71</v>
      </c>
      <c r="AX368" s="1" t="s">
        <v>71</v>
      </c>
      <c r="AY368" s="1" t="s">
        <v>59</v>
      </c>
      <c r="AZ368" s="1" t="s">
        <v>74</v>
      </c>
      <c r="BH368" s="1" t="s">
        <v>71</v>
      </c>
    </row>
    <row r="369" customFormat="false" ht="15" hidden="false" customHeight="false" outlineLevel="0" collapsed="false">
      <c r="A369" s="1" t="s">
        <v>1383</v>
      </c>
      <c r="B369" s="1" t="s">
        <v>1384</v>
      </c>
      <c r="C369" s="1" t="s">
        <v>182</v>
      </c>
      <c r="D369" s="1" t="s">
        <v>239</v>
      </c>
      <c r="E369" s="1" t="s">
        <v>65</v>
      </c>
      <c r="F369" s="1" t="s">
        <v>119</v>
      </c>
      <c r="G369" s="1" t="s">
        <v>61</v>
      </c>
      <c r="H369" s="1" t="s">
        <v>231</v>
      </c>
      <c r="K369" s="1" t="s">
        <v>1385</v>
      </c>
      <c r="L369" s="1" t="s">
        <v>1386</v>
      </c>
      <c r="M369" s="1" t="s">
        <v>1387</v>
      </c>
      <c r="N369" s="1" t="s">
        <v>1388</v>
      </c>
      <c r="O369" s="1" t="s">
        <v>1389</v>
      </c>
      <c r="P369" s="1" t="e">
        <f aca="false">image("https://drive.google.com/uc?export=view&amp;id=12nEQl6KcklerKKese4qe0B5wS0Cqru79")</f>
        <v>#NAME?</v>
      </c>
      <c r="Q369" s="1" t="s">
        <v>205</v>
      </c>
      <c r="U369" s="1" t="s">
        <v>263</v>
      </c>
      <c r="Z369" s="1" t="s">
        <v>71</v>
      </c>
      <c r="AE369" s="1" t="s">
        <v>1390</v>
      </c>
      <c r="AH369" s="1" t="s">
        <v>73</v>
      </c>
      <c r="AK369" s="1" t="s">
        <v>71</v>
      </c>
      <c r="AM369" s="1" t="s">
        <v>71</v>
      </c>
      <c r="AN369" s="1" t="s">
        <v>71</v>
      </c>
      <c r="AS369" s="1" t="s">
        <v>71</v>
      </c>
      <c r="AX369" s="1" t="s">
        <v>71</v>
      </c>
      <c r="AY369" s="1" t="s">
        <v>59</v>
      </c>
      <c r="AZ369" s="1" t="s">
        <v>74</v>
      </c>
      <c r="BH369" s="1" t="s">
        <v>71</v>
      </c>
    </row>
    <row r="370" customFormat="false" ht="15" hidden="false" customHeight="false" outlineLevel="0" collapsed="false">
      <c r="A370" s="1" t="s">
        <v>1391</v>
      </c>
      <c r="B370" s="1" t="s">
        <v>1392</v>
      </c>
      <c r="C370" s="1" t="s">
        <v>213</v>
      </c>
      <c r="D370" s="1" t="s">
        <v>214</v>
      </c>
      <c r="E370" s="1" t="s">
        <v>65</v>
      </c>
      <c r="F370" s="1" t="s">
        <v>119</v>
      </c>
      <c r="G370" s="1" t="s">
        <v>65</v>
      </c>
      <c r="H370" s="1" t="s">
        <v>64</v>
      </c>
      <c r="K370" s="1" t="s">
        <v>182</v>
      </c>
      <c r="L370" s="1" t="s">
        <v>183</v>
      </c>
      <c r="M370" s="1" t="s">
        <v>104</v>
      </c>
      <c r="N370" s="1" t="s">
        <v>123</v>
      </c>
      <c r="O370" s="1" t="s">
        <v>124</v>
      </c>
      <c r="P370" s="1"/>
      <c r="Q370" s="1" t="s">
        <v>70</v>
      </c>
      <c r="U370" s="1" t="s">
        <v>1391</v>
      </c>
      <c r="Z370" s="1" t="s">
        <v>71</v>
      </c>
      <c r="AE370" s="1" t="s">
        <v>1393</v>
      </c>
      <c r="AH370" s="1" t="s">
        <v>73</v>
      </c>
      <c r="AK370" s="1" t="s">
        <v>71</v>
      </c>
      <c r="AM370" s="1" t="s">
        <v>71</v>
      </c>
      <c r="AN370" s="1" t="s">
        <v>71</v>
      </c>
      <c r="AS370" s="1" t="s">
        <v>71</v>
      </c>
      <c r="AX370" s="1" t="s">
        <v>71</v>
      </c>
      <c r="AY370" s="1" t="s">
        <v>59</v>
      </c>
      <c r="AZ370" s="1" t="s">
        <v>74</v>
      </c>
      <c r="BH370" s="1" t="s">
        <v>71</v>
      </c>
    </row>
    <row r="371" customFormat="false" ht="15" hidden="false" customHeight="false" outlineLevel="0" collapsed="false">
      <c r="A371" s="1" t="s">
        <v>1394</v>
      </c>
      <c r="B371" s="1" t="s">
        <v>1395</v>
      </c>
      <c r="C371" s="1" t="s">
        <v>163</v>
      </c>
      <c r="D371" s="1" t="s">
        <v>267</v>
      </c>
      <c r="E371" s="1" t="s">
        <v>65</v>
      </c>
      <c r="F371" s="1" t="s">
        <v>119</v>
      </c>
      <c r="G371" s="1" t="s">
        <v>88</v>
      </c>
      <c r="H371" s="1" t="s">
        <v>255</v>
      </c>
      <c r="K371" s="1" t="s">
        <v>256</v>
      </c>
      <c r="L371" s="1" t="s">
        <v>257</v>
      </c>
      <c r="M371" s="1" t="s">
        <v>242</v>
      </c>
      <c r="N371" s="1" t="s">
        <v>259</v>
      </c>
      <c r="O371" s="1" t="s">
        <v>260</v>
      </c>
      <c r="P371" s="1"/>
      <c r="Q371" s="1" t="s">
        <v>70</v>
      </c>
      <c r="U371" s="1" t="s">
        <v>1394</v>
      </c>
      <c r="Z371" s="1" t="s">
        <v>71</v>
      </c>
      <c r="AE371" s="1" t="s">
        <v>1396</v>
      </c>
      <c r="AH371" s="1" t="s">
        <v>73</v>
      </c>
      <c r="AK371" s="1" t="s">
        <v>71</v>
      </c>
      <c r="AM371" s="1" t="s">
        <v>71</v>
      </c>
      <c r="AN371" s="1" t="s">
        <v>71</v>
      </c>
      <c r="AS371" s="1" t="s">
        <v>71</v>
      </c>
      <c r="AX371" s="1" t="s">
        <v>71</v>
      </c>
      <c r="AY371" s="1" t="s">
        <v>59</v>
      </c>
      <c r="AZ371" s="1" t="s">
        <v>74</v>
      </c>
      <c r="BH371" s="1" t="s">
        <v>71</v>
      </c>
    </row>
    <row r="372" customFormat="false" ht="15" hidden="false" customHeight="false" outlineLevel="0" collapsed="false">
      <c r="A372" s="1" t="s">
        <v>1397</v>
      </c>
      <c r="B372" s="1" t="s">
        <v>1398</v>
      </c>
      <c r="C372" s="1" t="s">
        <v>1399</v>
      </c>
      <c r="D372" s="1" t="s">
        <v>1400</v>
      </c>
      <c r="E372" s="1" t="s">
        <v>88</v>
      </c>
      <c r="F372" s="1" t="s">
        <v>432</v>
      </c>
      <c r="G372" s="1" t="s">
        <v>229</v>
      </c>
      <c r="H372" s="1" t="s">
        <v>495</v>
      </c>
      <c r="K372" s="1" t="s">
        <v>501</v>
      </c>
      <c r="L372" s="1" t="s">
        <v>502</v>
      </c>
      <c r="M372" s="1" t="s">
        <v>496</v>
      </c>
      <c r="N372" s="1" t="s">
        <v>1401</v>
      </c>
      <c r="O372" s="1" t="s">
        <v>1402</v>
      </c>
      <c r="P372" s="1"/>
      <c r="Q372" s="1" t="s">
        <v>70</v>
      </c>
      <c r="U372" s="1" t="s">
        <v>1397</v>
      </c>
      <c r="Z372" s="1" t="s">
        <v>71</v>
      </c>
      <c r="AE372" s="1" t="s">
        <v>1403</v>
      </c>
      <c r="AH372" s="1" t="s">
        <v>73</v>
      </c>
      <c r="AK372" s="1" t="s">
        <v>71</v>
      </c>
      <c r="AM372" s="1" t="s">
        <v>71</v>
      </c>
      <c r="AN372" s="1" t="s">
        <v>71</v>
      </c>
      <c r="AS372" s="1" t="s">
        <v>71</v>
      </c>
      <c r="AX372" s="1" t="s">
        <v>71</v>
      </c>
      <c r="BH372" s="1" t="s">
        <v>71</v>
      </c>
    </row>
    <row r="373" customFormat="false" ht="15" hidden="false" customHeight="false" outlineLevel="0" collapsed="false">
      <c r="A373" s="1" t="s">
        <v>1404</v>
      </c>
      <c r="B373" s="1" t="s">
        <v>1405</v>
      </c>
      <c r="C373" s="1" t="s">
        <v>213</v>
      </c>
      <c r="D373" s="1" t="s">
        <v>214</v>
      </c>
      <c r="E373" s="1" t="s">
        <v>65</v>
      </c>
      <c r="F373" s="1" t="s">
        <v>119</v>
      </c>
      <c r="G373" s="1" t="s">
        <v>65</v>
      </c>
      <c r="H373" s="1" t="s">
        <v>64</v>
      </c>
      <c r="K373" s="1" t="s">
        <v>177</v>
      </c>
      <c r="L373" s="1" t="s">
        <v>178</v>
      </c>
      <c r="M373" s="1" t="s">
        <v>310</v>
      </c>
      <c r="N373" s="1" t="s">
        <v>123</v>
      </c>
      <c r="O373" s="1" t="s">
        <v>124</v>
      </c>
      <c r="P373" s="1"/>
      <c r="Q373" s="1" t="s">
        <v>70</v>
      </c>
      <c r="U373" s="1" t="s">
        <v>1404</v>
      </c>
      <c r="Z373" s="1" t="s">
        <v>71</v>
      </c>
      <c r="AE373" s="1" t="s">
        <v>1406</v>
      </c>
      <c r="AH373" s="1" t="s">
        <v>73</v>
      </c>
      <c r="AK373" s="1" t="s">
        <v>71</v>
      </c>
      <c r="AM373" s="1" t="s">
        <v>71</v>
      </c>
      <c r="AN373" s="1" t="s">
        <v>71</v>
      </c>
      <c r="AS373" s="1" t="s">
        <v>71</v>
      </c>
      <c r="AX373" s="1" t="s">
        <v>71</v>
      </c>
      <c r="AY373" s="1" t="s">
        <v>59</v>
      </c>
      <c r="AZ373" s="1" t="s">
        <v>74</v>
      </c>
      <c r="BH373" s="1" t="s">
        <v>71</v>
      </c>
    </row>
    <row r="374" customFormat="false" ht="15" hidden="false" customHeight="false" outlineLevel="0" collapsed="false">
      <c r="A374" s="1" t="s">
        <v>1407</v>
      </c>
      <c r="B374" s="1" t="s">
        <v>1408</v>
      </c>
      <c r="C374" s="1" t="s">
        <v>188</v>
      </c>
      <c r="D374" s="1" t="s">
        <v>189</v>
      </c>
      <c r="E374" s="1" t="s">
        <v>65</v>
      </c>
      <c r="F374" s="1" t="s">
        <v>119</v>
      </c>
      <c r="G374" s="1" t="s">
        <v>65</v>
      </c>
      <c r="H374" s="1" t="s">
        <v>64</v>
      </c>
      <c r="K374" s="1" t="s">
        <v>177</v>
      </c>
      <c r="L374" s="1" t="s">
        <v>178</v>
      </c>
      <c r="M374" s="1" t="s">
        <v>104</v>
      </c>
      <c r="N374" s="1" t="s">
        <v>123</v>
      </c>
      <c r="O374" s="1" t="s">
        <v>124</v>
      </c>
      <c r="P374" s="1"/>
      <c r="Q374" s="1" t="s">
        <v>70</v>
      </c>
      <c r="U374" s="1" t="s">
        <v>1407</v>
      </c>
      <c r="Z374" s="1" t="s">
        <v>71</v>
      </c>
      <c r="AE374" s="1" t="s">
        <v>1409</v>
      </c>
      <c r="AH374" s="1" t="s">
        <v>73</v>
      </c>
      <c r="AK374" s="1" t="s">
        <v>71</v>
      </c>
      <c r="AM374" s="1" t="s">
        <v>71</v>
      </c>
      <c r="AN374" s="1" t="s">
        <v>71</v>
      </c>
      <c r="AS374" s="1" t="s">
        <v>71</v>
      </c>
      <c r="AX374" s="1" t="s">
        <v>71</v>
      </c>
      <c r="AY374" s="1" t="s">
        <v>59</v>
      </c>
      <c r="AZ374" s="1" t="s">
        <v>74</v>
      </c>
      <c r="BH374" s="1" t="s">
        <v>71</v>
      </c>
    </row>
    <row r="375" customFormat="false" ht="15" hidden="false" customHeight="false" outlineLevel="0" collapsed="false">
      <c r="A375" s="1" t="s">
        <v>1410</v>
      </c>
      <c r="B375" s="1" t="s">
        <v>1411</v>
      </c>
      <c r="C375" s="1" t="s">
        <v>1412</v>
      </c>
      <c r="D375" s="1" t="s">
        <v>1413</v>
      </c>
      <c r="E375" s="1" t="s">
        <v>61</v>
      </c>
      <c r="F375" s="1" t="s">
        <v>101</v>
      </c>
      <c r="G375" s="1" t="s">
        <v>148</v>
      </c>
      <c r="H375" s="1" t="s">
        <v>231</v>
      </c>
      <c r="K375" s="1" t="s">
        <v>232</v>
      </c>
      <c r="L375" s="1" t="s">
        <v>233</v>
      </c>
      <c r="M375" s="1" t="s">
        <v>310</v>
      </c>
      <c r="N375" s="1" t="s">
        <v>234</v>
      </c>
      <c r="O375" s="1" t="s">
        <v>235</v>
      </c>
      <c r="P375" s="1"/>
      <c r="Q375" s="1" t="s">
        <v>70</v>
      </c>
      <c r="U375" s="1" t="s">
        <v>1410</v>
      </c>
      <c r="Z375" s="1" t="s">
        <v>71</v>
      </c>
      <c r="AE375" s="1" t="s">
        <v>1409</v>
      </c>
      <c r="AH375" s="1" t="s">
        <v>73</v>
      </c>
      <c r="AK375" s="1" t="s">
        <v>71</v>
      </c>
      <c r="AM375" s="1" t="s">
        <v>71</v>
      </c>
      <c r="AN375" s="1" t="s">
        <v>71</v>
      </c>
      <c r="AS375" s="1" t="s">
        <v>71</v>
      </c>
      <c r="AX375" s="1" t="s">
        <v>71</v>
      </c>
      <c r="AY375" s="1" t="s">
        <v>59</v>
      </c>
      <c r="AZ375" s="1" t="s">
        <v>74</v>
      </c>
      <c r="BH375" s="1" t="s">
        <v>71</v>
      </c>
    </row>
    <row r="376" customFormat="false" ht="15" hidden="false" customHeight="false" outlineLevel="0" collapsed="false">
      <c r="A376" s="1" t="s">
        <v>1414</v>
      </c>
      <c r="B376" s="1" t="s">
        <v>1415</v>
      </c>
      <c r="C376" s="1" t="s">
        <v>1412</v>
      </c>
      <c r="D376" s="1" t="s">
        <v>1413</v>
      </c>
      <c r="E376" s="1" t="s">
        <v>61</v>
      </c>
      <c r="F376" s="1" t="s">
        <v>101</v>
      </c>
      <c r="G376" s="1" t="s">
        <v>148</v>
      </c>
      <c r="H376" s="1" t="s">
        <v>231</v>
      </c>
      <c r="K376" s="1" t="s">
        <v>1335</v>
      </c>
      <c r="L376" s="1" t="s">
        <v>1336</v>
      </c>
      <c r="M376" s="1" t="s">
        <v>1416</v>
      </c>
      <c r="N376" s="1" t="s">
        <v>243</v>
      </c>
      <c r="O376" s="1" t="s">
        <v>244</v>
      </c>
      <c r="P376" s="1"/>
      <c r="Q376" s="1" t="s">
        <v>70</v>
      </c>
      <c r="U376" s="1" t="s">
        <v>1414</v>
      </c>
      <c r="Z376" s="1" t="s">
        <v>71</v>
      </c>
      <c r="AE376" s="1" t="s">
        <v>1409</v>
      </c>
      <c r="AH376" s="1" t="s">
        <v>73</v>
      </c>
      <c r="AK376" s="1" t="s">
        <v>71</v>
      </c>
      <c r="AM376" s="1" t="s">
        <v>71</v>
      </c>
      <c r="AN376" s="1" t="s">
        <v>71</v>
      </c>
      <c r="AS376" s="1" t="s">
        <v>71</v>
      </c>
      <c r="AX376" s="1" t="s">
        <v>71</v>
      </c>
      <c r="AY376" s="1" t="s">
        <v>59</v>
      </c>
      <c r="AZ376" s="1" t="s">
        <v>74</v>
      </c>
      <c r="BH376" s="1" t="s">
        <v>71</v>
      </c>
    </row>
    <row r="377" customFormat="false" ht="15" hidden="false" customHeight="false" outlineLevel="0" collapsed="false">
      <c r="A377" s="1" t="s">
        <v>1417</v>
      </c>
      <c r="B377" s="1" t="s">
        <v>1418</v>
      </c>
      <c r="C377" s="1" t="s">
        <v>1412</v>
      </c>
      <c r="D377" s="1" t="s">
        <v>1413</v>
      </c>
      <c r="E377" s="1" t="s">
        <v>61</v>
      </c>
      <c r="F377" s="1" t="s">
        <v>101</v>
      </c>
      <c r="G377" s="1" t="s">
        <v>148</v>
      </c>
      <c r="H377" s="1" t="s">
        <v>231</v>
      </c>
      <c r="K377" s="1" t="s">
        <v>1419</v>
      </c>
      <c r="L377" s="1" t="s">
        <v>1420</v>
      </c>
      <c r="M377" s="1" t="s">
        <v>258</v>
      </c>
      <c r="N377" s="1" t="s">
        <v>243</v>
      </c>
      <c r="O377" s="1" t="s">
        <v>244</v>
      </c>
      <c r="P377" s="1"/>
      <c r="Q377" s="1" t="s">
        <v>70</v>
      </c>
      <c r="U377" s="1" t="s">
        <v>1417</v>
      </c>
      <c r="Z377" s="1" t="s">
        <v>71</v>
      </c>
      <c r="AE377" s="1" t="s">
        <v>1409</v>
      </c>
      <c r="AH377" s="1" t="s">
        <v>73</v>
      </c>
      <c r="AK377" s="1" t="s">
        <v>71</v>
      </c>
      <c r="AM377" s="1" t="s">
        <v>71</v>
      </c>
      <c r="AN377" s="1" t="s">
        <v>71</v>
      </c>
      <c r="AS377" s="1" t="s">
        <v>71</v>
      </c>
      <c r="AX377" s="1" t="s">
        <v>71</v>
      </c>
      <c r="AY377" s="1" t="s">
        <v>59</v>
      </c>
      <c r="AZ377" s="1" t="s">
        <v>74</v>
      </c>
      <c r="BH377" s="1" t="s">
        <v>71</v>
      </c>
    </row>
    <row r="378" customFormat="false" ht="15" hidden="false" customHeight="false" outlineLevel="0" collapsed="false">
      <c r="A378" s="1" t="s">
        <v>1421</v>
      </c>
      <c r="B378" s="1" t="s">
        <v>1422</v>
      </c>
      <c r="C378" s="1" t="s">
        <v>1412</v>
      </c>
      <c r="D378" s="1" t="s">
        <v>1413</v>
      </c>
      <c r="E378" s="1" t="s">
        <v>61</v>
      </c>
      <c r="F378" s="1" t="s">
        <v>101</v>
      </c>
      <c r="G378" s="1" t="s">
        <v>148</v>
      </c>
      <c r="H378" s="1" t="s">
        <v>231</v>
      </c>
      <c r="K378" s="1" t="s">
        <v>168</v>
      </c>
      <c r="L378" s="1" t="s">
        <v>1423</v>
      </c>
      <c r="M378" s="1" t="s">
        <v>258</v>
      </c>
      <c r="N378" s="1" t="s">
        <v>1424</v>
      </c>
      <c r="O378" s="1" t="s">
        <v>1425</v>
      </c>
      <c r="P378" s="1"/>
      <c r="Q378" s="1" t="s">
        <v>70</v>
      </c>
      <c r="U378" s="1" t="s">
        <v>1421</v>
      </c>
      <c r="Z378" s="1" t="s">
        <v>71</v>
      </c>
      <c r="AE378" s="1" t="s">
        <v>1409</v>
      </c>
      <c r="AH378" s="1" t="s">
        <v>73</v>
      </c>
      <c r="AK378" s="1" t="s">
        <v>71</v>
      </c>
      <c r="AM378" s="1" t="s">
        <v>71</v>
      </c>
      <c r="AN378" s="1" t="s">
        <v>71</v>
      </c>
      <c r="AS378" s="1" t="s">
        <v>71</v>
      </c>
      <c r="AX378" s="1" t="s">
        <v>71</v>
      </c>
      <c r="AY378" s="1" t="s">
        <v>59</v>
      </c>
      <c r="AZ378" s="1" t="s">
        <v>74</v>
      </c>
      <c r="BH378" s="1" t="s">
        <v>71</v>
      </c>
    </row>
    <row r="379" customFormat="false" ht="15" hidden="false" customHeight="false" outlineLevel="0" collapsed="false">
      <c r="A379" s="1" t="s">
        <v>1426</v>
      </c>
      <c r="B379" s="1" t="s">
        <v>1427</v>
      </c>
      <c r="C379" s="1" t="s">
        <v>1412</v>
      </c>
      <c r="D379" s="1" t="s">
        <v>1413</v>
      </c>
      <c r="E379" s="1" t="s">
        <v>61</v>
      </c>
      <c r="F379" s="1" t="s">
        <v>101</v>
      </c>
      <c r="G379" s="1" t="s">
        <v>177</v>
      </c>
      <c r="H379" s="1" t="s">
        <v>255</v>
      </c>
      <c r="K379" s="1" t="s">
        <v>173</v>
      </c>
      <c r="L379" s="1" t="s">
        <v>299</v>
      </c>
      <c r="M379" s="1" t="s">
        <v>258</v>
      </c>
      <c r="N379" s="1" t="s">
        <v>259</v>
      </c>
      <c r="O379" s="1" t="s">
        <v>260</v>
      </c>
      <c r="P379" s="1"/>
      <c r="Q379" s="1" t="s">
        <v>70</v>
      </c>
      <c r="U379" s="1" t="s">
        <v>1426</v>
      </c>
      <c r="Z379" s="1" t="s">
        <v>71</v>
      </c>
      <c r="AE379" s="1" t="s">
        <v>1409</v>
      </c>
      <c r="AH379" s="1" t="s">
        <v>73</v>
      </c>
      <c r="AK379" s="1" t="s">
        <v>71</v>
      </c>
      <c r="AM379" s="1" t="s">
        <v>71</v>
      </c>
      <c r="AN379" s="1" t="s">
        <v>71</v>
      </c>
      <c r="AS379" s="1" t="s">
        <v>71</v>
      </c>
      <c r="AX379" s="1" t="s">
        <v>71</v>
      </c>
      <c r="AY379" s="1" t="s">
        <v>59</v>
      </c>
      <c r="AZ379" s="1" t="s">
        <v>74</v>
      </c>
      <c r="BH379" s="1" t="s">
        <v>71</v>
      </c>
    </row>
    <row r="380" customFormat="false" ht="15" hidden="false" customHeight="false" outlineLevel="0" collapsed="false">
      <c r="A380" s="1" t="s">
        <v>1428</v>
      </c>
      <c r="B380" s="1" t="s">
        <v>1429</v>
      </c>
      <c r="C380" s="1" t="s">
        <v>1412</v>
      </c>
      <c r="D380" s="1" t="s">
        <v>1413</v>
      </c>
      <c r="E380" s="1" t="s">
        <v>65</v>
      </c>
      <c r="F380" s="1" t="s">
        <v>119</v>
      </c>
      <c r="G380" s="1" t="s">
        <v>88</v>
      </c>
      <c r="H380" s="1" t="s">
        <v>255</v>
      </c>
      <c r="K380" s="1" t="s">
        <v>256</v>
      </c>
      <c r="L380" s="1" t="s">
        <v>257</v>
      </c>
      <c r="M380" s="1" t="s">
        <v>242</v>
      </c>
      <c r="N380" s="1" t="s">
        <v>259</v>
      </c>
      <c r="O380" s="1" t="s">
        <v>260</v>
      </c>
      <c r="P380" s="1"/>
      <c r="Q380" s="1" t="s">
        <v>70</v>
      </c>
      <c r="U380" s="1" t="s">
        <v>1428</v>
      </c>
      <c r="Z380" s="1" t="s">
        <v>71</v>
      </c>
      <c r="AE380" s="1" t="s">
        <v>1409</v>
      </c>
      <c r="AH380" s="1" t="s">
        <v>73</v>
      </c>
      <c r="AK380" s="1" t="s">
        <v>71</v>
      </c>
      <c r="AM380" s="1" t="s">
        <v>71</v>
      </c>
      <c r="AN380" s="1" t="s">
        <v>71</v>
      </c>
      <c r="AS380" s="1" t="s">
        <v>71</v>
      </c>
      <c r="AX380" s="1" t="s">
        <v>71</v>
      </c>
      <c r="AY380" s="1" t="s">
        <v>59</v>
      </c>
      <c r="AZ380" s="1" t="s">
        <v>74</v>
      </c>
      <c r="BH380" s="1" t="s">
        <v>71</v>
      </c>
    </row>
    <row r="381" customFormat="false" ht="15" hidden="false" customHeight="false" outlineLevel="0" collapsed="false">
      <c r="A381" s="1" t="s">
        <v>1430</v>
      </c>
      <c r="B381" s="1" t="s">
        <v>1431</v>
      </c>
      <c r="C381" s="1" t="s">
        <v>213</v>
      </c>
      <c r="D381" s="1" t="s">
        <v>214</v>
      </c>
      <c r="E381" s="1" t="s">
        <v>65</v>
      </c>
      <c r="F381" s="1" t="s">
        <v>119</v>
      </c>
      <c r="G381" s="1" t="s">
        <v>65</v>
      </c>
      <c r="H381" s="1" t="s">
        <v>64</v>
      </c>
      <c r="K381" s="1" t="s">
        <v>443</v>
      </c>
      <c r="L381" s="1" t="s">
        <v>630</v>
      </c>
      <c r="M381" s="1" t="s">
        <v>104</v>
      </c>
      <c r="N381" s="1" t="s">
        <v>123</v>
      </c>
      <c r="O381" s="1" t="s">
        <v>124</v>
      </c>
      <c r="P381" s="1"/>
      <c r="Q381" s="1" t="s">
        <v>70</v>
      </c>
      <c r="U381" s="1" t="s">
        <v>1430</v>
      </c>
      <c r="Z381" s="1" t="s">
        <v>71</v>
      </c>
      <c r="AE381" s="1" t="s">
        <v>1432</v>
      </c>
      <c r="AH381" s="1" t="s">
        <v>73</v>
      </c>
      <c r="AK381" s="1" t="s">
        <v>71</v>
      </c>
      <c r="AM381" s="1" t="s">
        <v>71</v>
      </c>
      <c r="AN381" s="1" t="s">
        <v>71</v>
      </c>
      <c r="AS381" s="1" t="s">
        <v>71</v>
      </c>
      <c r="AX381" s="1" t="s">
        <v>71</v>
      </c>
      <c r="AY381" s="1" t="s">
        <v>59</v>
      </c>
      <c r="AZ381" s="1" t="s">
        <v>74</v>
      </c>
      <c r="BH381" s="1" t="s">
        <v>71</v>
      </c>
    </row>
    <row r="382" customFormat="false" ht="15" hidden="false" customHeight="false" outlineLevel="0" collapsed="false">
      <c r="A382" s="1" t="s">
        <v>1433</v>
      </c>
      <c r="B382" s="1" t="s">
        <v>1434</v>
      </c>
      <c r="C382" s="1" t="s">
        <v>188</v>
      </c>
      <c r="D382" s="1" t="s">
        <v>189</v>
      </c>
      <c r="E382" s="1" t="s">
        <v>65</v>
      </c>
      <c r="F382" s="1" t="s">
        <v>119</v>
      </c>
      <c r="G382" s="1" t="s">
        <v>65</v>
      </c>
      <c r="H382" s="1" t="s">
        <v>64</v>
      </c>
      <c r="K382" s="1" t="s">
        <v>170</v>
      </c>
      <c r="L382" s="1" t="s">
        <v>171</v>
      </c>
      <c r="M382" s="1" t="s">
        <v>104</v>
      </c>
      <c r="N382" s="1" t="s">
        <v>123</v>
      </c>
      <c r="O382" s="1" t="s">
        <v>124</v>
      </c>
      <c r="P382" s="1"/>
      <c r="Q382" s="1" t="s">
        <v>70</v>
      </c>
      <c r="U382" s="1" t="s">
        <v>1433</v>
      </c>
      <c r="Z382" s="1" t="s">
        <v>71</v>
      </c>
      <c r="AE382" s="1" t="s">
        <v>1435</v>
      </c>
      <c r="AH382" s="1" t="s">
        <v>73</v>
      </c>
      <c r="AK382" s="1" t="s">
        <v>71</v>
      </c>
      <c r="AM382" s="1" t="s">
        <v>71</v>
      </c>
      <c r="AN382" s="1" t="s">
        <v>71</v>
      </c>
      <c r="AS382" s="1" t="s">
        <v>71</v>
      </c>
      <c r="AX382" s="1" t="s">
        <v>71</v>
      </c>
      <c r="AY382" s="1" t="s">
        <v>59</v>
      </c>
      <c r="AZ382" s="1" t="s">
        <v>74</v>
      </c>
      <c r="BH382" s="1" t="s">
        <v>71</v>
      </c>
    </row>
    <row r="383" customFormat="false" ht="15" hidden="false" customHeight="false" outlineLevel="0" collapsed="false">
      <c r="A383" s="1" t="s">
        <v>1436</v>
      </c>
      <c r="B383" s="1" t="s">
        <v>1437</v>
      </c>
      <c r="C383" s="1" t="s">
        <v>188</v>
      </c>
      <c r="D383" s="1" t="s">
        <v>189</v>
      </c>
      <c r="E383" s="1" t="s">
        <v>65</v>
      </c>
      <c r="F383" s="1" t="s">
        <v>119</v>
      </c>
      <c r="G383" s="1" t="s">
        <v>65</v>
      </c>
      <c r="H383" s="1" t="s">
        <v>64</v>
      </c>
      <c r="K383" s="1" t="s">
        <v>108</v>
      </c>
      <c r="L383" s="1" t="s">
        <v>200</v>
      </c>
      <c r="M383" s="1" t="s">
        <v>104</v>
      </c>
      <c r="N383" s="1" t="s">
        <v>123</v>
      </c>
      <c r="O383" s="1" t="s">
        <v>124</v>
      </c>
      <c r="P383" s="1"/>
      <c r="Q383" s="1" t="s">
        <v>70</v>
      </c>
      <c r="U383" s="1" t="s">
        <v>1436</v>
      </c>
      <c r="Z383" s="1" t="s">
        <v>71</v>
      </c>
      <c r="AE383" s="1" t="s">
        <v>1435</v>
      </c>
      <c r="AH383" s="1" t="s">
        <v>73</v>
      </c>
      <c r="AK383" s="1" t="s">
        <v>71</v>
      </c>
      <c r="AM383" s="1" t="s">
        <v>71</v>
      </c>
      <c r="AN383" s="1" t="s">
        <v>71</v>
      </c>
      <c r="AS383" s="1" t="s">
        <v>71</v>
      </c>
      <c r="AX383" s="1" t="s">
        <v>71</v>
      </c>
      <c r="AY383" s="1" t="s">
        <v>59</v>
      </c>
      <c r="AZ383" s="1" t="s">
        <v>74</v>
      </c>
      <c r="BH383" s="1" t="s">
        <v>71</v>
      </c>
    </row>
    <row r="384" customFormat="false" ht="15" hidden="false" customHeight="false" outlineLevel="0" collapsed="false">
      <c r="A384" s="1" t="s">
        <v>1438</v>
      </c>
      <c r="B384" s="1" t="s">
        <v>1439</v>
      </c>
      <c r="C384" s="1" t="s">
        <v>1440</v>
      </c>
      <c r="D384" s="1" t="s">
        <v>1441</v>
      </c>
      <c r="E384" s="1" t="s">
        <v>65</v>
      </c>
      <c r="F384" s="1" t="s">
        <v>119</v>
      </c>
      <c r="G384" s="1" t="s">
        <v>65</v>
      </c>
      <c r="H384" s="1" t="s">
        <v>64</v>
      </c>
      <c r="K384" s="1" t="s">
        <v>182</v>
      </c>
      <c r="L384" s="1" t="s">
        <v>183</v>
      </c>
      <c r="M384" s="1" t="s">
        <v>104</v>
      </c>
      <c r="N384" s="1" t="s">
        <v>123</v>
      </c>
      <c r="O384" s="1" t="s">
        <v>124</v>
      </c>
      <c r="P384" s="1"/>
      <c r="Q384" s="1" t="s">
        <v>70</v>
      </c>
      <c r="U384" s="1" t="s">
        <v>1438</v>
      </c>
      <c r="Z384" s="1" t="s">
        <v>71</v>
      </c>
      <c r="AE384" s="1" t="s">
        <v>1435</v>
      </c>
      <c r="AH384" s="1" t="s">
        <v>73</v>
      </c>
      <c r="AK384" s="1" t="s">
        <v>71</v>
      </c>
      <c r="AM384" s="1" t="s">
        <v>71</v>
      </c>
      <c r="AN384" s="1" t="s">
        <v>71</v>
      </c>
      <c r="AS384" s="1" t="s">
        <v>71</v>
      </c>
      <c r="AX384" s="1" t="s">
        <v>71</v>
      </c>
      <c r="AY384" s="1" t="s">
        <v>59</v>
      </c>
      <c r="AZ384" s="1" t="s">
        <v>74</v>
      </c>
      <c r="BH384" s="1" t="s">
        <v>71</v>
      </c>
    </row>
    <row r="385" customFormat="false" ht="15" hidden="false" customHeight="false" outlineLevel="0" collapsed="false">
      <c r="A385" s="1" t="s">
        <v>1442</v>
      </c>
      <c r="B385" s="1" t="s">
        <v>1443</v>
      </c>
      <c r="C385" s="1" t="s">
        <v>188</v>
      </c>
      <c r="D385" s="1" t="s">
        <v>189</v>
      </c>
      <c r="E385" s="1" t="s">
        <v>65</v>
      </c>
      <c r="F385" s="1" t="s">
        <v>119</v>
      </c>
      <c r="G385" s="1" t="s">
        <v>65</v>
      </c>
      <c r="H385" s="1" t="s">
        <v>64</v>
      </c>
      <c r="K385" s="1" t="s">
        <v>152</v>
      </c>
      <c r="L385" s="1" t="s">
        <v>605</v>
      </c>
      <c r="M385" s="1" t="s">
        <v>104</v>
      </c>
      <c r="N385" s="1" t="s">
        <v>123</v>
      </c>
      <c r="O385" s="1" t="s">
        <v>124</v>
      </c>
      <c r="P385" s="1"/>
      <c r="Q385" s="1" t="s">
        <v>70</v>
      </c>
      <c r="U385" s="1" t="s">
        <v>1442</v>
      </c>
      <c r="Z385" s="1" t="s">
        <v>71</v>
      </c>
      <c r="AE385" s="1" t="s">
        <v>1435</v>
      </c>
      <c r="AH385" s="1" t="s">
        <v>73</v>
      </c>
      <c r="AK385" s="1" t="s">
        <v>71</v>
      </c>
      <c r="AM385" s="1" t="s">
        <v>71</v>
      </c>
      <c r="AN385" s="1" t="s">
        <v>71</v>
      </c>
      <c r="AS385" s="1" t="s">
        <v>71</v>
      </c>
      <c r="AX385" s="1" t="s">
        <v>71</v>
      </c>
      <c r="AY385" s="1" t="s">
        <v>59</v>
      </c>
      <c r="AZ385" s="1" t="s">
        <v>74</v>
      </c>
      <c r="BH385" s="1" t="s">
        <v>71</v>
      </c>
    </row>
    <row r="386" customFormat="false" ht="15" hidden="false" customHeight="false" outlineLevel="0" collapsed="false">
      <c r="A386" s="1" t="s">
        <v>1444</v>
      </c>
      <c r="B386" s="1" t="s">
        <v>1445</v>
      </c>
      <c r="C386" s="1" t="s">
        <v>188</v>
      </c>
      <c r="D386" s="1" t="s">
        <v>189</v>
      </c>
      <c r="E386" s="1" t="s">
        <v>61</v>
      </c>
      <c r="F386" s="1" t="s">
        <v>101</v>
      </c>
      <c r="G386" s="1" t="s">
        <v>93</v>
      </c>
      <c r="H386" s="1" t="s">
        <v>64</v>
      </c>
      <c r="K386" s="1" t="s">
        <v>283</v>
      </c>
      <c r="L386" s="1" t="s">
        <v>284</v>
      </c>
      <c r="M386" s="1" t="s">
        <v>285</v>
      </c>
      <c r="N386" s="1" t="s">
        <v>203</v>
      </c>
      <c r="O386" s="1" t="s">
        <v>204</v>
      </c>
      <c r="P386" s="1"/>
      <c r="Q386" s="1" t="s">
        <v>70</v>
      </c>
      <c r="U386" s="1" t="s">
        <v>1444</v>
      </c>
      <c r="Z386" s="1" t="s">
        <v>71</v>
      </c>
      <c r="AE386" s="1" t="s">
        <v>1435</v>
      </c>
      <c r="AH386" s="1" t="s">
        <v>73</v>
      </c>
      <c r="AK386" s="1" t="s">
        <v>71</v>
      </c>
      <c r="AM386" s="1" t="s">
        <v>71</v>
      </c>
      <c r="AN386" s="1" t="s">
        <v>71</v>
      </c>
      <c r="AS386" s="1" t="s">
        <v>71</v>
      </c>
      <c r="AX386" s="1" t="s">
        <v>71</v>
      </c>
      <c r="AY386" s="1" t="s">
        <v>59</v>
      </c>
      <c r="AZ386" s="1" t="s">
        <v>74</v>
      </c>
      <c r="BH386" s="1" t="s">
        <v>71</v>
      </c>
    </row>
    <row r="387" customFormat="false" ht="15" hidden="false" customHeight="false" outlineLevel="0" collapsed="false">
      <c r="A387" s="1" t="s">
        <v>1446</v>
      </c>
      <c r="B387" s="1" t="s">
        <v>1447</v>
      </c>
      <c r="C387" s="1" t="s">
        <v>343</v>
      </c>
      <c r="D387" s="1" t="s">
        <v>344</v>
      </c>
      <c r="E387" s="1" t="s">
        <v>59</v>
      </c>
      <c r="F387" s="1" t="s">
        <v>63</v>
      </c>
      <c r="G387" s="1" t="s">
        <v>59</v>
      </c>
      <c r="H387" s="1" t="s">
        <v>64</v>
      </c>
      <c r="K387" s="1" t="s">
        <v>82</v>
      </c>
      <c r="L387" s="1" t="s">
        <v>83</v>
      </c>
      <c r="M387" s="1" t="s">
        <v>1448</v>
      </c>
      <c r="N387" s="1" t="s">
        <v>85</v>
      </c>
      <c r="O387" s="1" t="s">
        <v>86</v>
      </c>
      <c r="P387" s="1"/>
      <c r="Q387" s="1" t="s">
        <v>70</v>
      </c>
      <c r="U387" s="1" t="s">
        <v>1446</v>
      </c>
      <c r="Z387" s="1" t="s">
        <v>71</v>
      </c>
      <c r="AE387" s="1" t="s">
        <v>1449</v>
      </c>
      <c r="AH387" s="1" t="s">
        <v>73</v>
      </c>
      <c r="AK387" s="1" t="s">
        <v>71</v>
      </c>
      <c r="AM387" s="1" t="s">
        <v>71</v>
      </c>
      <c r="AN387" s="1" t="s">
        <v>71</v>
      </c>
      <c r="AS387" s="1" t="s">
        <v>71</v>
      </c>
      <c r="AX387" s="1" t="s">
        <v>71</v>
      </c>
      <c r="AY387" s="1" t="s">
        <v>59</v>
      </c>
      <c r="AZ387" s="1" t="s">
        <v>74</v>
      </c>
      <c r="BH387" s="1" t="s">
        <v>71</v>
      </c>
    </row>
    <row r="388" customFormat="false" ht="15" hidden="false" customHeight="false" outlineLevel="0" collapsed="false">
      <c r="A388" s="1" t="s">
        <v>1450</v>
      </c>
      <c r="B388" s="1" t="s">
        <v>1451</v>
      </c>
      <c r="C388" s="1" t="s">
        <v>99</v>
      </c>
      <c r="D388" s="1" t="s">
        <v>100</v>
      </c>
      <c r="E388" s="1" t="s">
        <v>59</v>
      </c>
      <c r="F388" s="1" t="s">
        <v>63</v>
      </c>
      <c r="G388" s="1" t="s">
        <v>59</v>
      </c>
      <c r="H388" s="1" t="s">
        <v>64</v>
      </c>
      <c r="K388" s="1" t="s">
        <v>65</v>
      </c>
      <c r="L388" s="1" t="s">
        <v>66</v>
      </c>
      <c r="M388" s="1" t="s">
        <v>382</v>
      </c>
      <c r="N388" s="1" t="s">
        <v>68</v>
      </c>
      <c r="O388" s="1" t="s">
        <v>69</v>
      </c>
      <c r="P388" s="1"/>
      <c r="Q388" s="1" t="s">
        <v>70</v>
      </c>
      <c r="U388" s="1" t="s">
        <v>1450</v>
      </c>
      <c r="Z388" s="1" t="s">
        <v>71</v>
      </c>
      <c r="AE388" s="1" t="s">
        <v>1452</v>
      </c>
      <c r="AH388" s="1" t="s">
        <v>73</v>
      </c>
      <c r="AK388" s="1" t="s">
        <v>71</v>
      </c>
      <c r="AM388" s="1" t="s">
        <v>71</v>
      </c>
      <c r="AN388" s="1" t="s">
        <v>71</v>
      </c>
      <c r="AS388" s="1" t="s">
        <v>71</v>
      </c>
      <c r="AX388" s="1" t="s">
        <v>71</v>
      </c>
      <c r="AY388" s="1" t="s">
        <v>59</v>
      </c>
      <c r="AZ388" s="1" t="s">
        <v>74</v>
      </c>
      <c r="BH388" s="1" t="s">
        <v>71</v>
      </c>
    </row>
    <row r="389" customFormat="false" ht="15" hidden="false" customHeight="false" outlineLevel="0" collapsed="false">
      <c r="A389" s="1" t="s">
        <v>1453</v>
      </c>
      <c r="B389" s="1" t="s">
        <v>1454</v>
      </c>
      <c r="C389" s="1" t="s">
        <v>99</v>
      </c>
      <c r="D389" s="1" t="s">
        <v>100</v>
      </c>
      <c r="E389" s="1" t="s">
        <v>59</v>
      </c>
      <c r="F389" s="1" t="s">
        <v>63</v>
      </c>
      <c r="G389" s="1" t="s">
        <v>59</v>
      </c>
      <c r="H389" s="1" t="s">
        <v>64</v>
      </c>
      <c r="K389" s="1" t="s">
        <v>61</v>
      </c>
      <c r="L389" s="1" t="s">
        <v>78</v>
      </c>
      <c r="M389" s="1" t="s">
        <v>1033</v>
      </c>
      <c r="N389" s="1" t="s">
        <v>79</v>
      </c>
      <c r="O389" s="1" t="s">
        <v>80</v>
      </c>
      <c r="P389" s="1"/>
      <c r="Q389" s="1" t="s">
        <v>70</v>
      </c>
      <c r="U389" s="1" t="s">
        <v>1453</v>
      </c>
      <c r="Z389" s="1" t="s">
        <v>71</v>
      </c>
      <c r="AE389" s="1" t="s">
        <v>1455</v>
      </c>
      <c r="AH389" s="1" t="s">
        <v>73</v>
      </c>
      <c r="AK389" s="1" t="s">
        <v>71</v>
      </c>
      <c r="AM389" s="1" t="s">
        <v>71</v>
      </c>
      <c r="AN389" s="1" t="s">
        <v>71</v>
      </c>
      <c r="AS389" s="1" t="s">
        <v>71</v>
      </c>
      <c r="AX389" s="1" t="s">
        <v>71</v>
      </c>
      <c r="AY389" s="1" t="s">
        <v>59</v>
      </c>
      <c r="AZ389" s="1" t="s">
        <v>74</v>
      </c>
      <c r="BH389" s="1" t="s">
        <v>71</v>
      </c>
    </row>
    <row r="390" customFormat="false" ht="15" hidden="false" customHeight="false" outlineLevel="0" collapsed="false">
      <c r="A390" s="1" t="s">
        <v>1456</v>
      </c>
      <c r="B390" s="1" t="s">
        <v>1457</v>
      </c>
      <c r="C390" s="1" t="s">
        <v>99</v>
      </c>
      <c r="D390" s="1" t="s">
        <v>100</v>
      </c>
      <c r="E390" s="1" t="s">
        <v>59</v>
      </c>
      <c r="F390" s="1" t="s">
        <v>63</v>
      </c>
      <c r="G390" s="1" t="s">
        <v>59</v>
      </c>
      <c r="H390" s="1" t="s">
        <v>64</v>
      </c>
      <c r="K390" s="1" t="s">
        <v>93</v>
      </c>
      <c r="L390" s="1" t="s">
        <v>95</v>
      </c>
      <c r="M390" s="1" t="s">
        <v>1458</v>
      </c>
      <c r="N390" s="1" t="s">
        <v>85</v>
      </c>
      <c r="O390" s="1" t="s">
        <v>86</v>
      </c>
      <c r="P390" s="1"/>
      <c r="Q390" s="1" t="s">
        <v>70</v>
      </c>
      <c r="U390" s="1" t="s">
        <v>1456</v>
      </c>
      <c r="Z390" s="1" t="s">
        <v>71</v>
      </c>
      <c r="AA390" s="1" t="s">
        <v>91</v>
      </c>
      <c r="AE390" s="1" t="s">
        <v>1459</v>
      </c>
      <c r="AH390" s="1" t="s">
        <v>73</v>
      </c>
      <c r="AK390" s="1" t="s">
        <v>71</v>
      </c>
      <c r="AM390" s="1" t="s">
        <v>71</v>
      </c>
      <c r="AN390" s="1" t="s">
        <v>71</v>
      </c>
      <c r="AS390" s="1" t="s">
        <v>71</v>
      </c>
      <c r="AX390" s="1" t="s">
        <v>71</v>
      </c>
      <c r="AY390" s="1" t="s">
        <v>59</v>
      </c>
      <c r="AZ390" s="1" t="s">
        <v>74</v>
      </c>
      <c r="BH390" s="1" t="s">
        <v>71</v>
      </c>
    </row>
    <row r="391" customFormat="false" ht="15" hidden="false" customHeight="false" outlineLevel="0" collapsed="false">
      <c r="A391" s="1" t="s">
        <v>1460</v>
      </c>
      <c r="B391" s="1" t="s">
        <v>1461</v>
      </c>
      <c r="C391" s="1" t="s">
        <v>99</v>
      </c>
      <c r="D391" s="1" t="s">
        <v>100</v>
      </c>
      <c r="E391" s="1" t="s">
        <v>59</v>
      </c>
      <c r="F391" s="1" t="s">
        <v>63</v>
      </c>
      <c r="G391" s="1" t="s">
        <v>59</v>
      </c>
      <c r="H391" s="1" t="s">
        <v>64</v>
      </c>
      <c r="K391" s="1" t="s">
        <v>148</v>
      </c>
      <c r="L391" s="1" t="s">
        <v>149</v>
      </c>
      <c r="M391" s="1" t="s">
        <v>348</v>
      </c>
      <c r="N391" s="1" t="s">
        <v>85</v>
      </c>
      <c r="O391" s="1" t="s">
        <v>86</v>
      </c>
      <c r="P391" s="1"/>
      <c r="Q391" s="1" t="s">
        <v>70</v>
      </c>
      <c r="U391" s="1" t="s">
        <v>1460</v>
      </c>
      <c r="Z391" s="1" t="s">
        <v>71</v>
      </c>
      <c r="AA391" s="1" t="s">
        <v>91</v>
      </c>
      <c r="AE391" s="1" t="s">
        <v>1459</v>
      </c>
      <c r="AH391" s="1" t="s">
        <v>73</v>
      </c>
      <c r="AK391" s="1" t="s">
        <v>71</v>
      </c>
      <c r="AM391" s="1" t="s">
        <v>71</v>
      </c>
      <c r="AN391" s="1" t="s">
        <v>71</v>
      </c>
      <c r="AS391" s="1" t="s">
        <v>71</v>
      </c>
      <c r="AX391" s="1" t="s">
        <v>71</v>
      </c>
      <c r="AY391" s="1" t="s">
        <v>59</v>
      </c>
      <c r="AZ391" s="1" t="s">
        <v>74</v>
      </c>
      <c r="BH391" s="1" t="s">
        <v>71</v>
      </c>
    </row>
    <row r="392" customFormat="false" ht="15" hidden="false" customHeight="false" outlineLevel="0" collapsed="false">
      <c r="A392" s="1" t="s">
        <v>1462</v>
      </c>
      <c r="B392" s="1" t="s">
        <v>1463</v>
      </c>
      <c r="C392" s="1" t="s">
        <v>99</v>
      </c>
      <c r="D392" s="1" t="s">
        <v>100</v>
      </c>
      <c r="E392" s="1" t="s">
        <v>59</v>
      </c>
      <c r="F392" s="1" t="s">
        <v>63</v>
      </c>
      <c r="G392" s="1" t="s">
        <v>59</v>
      </c>
      <c r="H392" s="1" t="s">
        <v>64</v>
      </c>
      <c r="K392" s="1" t="s">
        <v>88</v>
      </c>
      <c r="L392" s="1" t="s">
        <v>89</v>
      </c>
      <c r="M392" s="1" t="s">
        <v>1321</v>
      </c>
      <c r="N392" s="1" t="s">
        <v>85</v>
      </c>
      <c r="O392" s="1" t="s">
        <v>86</v>
      </c>
      <c r="P392" s="1"/>
      <c r="Q392" s="1" t="s">
        <v>70</v>
      </c>
      <c r="U392" s="1" t="s">
        <v>1462</v>
      </c>
      <c r="Z392" s="1" t="s">
        <v>71</v>
      </c>
      <c r="AA392" s="1" t="s">
        <v>91</v>
      </c>
      <c r="AE392" s="1" t="s">
        <v>1459</v>
      </c>
      <c r="AH392" s="1" t="s">
        <v>73</v>
      </c>
      <c r="AK392" s="1" t="s">
        <v>71</v>
      </c>
      <c r="AM392" s="1" t="s">
        <v>71</v>
      </c>
      <c r="AN392" s="1" t="s">
        <v>71</v>
      </c>
      <c r="AS392" s="1" t="s">
        <v>71</v>
      </c>
      <c r="AX392" s="1" t="s">
        <v>71</v>
      </c>
      <c r="AY392" s="1" t="s">
        <v>59</v>
      </c>
      <c r="AZ392" s="1" t="s">
        <v>74</v>
      </c>
      <c r="BH392" s="1" t="s">
        <v>71</v>
      </c>
    </row>
    <row r="393" customFormat="false" ht="15" hidden="false" customHeight="false" outlineLevel="0" collapsed="false">
      <c r="A393" s="1" t="s">
        <v>1464</v>
      </c>
      <c r="B393" s="1" t="s">
        <v>1465</v>
      </c>
      <c r="C393" s="1" t="s">
        <v>318</v>
      </c>
      <c r="D393" s="1" t="s">
        <v>1466</v>
      </c>
      <c r="E393" s="1" t="s">
        <v>61</v>
      </c>
      <c r="F393" s="1" t="s">
        <v>101</v>
      </c>
      <c r="G393" s="1" t="s">
        <v>177</v>
      </c>
      <c r="H393" s="1" t="s">
        <v>255</v>
      </c>
      <c r="K393" s="1" t="s">
        <v>115</v>
      </c>
      <c r="L393" s="1" t="s">
        <v>1236</v>
      </c>
      <c r="M393" s="1" t="s">
        <v>296</v>
      </c>
      <c r="N393" s="1" t="s">
        <v>259</v>
      </c>
      <c r="O393" s="1" t="s">
        <v>260</v>
      </c>
      <c r="P393" s="1" t="e">
        <f aca="false">image("https://drive.google.com/uc?export=view&amp;id=1JF0hia8NRml-C8-kSTXEfZlmPfa3ypIn")</f>
        <v>#NAME?</v>
      </c>
      <c r="Q393" s="1" t="s">
        <v>205</v>
      </c>
      <c r="U393" s="1" t="s">
        <v>1464</v>
      </c>
      <c r="Z393" s="1" t="s">
        <v>71</v>
      </c>
      <c r="AE393" s="1" t="s">
        <v>1467</v>
      </c>
      <c r="AH393" s="1" t="s">
        <v>73</v>
      </c>
      <c r="AK393" s="1" t="s">
        <v>71</v>
      </c>
      <c r="AM393" s="1" t="s">
        <v>71</v>
      </c>
      <c r="AN393" s="1" t="s">
        <v>71</v>
      </c>
      <c r="AS393" s="1" t="s">
        <v>71</v>
      </c>
      <c r="AX393" s="1" t="s">
        <v>71</v>
      </c>
      <c r="AY393" s="1" t="s">
        <v>59</v>
      </c>
      <c r="AZ393" s="1" t="s">
        <v>74</v>
      </c>
      <c r="BH393" s="1" t="s">
        <v>71</v>
      </c>
    </row>
    <row r="394" customFormat="false" ht="15" hidden="false" customHeight="false" outlineLevel="0" collapsed="false">
      <c r="A394" s="1" t="s">
        <v>1468</v>
      </c>
      <c r="B394" s="1" t="s">
        <v>1469</v>
      </c>
      <c r="C394" s="1" t="s">
        <v>318</v>
      </c>
      <c r="D394" s="1" t="s">
        <v>1466</v>
      </c>
      <c r="E394" s="1" t="s">
        <v>61</v>
      </c>
      <c r="F394" s="1" t="s">
        <v>101</v>
      </c>
      <c r="G394" s="1" t="s">
        <v>275</v>
      </c>
      <c r="H394" s="1" t="s">
        <v>276</v>
      </c>
      <c r="K394" s="1" t="s">
        <v>142</v>
      </c>
      <c r="L394" s="1" t="s">
        <v>295</v>
      </c>
      <c r="M394" s="1" t="s">
        <v>296</v>
      </c>
      <c r="N394" s="1" t="s">
        <v>1470</v>
      </c>
      <c r="O394" s="1" t="s">
        <v>1471</v>
      </c>
      <c r="P394" s="1"/>
      <c r="Q394" s="1" t="s">
        <v>70</v>
      </c>
      <c r="U394" s="1" t="s">
        <v>1468</v>
      </c>
      <c r="Z394" s="1" t="s">
        <v>71</v>
      </c>
      <c r="AE394" s="1" t="s">
        <v>1467</v>
      </c>
      <c r="AH394" s="1" t="s">
        <v>73</v>
      </c>
      <c r="AK394" s="1" t="s">
        <v>71</v>
      </c>
      <c r="AM394" s="1" t="s">
        <v>71</v>
      </c>
      <c r="AN394" s="1" t="s">
        <v>71</v>
      </c>
      <c r="AS394" s="1" t="s">
        <v>71</v>
      </c>
      <c r="AX394" s="1" t="s">
        <v>71</v>
      </c>
      <c r="AY394" s="1" t="s">
        <v>59</v>
      </c>
      <c r="AZ394" s="1" t="s">
        <v>74</v>
      </c>
      <c r="BH394" s="1" t="s">
        <v>71</v>
      </c>
    </row>
    <row r="395" customFormat="false" ht="15" hidden="false" customHeight="false" outlineLevel="0" collapsed="false">
      <c r="A395" s="1" t="s">
        <v>1472</v>
      </c>
      <c r="B395" s="1" t="s">
        <v>1473</v>
      </c>
      <c r="C395" s="1" t="s">
        <v>99</v>
      </c>
      <c r="D395" s="1" t="s">
        <v>100</v>
      </c>
      <c r="E395" s="1" t="s">
        <v>59</v>
      </c>
      <c r="F395" s="1" t="s">
        <v>63</v>
      </c>
      <c r="G395" s="1" t="s">
        <v>59</v>
      </c>
      <c r="H395" s="1" t="s">
        <v>64</v>
      </c>
      <c r="K395" s="1" t="s">
        <v>82</v>
      </c>
      <c r="L395" s="1" t="s">
        <v>83</v>
      </c>
      <c r="M395" s="1" t="s">
        <v>1474</v>
      </c>
      <c r="N395" s="1" t="s">
        <v>85</v>
      </c>
      <c r="O395" s="1" t="s">
        <v>86</v>
      </c>
      <c r="P395" s="1"/>
      <c r="Q395" s="1" t="s">
        <v>70</v>
      </c>
      <c r="U395" s="1" t="s">
        <v>1472</v>
      </c>
      <c r="Z395" s="1" t="s">
        <v>71</v>
      </c>
      <c r="AE395" s="1" t="s">
        <v>1475</v>
      </c>
      <c r="AH395" s="1" t="s">
        <v>73</v>
      </c>
      <c r="AK395" s="1" t="s">
        <v>71</v>
      </c>
      <c r="AM395" s="1" t="s">
        <v>71</v>
      </c>
      <c r="AN395" s="1" t="s">
        <v>71</v>
      </c>
      <c r="AS395" s="1" t="s">
        <v>71</v>
      </c>
      <c r="AX395" s="1" t="s">
        <v>71</v>
      </c>
      <c r="AY395" s="1" t="s">
        <v>59</v>
      </c>
      <c r="AZ395" s="1" t="s">
        <v>74</v>
      </c>
      <c r="BH395" s="1" t="s">
        <v>71</v>
      </c>
    </row>
    <row r="396" customFormat="false" ht="15" hidden="false" customHeight="false" outlineLevel="0" collapsed="false">
      <c r="A396" s="1" t="s">
        <v>1476</v>
      </c>
      <c r="B396" s="1" t="s">
        <v>1477</v>
      </c>
      <c r="C396" s="1" t="s">
        <v>356</v>
      </c>
      <c r="D396" s="1" t="s">
        <v>1478</v>
      </c>
      <c r="E396" s="1" t="s">
        <v>61</v>
      </c>
      <c r="F396" s="1" t="s">
        <v>101</v>
      </c>
      <c r="G396" s="1" t="s">
        <v>275</v>
      </c>
      <c r="H396" s="1" t="s">
        <v>276</v>
      </c>
      <c r="K396" s="1" t="s">
        <v>1479</v>
      </c>
      <c r="L396" s="1" t="s">
        <v>1480</v>
      </c>
      <c r="M396" s="1" t="s">
        <v>1364</v>
      </c>
      <c r="N396" s="1" t="s">
        <v>279</v>
      </c>
      <c r="O396" s="1" t="s">
        <v>280</v>
      </c>
      <c r="P396" s="1"/>
      <c r="Q396" s="1" t="s">
        <v>70</v>
      </c>
      <c r="U396" s="1" t="s">
        <v>1476</v>
      </c>
      <c r="Z396" s="1" t="s">
        <v>71</v>
      </c>
      <c r="AE396" s="1" t="s">
        <v>1481</v>
      </c>
      <c r="AH396" s="1" t="s">
        <v>73</v>
      </c>
      <c r="AK396" s="1" t="s">
        <v>71</v>
      </c>
      <c r="AM396" s="1" t="s">
        <v>71</v>
      </c>
      <c r="AN396" s="1" t="s">
        <v>71</v>
      </c>
      <c r="AS396" s="1" t="s">
        <v>71</v>
      </c>
      <c r="AX396" s="1" t="s">
        <v>71</v>
      </c>
      <c r="AY396" s="1" t="s">
        <v>59</v>
      </c>
      <c r="AZ396" s="1" t="s">
        <v>74</v>
      </c>
      <c r="BH396" s="1" t="s">
        <v>71</v>
      </c>
    </row>
    <row r="397" customFormat="false" ht="15" hidden="false" customHeight="false" outlineLevel="0" collapsed="false">
      <c r="A397" s="1" t="s">
        <v>1482</v>
      </c>
      <c r="B397" s="1" t="s">
        <v>1483</v>
      </c>
      <c r="C397" s="1" t="s">
        <v>1412</v>
      </c>
      <c r="D397" s="1" t="s">
        <v>1413</v>
      </c>
      <c r="E397" s="1" t="s">
        <v>61</v>
      </c>
      <c r="F397" s="1" t="s">
        <v>101</v>
      </c>
      <c r="G397" s="1" t="s">
        <v>148</v>
      </c>
      <c r="H397" s="1" t="s">
        <v>231</v>
      </c>
      <c r="K397" s="1" t="s">
        <v>240</v>
      </c>
      <c r="L397" s="1" t="s">
        <v>241</v>
      </c>
      <c r="M397" s="1" t="s">
        <v>310</v>
      </c>
      <c r="N397" s="1" t="s">
        <v>243</v>
      </c>
      <c r="O397" s="1" t="s">
        <v>244</v>
      </c>
      <c r="P397" s="1"/>
      <c r="Q397" s="1" t="s">
        <v>70</v>
      </c>
      <c r="U397" s="1" t="s">
        <v>1482</v>
      </c>
      <c r="Z397" s="1" t="s">
        <v>71</v>
      </c>
      <c r="AE397" s="1" t="s">
        <v>1484</v>
      </c>
      <c r="AH397" s="1" t="s">
        <v>73</v>
      </c>
      <c r="AK397" s="1" t="s">
        <v>71</v>
      </c>
      <c r="AM397" s="1" t="s">
        <v>71</v>
      </c>
      <c r="AN397" s="1" t="s">
        <v>71</v>
      </c>
      <c r="AS397" s="1" t="s">
        <v>71</v>
      </c>
      <c r="AX397" s="1" t="s">
        <v>71</v>
      </c>
      <c r="AY397" s="1" t="s">
        <v>59</v>
      </c>
      <c r="AZ397" s="1" t="s">
        <v>74</v>
      </c>
      <c r="BH397" s="1" t="s">
        <v>71</v>
      </c>
    </row>
    <row r="398" customFormat="false" ht="15" hidden="false" customHeight="false" outlineLevel="0" collapsed="false">
      <c r="A398" s="1" t="s">
        <v>1485</v>
      </c>
      <c r="B398" s="1" t="s">
        <v>1486</v>
      </c>
      <c r="C398" s="1" t="s">
        <v>1487</v>
      </c>
      <c r="D398" s="1" t="s">
        <v>1488</v>
      </c>
      <c r="E398" s="1" t="s">
        <v>61</v>
      </c>
      <c r="F398" s="1" t="s">
        <v>101</v>
      </c>
      <c r="G398" s="1" t="s">
        <v>275</v>
      </c>
      <c r="H398" s="1" t="s">
        <v>276</v>
      </c>
      <c r="K398" s="1" t="s">
        <v>142</v>
      </c>
      <c r="L398" s="1" t="s">
        <v>295</v>
      </c>
      <c r="M398" s="1" t="s">
        <v>296</v>
      </c>
      <c r="N398" s="1" t="s">
        <v>279</v>
      </c>
      <c r="O398" s="1" t="s">
        <v>280</v>
      </c>
      <c r="P398" s="1"/>
      <c r="Q398" s="1" t="s">
        <v>70</v>
      </c>
      <c r="U398" s="1" t="s">
        <v>1485</v>
      </c>
      <c r="Z398" s="1" t="s">
        <v>71</v>
      </c>
      <c r="AE398" s="1" t="s">
        <v>1489</v>
      </c>
      <c r="AH398" s="1" t="s">
        <v>73</v>
      </c>
      <c r="AK398" s="1" t="s">
        <v>71</v>
      </c>
      <c r="AM398" s="1" t="s">
        <v>71</v>
      </c>
      <c r="AN398" s="1" t="s">
        <v>71</v>
      </c>
      <c r="AS398" s="1" t="s">
        <v>71</v>
      </c>
      <c r="AX398" s="1" t="s">
        <v>71</v>
      </c>
      <c r="AY398" s="1" t="s">
        <v>59</v>
      </c>
      <c r="AZ398" s="1" t="s">
        <v>74</v>
      </c>
      <c r="BH398" s="1" t="s">
        <v>71</v>
      </c>
    </row>
    <row r="399" customFormat="false" ht="15" hidden="false" customHeight="false" outlineLevel="0" collapsed="false">
      <c r="A399" s="1" t="s">
        <v>1490</v>
      </c>
      <c r="B399" s="1" t="s">
        <v>1491</v>
      </c>
      <c r="C399" s="1" t="s">
        <v>192</v>
      </c>
      <c r="D399" s="1" t="s">
        <v>193</v>
      </c>
      <c r="E399" s="1" t="s">
        <v>65</v>
      </c>
      <c r="F399" s="1" t="s">
        <v>119</v>
      </c>
      <c r="G399" s="1" t="s">
        <v>65</v>
      </c>
      <c r="H399" s="1" t="s">
        <v>64</v>
      </c>
      <c r="K399" s="1" t="s">
        <v>170</v>
      </c>
      <c r="L399" s="1" t="s">
        <v>171</v>
      </c>
      <c r="M399" s="1" t="s">
        <v>104</v>
      </c>
      <c r="N399" s="1" t="s">
        <v>123</v>
      </c>
      <c r="O399" s="1" t="s">
        <v>124</v>
      </c>
      <c r="P399" s="1"/>
      <c r="Q399" s="1" t="s">
        <v>70</v>
      </c>
      <c r="U399" s="1" t="s">
        <v>1490</v>
      </c>
      <c r="Z399" s="1" t="s">
        <v>71</v>
      </c>
      <c r="AE399" s="1" t="s">
        <v>1492</v>
      </c>
      <c r="AH399" s="1" t="s">
        <v>73</v>
      </c>
      <c r="AK399" s="1" t="s">
        <v>71</v>
      </c>
      <c r="AM399" s="1" t="s">
        <v>71</v>
      </c>
      <c r="AN399" s="1" t="s">
        <v>71</v>
      </c>
      <c r="AS399" s="1" t="s">
        <v>71</v>
      </c>
      <c r="AX399" s="1" t="s">
        <v>71</v>
      </c>
      <c r="AY399" s="1" t="s">
        <v>59</v>
      </c>
      <c r="AZ399" s="1" t="s">
        <v>74</v>
      </c>
      <c r="BH399" s="1" t="s">
        <v>71</v>
      </c>
    </row>
    <row r="400" customFormat="false" ht="15" hidden="false" customHeight="false" outlineLevel="0" collapsed="false">
      <c r="A400" s="1" t="s">
        <v>1493</v>
      </c>
      <c r="B400" s="1" t="s">
        <v>1494</v>
      </c>
      <c r="C400" s="1" t="s">
        <v>182</v>
      </c>
      <c r="D400" s="1" t="s">
        <v>239</v>
      </c>
      <c r="E400" s="1" t="s">
        <v>61</v>
      </c>
      <c r="F400" s="1" t="s">
        <v>101</v>
      </c>
      <c r="G400" s="1" t="s">
        <v>108</v>
      </c>
      <c r="H400" s="1" t="s">
        <v>1495</v>
      </c>
      <c r="K400" s="1" t="s">
        <v>180</v>
      </c>
      <c r="L400" s="1" t="s">
        <v>1496</v>
      </c>
      <c r="M400" s="1" t="s">
        <v>1497</v>
      </c>
      <c r="N400" s="1" t="s">
        <v>1498</v>
      </c>
      <c r="O400" s="1" t="s">
        <v>1499</v>
      </c>
      <c r="P400" s="1"/>
      <c r="Q400" s="1" t="s">
        <v>70</v>
      </c>
      <c r="U400" s="1" t="s">
        <v>245</v>
      </c>
      <c r="Z400" s="1" t="s">
        <v>71</v>
      </c>
      <c r="AA400" s="1" t="s">
        <v>91</v>
      </c>
      <c r="AE400" s="1" t="s">
        <v>1500</v>
      </c>
      <c r="AH400" s="1" t="s">
        <v>73</v>
      </c>
      <c r="AK400" s="1" t="s">
        <v>71</v>
      </c>
      <c r="AM400" s="1" t="s">
        <v>71</v>
      </c>
      <c r="AN400" s="1" t="s">
        <v>71</v>
      </c>
      <c r="AS400" s="1" t="s">
        <v>71</v>
      </c>
      <c r="AX400" s="1" t="s">
        <v>71</v>
      </c>
      <c r="AY400" s="1" t="s">
        <v>59</v>
      </c>
      <c r="AZ400" s="1" t="s">
        <v>74</v>
      </c>
      <c r="BH400" s="1" t="s">
        <v>71</v>
      </c>
    </row>
    <row r="401" customFormat="false" ht="15" hidden="false" customHeight="false" outlineLevel="0" collapsed="false">
      <c r="A401" s="1" t="s">
        <v>1501</v>
      </c>
      <c r="B401" s="1" t="s">
        <v>1502</v>
      </c>
      <c r="C401" s="1" t="s">
        <v>1399</v>
      </c>
      <c r="D401" s="1" t="s">
        <v>1400</v>
      </c>
      <c r="E401" s="1" t="s">
        <v>88</v>
      </c>
      <c r="F401" s="1" t="s">
        <v>432</v>
      </c>
      <c r="G401" s="1" t="s">
        <v>229</v>
      </c>
      <c r="H401" s="1" t="s">
        <v>495</v>
      </c>
      <c r="K401" s="1" t="s">
        <v>501</v>
      </c>
      <c r="L401" s="1" t="s">
        <v>502</v>
      </c>
      <c r="M401" s="1" t="s">
        <v>59</v>
      </c>
      <c r="N401" s="1" t="s">
        <v>1503</v>
      </c>
      <c r="O401" s="1" t="s">
        <v>447</v>
      </c>
      <c r="P401" s="1"/>
      <c r="Q401" s="1" t="s">
        <v>70</v>
      </c>
      <c r="U401" s="1" t="s">
        <v>1501</v>
      </c>
      <c r="Z401" s="1" t="s">
        <v>71</v>
      </c>
      <c r="AE401" s="1" t="s">
        <v>1504</v>
      </c>
      <c r="AH401" s="1" t="s">
        <v>73</v>
      </c>
      <c r="AK401" s="1" t="s">
        <v>71</v>
      </c>
      <c r="AM401" s="1" t="s">
        <v>71</v>
      </c>
      <c r="AN401" s="1" t="s">
        <v>71</v>
      </c>
      <c r="AS401" s="1" t="s">
        <v>71</v>
      </c>
      <c r="AX401" s="1" t="s">
        <v>71</v>
      </c>
      <c r="BH401" s="1" t="s">
        <v>71</v>
      </c>
    </row>
    <row r="402" customFormat="false" ht="15" hidden="false" customHeight="false" outlineLevel="0" collapsed="false">
      <c r="A402" s="1" t="s">
        <v>1505</v>
      </c>
      <c r="B402" s="1" t="s">
        <v>1506</v>
      </c>
      <c r="C402" s="1" t="s">
        <v>1399</v>
      </c>
      <c r="D402" s="1" t="s">
        <v>1400</v>
      </c>
      <c r="E402" s="1" t="s">
        <v>88</v>
      </c>
      <c r="F402" s="1" t="s">
        <v>432</v>
      </c>
      <c r="G402" s="1" t="s">
        <v>229</v>
      </c>
      <c r="H402" s="1" t="s">
        <v>495</v>
      </c>
      <c r="K402" s="1" t="s">
        <v>501</v>
      </c>
      <c r="L402" s="1" t="s">
        <v>502</v>
      </c>
      <c r="M402" s="1" t="s">
        <v>59</v>
      </c>
      <c r="N402" s="1" t="s">
        <v>1503</v>
      </c>
      <c r="O402" s="1" t="s">
        <v>447</v>
      </c>
      <c r="P402" s="1"/>
      <c r="Q402" s="1" t="s">
        <v>70</v>
      </c>
      <c r="U402" s="1" t="s">
        <v>1505</v>
      </c>
      <c r="Z402" s="1" t="s">
        <v>71</v>
      </c>
      <c r="AE402" s="1" t="s">
        <v>1504</v>
      </c>
      <c r="AH402" s="1" t="s">
        <v>73</v>
      </c>
      <c r="AK402" s="1" t="s">
        <v>71</v>
      </c>
      <c r="AM402" s="1" t="s">
        <v>71</v>
      </c>
      <c r="AN402" s="1" t="s">
        <v>71</v>
      </c>
      <c r="AS402" s="1" t="s">
        <v>71</v>
      </c>
      <c r="AX402" s="1" t="s">
        <v>71</v>
      </c>
      <c r="BH402" s="1" t="s">
        <v>71</v>
      </c>
    </row>
    <row r="403" customFormat="false" ht="15" hidden="false" customHeight="false" outlineLevel="0" collapsed="false">
      <c r="A403" s="1" t="s">
        <v>1507</v>
      </c>
      <c r="B403" s="1" t="s">
        <v>1508</v>
      </c>
      <c r="C403" s="1" t="s">
        <v>1412</v>
      </c>
      <c r="D403" s="1" t="s">
        <v>1413</v>
      </c>
      <c r="E403" s="1" t="s">
        <v>65</v>
      </c>
      <c r="F403" s="1" t="s">
        <v>119</v>
      </c>
      <c r="G403" s="1" t="s">
        <v>61</v>
      </c>
      <c r="H403" s="1" t="s">
        <v>231</v>
      </c>
      <c r="K403" s="1" t="s">
        <v>1385</v>
      </c>
      <c r="L403" s="1" t="s">
        <v>1386</v>
      </c>
      <c r="M403" s="1" t="s">
        <v>296</v>
      </c>
      <c r="N403" s="1" t="s">
        <v>1388</v>
      </c>
      <c r="O403" s="1" t="s">
        <v>1389</v>
      </c>
      <c r="P403" s="1" t="e">
        <f aca="false">image("https://drive.google.com/uc?export=view&amp;id=1_afkc9_gtEFdZZ2dFjwee7LX9pBS4cUL")</f>
        <v>#NAME?</v>
      </c>
      <c r="Q403" s="1" t="s">
        <v>205</v>
      </c>
      <c r="U403" s="1" t="s">
        <v>1507</v>
      </c>
      <c r="Z403" s="1" t="s">
        <v>71</v>
      </c>
      <c r="AE403" s="1" t="s">
        <v>1509</v>
      </c>
      <c r="AH403" s="1" t="s">
        <v>73</v>
      </c>
      <c r="AK403" s="1" t="s">
        <v>71</v>
      </c>
      <c r="AM403" s="1" t="s">
        <v>71</v>
      </c>
      <c r="AN403" s="1" t="s">
        <v>71</v>
      </c>
      <c r="AS403" s="1" t="s">
        <v>71</v>
      </c>
      <c r="AX403" s="1" t="s">
        <v>71</v>
      </c>
      <c r="AY403" s="1" t="s">
        <v>59</v>
      </c>
      <c r="AZ403" s="1" t="s">
        <v>74</v>
      </c>
      <c r="BH403" s="1" t="s">
        <v>71</v>
      </c>
    </row>
    <row r="404" customFormat="false" ht="15" hidden="false" customHeight="false" outlineLevel="0" collapsed="false">
      <c r="A404" s="1" t="s">
        <v>1510</v>
      </c>
      <c r="B404" s="1" t="s">
        <v>1511</v>
      </c>
      <c r="C404" s="1" t="s">
        <v>222</v>
      </c>
      <c r="D404" s="1" t="s">
        <v>223</v>
      </c>
      <c r="E404" s="1" t="s">
        <v>61</v>
      </c>
      <c r="F404" s="1" t="s">
        <v>101</v>
      </c>
      <c r="G404" s="1" t="s">
        <v>93</v>
      </c>
      <c r="H404" s="1" t="s">
        <v>64</v>
      </c>
      <c r="K404" s="1" t="s">
        <v>224</v>
      </c>
      <c r="L404" s="1" t="s">
        <v>225</v>
      </c>
      <c r="M404" s="1" t="s">
        <v>1512</v>
      </c>
      <c r="N404" s="1" t="s">
        <v>105</v>
      </c>
      <c r="O404" s="1" t="s">
        <v>106</v>
      </c>
      <c r="P404" s="1"/>
      <c r="Q404" s="1" t="s">
        <v>70</v>
      </c>
      <c r="U404" s="1" t="s">
        <v>1510</v>
      </c>
      <c r="Z404" s="1" t="s">
        <v>71</v>
      </c>
      <c r="AE404" s="1" t="s">
        <v>1513</v>
      </c>
      <c r="AH404" s="1" t="s">
        <v>73</v>
      </c>
      <c r="AK404" s="1" t="s">
        <v>71</v>
      </c>
      <c r="AM404" s="1" t="s">
        <v>71</v>
      </c>
      <c r="AN404" s="1" t="s">
        <v>71</v>
      </c>
      <c r="AS404" s="1" t="s">
        <v>71</v>
      </c>
      <c r="AX404" s="1" t="s">
        <v>71</v>
      </c>
      <c r="AY404" s="1" t="s">
        <v>59</v>
      </c>
      <c r="AZ404" s="1" t="s">
        <v>74</v>
      </c>
      <c r="BH404" s="1" t="s">
        <v>71</v>
      </c>
    </row>
    <row r="405" customFormat="false" ht="15" hidden="false" customHeight="false" outlineLevel="0" collapsed="false">
      <c r="A405" s="1" t="s">
        <v>1514</v>
      </c>
      <c r="B405" s="1" t="s">
        <v>1515</v>
      </c>
      <c r="C405" s="1" t="s">
        <v>288</v>
      </c>
      <c r="D405" s="1" t="s">
        <v>289</v>
      </c>
      <c r="E405" s="1" t="s">
        <v>61</v>
      </c>
      <c r="F405" s="1" t="s">
        <v>101</v>
      </c>
      <c r="G405" s="1" t="s">
        <v>93</v>
      </c>
      <c r="H405" s="1" t="s">
        <v>64</v>
      </c>
      <c r="K405" s="1" t="s">
        <v>229</v>
      </c>
      <c r="L405" s="1" t="s">
        <v>605</v>
      </c>
      <c r="M405" s="1" t="s">
        <v>104</v>
      </c>
      <c r="N405" s="1" t="s">
        <v>105</v>
      </c>
      <c r="O405" s="1" t="s">
        <v>106</v>
      </c>
      <c r="P405" s="1" t="e">
        <f aca="false">image("https://drive.google.com/uc?export=view&amp;id=1oxcNTdWaYQDZK5163zCyUf9LO6aUdo5j")</f>
        <v>#NAME?</v>
      </c>
      <c r="Q405" s="1" t="s">
        <v>205</v>
      </c>
      <c r="U405" s="1" t="s">
        <v>1514</v>
      </c>
      <c r="Z405" s="1" t="s">
        <v>71</v>
      </c>
      <c r="AE405" s="1" t="s">
        <v>1516</v>
      </c>
      <c r="AH405" s="1" t="s">
        <v>73</v>
      </c>
      <c r="AK405" s="1" t="s">
        <v>71</v>
      </c>
      <c r="AM405" s="1" t="s">
        <v>71</v>
      </c>
      <c r="AN405" s="1" t="s">
        <v>71</v>
      </c>
      <c r="AS405" s="1" t="s">
        <v>71</v>
      </c>
      <c r="AX405" s="1" t="s">
        <v>71</v>
      </c>
      <c r="AY405" s="1" t="s">
        <v>59</v>
      </c>
      <c r="AZ405" s="1" t="s">
        <v>74</v>
      </c>
      <c r="BH405" s="1" t="s">
        <v>71</v>
      </c>
    </row>
    <row r="406" customFormat="false" ht="15" hidden="false" customHeight="false" outlineLevel="0" collapsed="false">
      <c r="A406" s="1" t="s">
        <v>1517</v>
      </c>
      <c r="B406" s="1" t="s">
        <v>1518</v>
      </c>
      <c r="C406" s="1" t="s">
        <v>288</v>
      </c>
      <c r="D406" s="1" t="s">
        <v>289</v>
      </c>
      <c r="E406" s="1" t="s">
        <v>61</v>
      </c>
      <c r="F406" s="1" t="s">
        <v>101</v>
      </c>
      <c r="G406" s="1" t="s">
        <v>93</v>
      </c>
      <c r="H406" s="1" t="s">
        <v>64</v>
      </c>
      <c r="K406" s="1" t="s">
        <v>184</v>
      </c>
      <c r="L406" s="1" t="s">
        <v>194</v>
      </c>
      <c r="M406" s="1" t="s">
        <v>104</v>
      </c>
      <c r="N406" s="1" t="s">
        <v>105</v>
      </c>
      <c r="O406" s="1" t="s">
        <v>106</v>
      </c>
      <c r="P406" s="1"/>
      <c r="Q406" s="1" t="s">
        <v>70</v>
      </c>
      <c r="U406" s="1" t="s">
        <v>1517</v>
      </c>
      <c r="Z406" s="1" t="s">
        <v>71</v>
      </c>
      <c r="AE406" s="1" t="s">
        <v>1516</v>
      </c>
      <c r="AH406" s="1" t="s">
        <v>73</v>
      </c>
      <c r="AK406" s="1" t="s">
        <v>71</v>
      </c>
      <c r="AM406" s="1" t="s">
        <v>71</v>
      </c>
      <c r="AN406" s="1" t="s">
        <v>71</v>
      </c>
      <c r="AS406" s="1" t="s">
        <v>71</v>
      </c>
      <c r="AX406" s="1" t="s">
        <v>71</v>
      </c>
      <c r="AY406" s="1" t="s">
        <v>59</v>
      </c>
      <c r="AZ406" s="1" t="s">
        <v>74</v>
      </c>
      <c r="BH406" s="1" t="s">
        <v>71</v>
      </c>
    </row>
    <row r="407" customFormat="false" ht="15" hidden="false" customHeight="false" outlineLevel="0" collapsed="false">
      <c r="A407" s="1" t="s">
        <v>1519</v>
      </c>
      <c r="B407" s="1" t="s">
        <v>1520</v>
      </c>
      <c r="C407" s="1" t="s">
        <v>288</v>
      </c>
      <c r="D407" s="1" t="s">
        <v>289</v>
      </c>
      <c r="E407" s="1" t="s">
        <v>61</v>
      </c>
      <c r="F407" s="1" t="s">
        <v>101</v>
      </c>
      <c r="G407" s="1" t="s">
        <v>93</v>
      </c>
      <c r="H407" s="1" t="s">
        <v>64</v>
      </c>
      <c r="K407" s="1" t="s">
        <v>163</v>
      </c>
      <c r="L407" s="1" t="s">
        <v>164</v>
      </c>
      <c r="M407" s="1" t="s">
        <v>104</v>
      </c>
      <c r="N407" s="1" t="s">
        <v>166</v>
      </c>
      <c r="O407" s="1" t="s">
        <v>167</v>
      </c>
      <c r="P407" s="1"/>
      <c r="Q407" s="1" t="s">
        <v>70</v>
      </c>
      <c r="U407" s="1" t="s">
        <v>1519</v>
      </c>
      <c r="Z407" s="1" t="s">
        <v>71</v>
      </c>
      <c r="AE407" s="1" t="s">
        <v>1516</v>
      </c>
      <c r="AH407" s="1" t="s">
        <v>73</v>
      </c>
      <c r="AK407" s="1" t="s">
        <v>71</v>
      </c>
      <c r="AM407" s="1" t="s">
        <v>71</v>
      </c>
      <c r="AN407" s="1" t="s">
        <v>71</v>
      </c>
      <c r="AS407" s="1" t="s">
        <v>71</v>
      </c>
      <c r="AX407" s="1" t="s">
        <v>71</v>
      </c>
      <c r="AY407" s="1" t="s">
        <v>59</v>
      </c>
      <c r="AZ407" s="1" t="s">
        <v>74</v>
      </c>
      <c r="BH407" s="1" t="s">
        <v>71</v>
      </c>
    </row>
    <row r="408" customFormat="false" ht="15" hidden="false" customHeight="false" outlineLevel="0" collapsed="false">
      <c r="A408" s="1" t="s">
        <v>1521</v>
      </c>
      <c r="B408" s="1" t="s">
        <v>1522</v>
      </c>
      <c r="C408" s="1" t="s">
        <v>288</v>
      </c>
      <c r="D408" s="1" t="s">
        <v>289</v>
      </c>
      <c r="E408" s="1" t="s">
        <v>61</v>
      </c>
      <c r="F408" s="1" t="s">
        <v>101</v>
      </c>
      <c r="G408" s="1" t="s">
        <v>93</v>
      </c>
      <c r="H408" s="1" t="s">
        <v>64</v>
      </c>
      <c r="K408" s="1" t="s">
        <v>1092</v>
      </c>
      <c r="L408" s="1" t="s">
        <v>1093</v>
      </c>
      <c r="M408" s="1" t="s">
        <v>104</v>
      </c>
      <c r="N408" s="1" t="s">
        <v>105</v>
      </c>
      <c r="O408" s="1" t="s">
        <v>106</v>
      </c>
      <c r="P408" s="1"/>
      <c r="Q408" s="1" t="s">
        <v>70</v>
      </c>
      <c r="U408" s="1" t="s">
        <v>1521</v>
      </c>
      <c r="Z408" s="1" t="s">
        <v>71</v>
      </c>
      <c r="AE408" s="1" t="s">
        <v>1516</v>
      </c>
      <c r="AH408" s="1" t="s">
        <v>73</v>
      </c>
      <c r="AK408" s="1" t="s">
        <v>71</v>
      </c>
      <c r="AM408" s="1" t="s">
        <v>71</v>
      </c>
      <c r="AN408" s="1" t="s">
        <v>71</v>
      </c>
      <c r="AS408" s="1" t="s">
        <v>71</v>
      </c>
      <c r="AX408" s="1" t="s">
        <v>71</v>
      </c>
      <c r="AY408" s="1" t="s">
        <v>59</v>
      </c>
      <c r="AZ408" s="1" t="s">
        <v>74</v>
      </c>
      <c r="BH408" s="1" t="s">
        <v>71</v>
      </c>
    </row>
    <row r="409" customFormat="false" ht="15" hidden="false" customHeight="false" outlineLevel="0" collapsed="false">
      <c r="A409" s="1" t="s">
        <v>1523</v>
      </c>
      <c r="B409" s="1" t="s">
        <v>1524</v>
      </c>
      <c r="C409" s="1" t="s">
        <v>1412</v>
      </c>
      <c r="D409" s="1" t="s">
        <v>1413</v>
      </c>
      <c r="E409" s="1" t="s">
        <v>61</v>
      </c>
      <c r="F409" s="1" t="s">
        <v>101</v>
      </c>
      <c r="G409" s="1" t="s">
        <v>148</v>
      </c>
      <c r="H409" s="1" t="s">
        <v>231</v>
      </c>
      <c r="K409" s="1" t="s">
        <v>1419</v>
      </c>
      <c r="L409" s="1" t="s">
        <v>1420</v>
      </c>
      <c r="M409" s="1" t="s">
        <v>1525</v>
      </c>
      <c r="N409" s="1" t="s">
        <v>243</v>
      </c>
      <c r="O409" s="1" t="s">
        <v>244</v>
      </c>
      <c r="P409" s="1"/>
      <c r="Q409" s="1" t="s">
        <v>70</v>
      </c>
      <c r="U409" s="1" t="s">
        <v>1523</v>
      </c>
      <c r="Z409" s="1" t="s">
        <v>71</v>
      </c>
      <c r="AE409" s="1" t="s">
        <v>1526</v>
      </c>
      <c r="AH409" s="1" t="s">
        <v>73</v>
      </c>
      <c r="AK409" s="1" t="s">
        <v>71</v>
      </c>
      <c r="AM409" s="1" t="s">
        <v>71</v>
      </c>
      <c r="AN409" s="1" t="s">
        <v>71</v>
      </c>
      <c r="AS409" s="1" t="s">
        <v>71</v>
      </c>
      <c r="AX409" s="1" t="s">
        <v>71</v>
      </c>
      <c r="AY409" s="1" t="s">
        <v>59</v>
      </c>
      <c r="AZ409" s="1" t="s">
        <v>74</v>
      </c>
      <c r="BH409" s="1" t="s">
        <v>71</v>
      </c>
    </row>
    <row r="410" customFormat="false" ht="15" hidden="false" customHeight="false" outlineLevel="0" collapsed="false">
      <c r="A410" s="1" t="s">
        <v>1527</v>
      </c>
      <c r="B410" s="1" t="s">
        <v>1528</v>
      </c>
      <c r="C410" s="1" t="s">
        <v>1412</v>
      </c>
      <c r="D410" s="1" t="s">
        <v>1413</v>
      </c>
      <c r="E410" s="1" t="s">
        <v>65</v>
      </c>
      <c r="F410" s="1" t="s">
        <v>119</v>
      </c>
      <c r="G410" s="1" t="s">
        <v>61</v>
      </c>
      <c r="H410" s="1" t="s">
        <v>231</v>
      </c>
      <c r="K410" s="1" t="s">
        <v>372</v>
      </c>
      <c r="L410" s="1" t="s">
        <v>373</v>
      </c>
      <c r="M410" s="1" t="s">
        <v>278</v>
      </c>
      <c r="N410" s="1" t="s">
        <v>375</v>
      </c>
      <c r="O410" s="1" t="s">
        <v>376</v>
      </c>
      <c r="P410" s="1"/>
      <c r="Q410" s="1" t="s">
        <v>70</v>
      </c>
      <c r="U410" s="1" t="s">
        <v>1527</v>
      </c>
      <c r="Z410" s="1" t="s">
        <v>71</v>
      </c>
      <c r="AE410" s="1" t="s">
        <v>1526</v>
      </c>
      <c r="AH410" s="1" t="s">
        <v>73</v>
      </c>
      <c r="AK410" s="1" t="s">
        <v>71</v>
      </c>
      <c r="AM410" s="1" t="s">
        <v>71</v>
      </c>
      <c r="AN410" s="1" t="s">
        <v>71</v>
      </c>
      <c r="AS410" s="1" t="s">
        <v>71</v>
      </c>
      <c r="AX410" s="1" t="s">
        <v>71</v>
      </c>
      <c r="AY410" s="1" t="s">
        <v>59</v>
      </c>
      <c r="AZ410" s="1" t="s">
        <v>74</v>
      </c>
      <c r="BH410" s="1" t="s">
        <v>71</v>
      </c>
    </row>
    <row r="411" customFormat="false" ht="15" hidden="false" customHeight="false" outlineLevel="0" collapsed="false">
      <c r="A411" s="1" t="s">
        <v>1529</v>
      </c>
      <c r="B411" s="1" t="s">
        <v>1530</v>
      </c>
      <c r="C411" s="1" t="s">
        <v>1412</v>
      </c>
      <c r="D411" s="1" t="s">
        <v>1413</v>
      </c>
      <c r="E411" s="1" t="s">
        <v>65</v>
      </c>
      <c r="F411" s="1" t="s">
        <v>119</v>
      </c>
      <c r="G411" s="1" t="s">
        <v>61</v>
      </c>
      <c r="H411" s="1" t="s">
        <v>231</v>
      </c>
      <c r="K411" s="1" t="s">
        <v>175</v>
      </c>
      <c r="L411" s="1" t="s">
        <v>1531</v>
      </c>
      <c r="M411" s="1" t="s">
        <v>310</v>
      </c>
      <c r="N411" s="1" t="s">
        <v>1532</v>
      </c>
      <c r="O411" s="1" t="s">
        <v>1533</v>
      </c>
      <c r="P411" s="1"/>
      <c r="Q411" s="1" t="s">
        <v>70</v>
      </c>
      <c r="U411" s="1" t="s">
        <v>1529</v>
      </c>
      <c r="Z411" s="1" t="s">
        <v>71</v>
      </c>
      <c r="AE411" s="1" t="s">
        <v>1526</v>
      </c>
      <c r="AH411" s="1" t="s">
        <v>73</v>
      </c>
      <c r="AK411" s="1" t="s">
        <v>71</v>
      </c>
      <c r="AM411" s="1" t="s">
        <v>71</v>
      </c>
      <c r="AN411" s="1" t="s">
        <v>71</v>
      </c>
      <c r="AS411" s="1" t="s">
        <v>71</v>
      </c>
      <c r="AX411" s="1" t="s">
        <v>71</v>
      </c>
      <c r="AY411" s="1" t="s">
        <v>59</v>
      </c>
      <c r="AZ411" s="1" t="s">
        <v>74</v>
      </c>
      <c r="BH411" s="1" t="s">
        <v>71</v>
      </c>
    </row>
    <row r="412" customFormat="false" ht="15" hidden="false" customHeight="false" outlineLevel="0" collapsed="false">
      <c r="A412" s="1" t="s">
        <v>1534</v>
      </c>
      <c r="B412" s="1" t="s">
        <v>1535</v>
      </c>
      <c r="C412" s="1" t="s">
        <v>99</v>
      </c>
      <c r="D412" s="1" t="s">
        <v>100</v>
      </c>
      <c r="E412" s="1" t="s">
        <v>61</v>
      </c>
      <c r="F412" s="1" t="s">
        <v>101</v>
      </c>
      <c r="G412" s="1" t="s">
        <v>93</v>
      </c>
      <c r="H412" s="1" t="s">
        <v>64</v>
      </c>
      <c r="K412" s="1" t="s">
        <v>163</v>
      </c>
      <c r="L412" s="1" t="s">
        <v>164</v>
      </c>
      <c r="M412" s="1" t="s">
        <v>104</v>
      </c>
      <c r="N412" s="1" t="s">
        <v>166</v>
      </c>
      <c r="O412" s="1" t="s">
        <v>167</v>
      </c>
      <c r="P412" s="1"/>
      <c r="Q412" s="1" t="s">
        <v>70</v>
      </c>
      <c r="U412" s="1" t="s">
        <v>1534</v>
      </c>
      <c r="Z412" s="1" t="s">
        <v>71</v>
      </c>
      <c r="AE412" s="1" t="s">
        <v>1536</v>
      </c>
      <c r="AH412" s="1" t="s">
        <v>73</v>
      </c>
      <c r="AK412" s="1" t="s">
        <v>71</v>
      </c>
      <c r="AM412" s="1" t="s">
        <v>71</v>
      </c>
      <c r="AN412" s="1" t="s">
        <v>71</v>
      </c>
      <c r="AS412" s="1" t="s">
        <v>71</v>
      </c>
      <c r="AX412" s="1" t="s">
        <v>71</v>
      </c>
      <c r="AY412" s="1" t="s">
        <v>59</v>
      </c>
      <c r="AZ412" s="1" t="s">
        <v>74</v>
      </c>
      <c r="BH412" s="1" t="s">
        <v>71</v>
      </c>
    </row>
    <row r="413" customFormat="false" ht="15" hidden="false" customHeight="false" outlineLevel="0" collapsed="false">
      <c r="A413" s="1" t="s">
        <v>1537</v>
      </c>
      <c r="B413" s="1" t="s">
        <v>1538</v>
      </c>
      <c r="C413" s="1" t="s">
        <v>192</v>
      </c>
      <c r="D413" s="1" t="s">
        <v>193</v>
      </c>
      <c r="E413" s="1" t="s">
        <v>61</v>
      </c>
      <c r="F413" s="1" t="s">
        <v>101</v>
      </c>
      <c r="G413" s="1" t="s">
        <v>93</v>
      </c>
      <c r="H413" s="1" t="s">
        <v>64</v>
      </c>
      <c r="K413" s="1" t="s">
        <v>112</v>
      </c>
      <c r="L413" s="1" t="s">
        <v>113</v>
      </c>
      <c r="M413" s="1" t="s">
        <v>122</v>
      </c>
      <c r="N413" s="1" t="s">
        <v>105</v>
      </c>
      <c r="O413" s="1" t="s">
        <v>106</v>
      </c>
      <c r="P413" s="1"/>
      <c r="Q413" s="1" t="s">
        <v>70</v>
      </c>
      <c r="U413" s="1" t="s">
        <v>1537</v>
      </c>
      <c r="Z413" s="1" t="s">
        <v>71</v>
      </c>
      <c r="AE413" s="1" t="s">
        <v>1539</v>
      </c>
      <c r="AH413" s="1" t="s">
        <v>73</v>
      </c>
      <c r="AK413" s="1" t="s">
        <v>71</v>
      </c>
      <c r="AM413" s="1" t="s">
        <v>71</v>
      </c>
      <c r="AN413" s="1" t="s">
        <v>71</v>
      </c>
      <c r="AS413" s="1" t="s">
        <v>71</v>
      </c>
      <c r="AX413" s="1" t="s">
        <v>71</v>
      </c>
      <c r="AY413" s="1" t="s">
        <v>59</v>
      </c>
      <c r="AZ413" s="1" t="s">
        <v>74</v>
      </c>
      <c r="BH413" s="1" t="s">
        <v>71</v>
      </c>
    </row>
    <row r="414" customFormat="false" ht="15" hidden="false" customHeight="false" outlineLevel="0" collapsed="false">
      <c r="A414" s="1" t="s">
        <v>1540</v>
      </c>
      <c r="B414" s="1" t="s">
        <v>1541</v>
      </c>
      <c r="C414" s="1" t="s">
        <v>288</v>
      </c>
      <c r="D414" s="1" t="s">
        <v>289</v>
      </c>
      <c r="E414" s="1" t="s">
        <v>61</v>
      </c>
      <c r="F414" s="1" t="s">
        <v>101</v>
      </c>
      <c r="G414" s="1" t="s">
        <v>93</v>
      </c>
      <c r="H414" s="1" t="s">
        <v>64</v>
      </c>
      <c r="K414" s="1" t="s">
        <v>195</v>
      </c>
      <c r="L414" s="1" t="s">
        <v>1542</v>
      </c>
      <c r="M414" s="1" t="s">
        <v>104</v>
      </c>
      <c r="N414" s="1" t="s">
        <v>1177</v>
      </c>
      <c r="O414" s="1" t="s">
        <v>1178</v>
      </c>
      <c r="P414" s="1"/>
      <c r="Q414" s="1" t="s">
        <v>70</v>
      </c>
      <c r="U414" s="1" t="s">
        <v>1540</v>
      </c>
      <c r="Z414" s="1" t="s">
        <v>71</v>
      </c>
      <c r="AE414" s="1" t="s">
        <v>1543</v>
      </c>
      <c r="AH414" s="1" t="s">
        <v>73</v>
      </c>
      <c r="AK414" s="1" t="s">
        <v>71</v>
      </c>
      <c r="AM414" s="1" t="s">
        <v>71</v>
      </c>
      <c r="AN414" s="1" t="s">
        <v>71</v>
      </c>
      <c r="AS414" s="1" t="s">
        <v>71</v>
      </c>
      <c r="AX414" s="1" t="s">
        <v>71</v>
      </c>
      <c r="AY414" s="1" t="s">
        <v>59</v>
      </c>
      <c r="AZ414" s="1" t="s">
        <v>74</v>
      </c>
      <c r="BH414" s="1" t="s">
        <v>71</v>
      </c>
    </row>
    <row r="415" customFormat="false" ht="15" hidden="false" customHeight="false" outlineLevel="0" collapsed="false">
      <c r="A415" s="1" t="s">
        <v>1544</v>
      </c>
      <c r="B415" s="1" t="s">
        <v>1545</v>
      </c>
      <c r="C415" s="1" t="s">
        <v>161</v>
      </c>
      <c r="D415" s="1" t="s">
        <v>162</v>
      </c>
      <c r="E415" s="1" t="s">
        <v>59</v>
      </c>
      <c r="F415" s="1" t="s">
        <v>63</v>
      </c>
      <c r="G415" s="1" t="s">
        <v>59</v>
      </c>
      <c r="H415" s="1" t="s">
        <v>64</v>
      </c>
      <c r="K415" s="1" t="s">
        <v>65</v>
      </c>
      <c r="L415" s="1" t="s">
        <v>66</v>
      </c>
      <c r="M415" s="1" t="s">
        <v>1546</v>
      </c>
      <c r="N415" s="1" t="s">
        <v>68</v>
      </c>
      <c r="O415" s="1" t="s">
        <v>69</v>
      </c>
      <c r="P415" s="1"/>
      <c r="Q415" s="1" t="s">
        <v>70</v>
      </c>
      <c r="U415" s="1" t="s">
        <v>1544</v>
      </c>
      <c r="Z415" s="1" t="s">
        <v>71</v>
      </c>
      <c r="AE415" s="1" t="s">
        <v>1547</v>
      </c>
      <c r="AH415" s="1" t="s">
        <v>73</v>
      </c>
      <c r="AK415" s="1" t="s">
        <v>71</v>
      </c>
      <c r="AM415" s="1" t="s">
        <v>71</v>
      </c>
      <c r="AN415" s="1" t="s">
        <v>71</v>
      </c>
      <c r="AS415" s="1" t="s">
        <v>71</v>
      </c>
      <c r="AX415" s="1" t="s">
        <v>71</v>
      </c>
      <c r="AY415" s="1" t="s">
        <v>59</v>
      </c>
      <c r="AZ415" s="1" t="s">
        <v>74</v>
      </c>
      <c r="BH415" s="1" t="s">
        <v>71</v>
      </c>
    </row>
    <row r="416" customFormat="false" ht="15" hidden="false" customHeight="false" outlineLevel="0" collapsed="false">
      <c r="A416" s="1" t="s">
        <v>1548</v>
      </c>
      <c r="B416" s="1" t="s">
        <v>1549</v>
      </c>
      <c r="C416" s="1" t="s">
        <v>161</v>
      </c>
      <c r="D416" s="1" t="s">
        <v>162</v>
      </c>
      <c r="E416" s="1" t="s">
        <v>59</v>
      </c>
      <c r="F416" s="1" t="s">
        <v>63</v>
      </c>
      <c r="G416" s="1" t="s">
        <v>59</v>
      </c>
      <c r="H416" s="1" t="s">
        <v>64</v>
      </c>
      <c r="K416" s="1" t="s">
        <v>82</v>
      </c>
      <c r="L416" s="1" t="s">
        <v>83</v>
      </c>
      <c r="M416" s="1" t="s">
        <v>352</v>
      </c>
      <c r="N416" s="1" t="s">
        <v>85</v>
      </c>
      <c r="O416" s="1" t="s">
        <v>86</v>
      </c>
      <c r="P416" s="1"/>
      <c r="Q416" s="1" t="s">
        <v>70</v>
      </c>
      <c r="U416" s="1" t="s">
        <v>1548</v>
      </c>
      <c r="Z416" s="1" t="s">
        <v>71</v>
      </c>
      <c r="AE416" s="1" t="s">
        <v>1547</v>
      </c>
      <c r="AH416" s="1" t="s">
        <v>73</v>
      </c>
      <c r="AK416" s="1" t="s">
        <v>71</v>
      </c>
      <c r="AM416" s="1" t="s">
        <v>71</v>
      </c>
      <c r="AN416" s="1" t="s">
        <v>71</v>
      </c>
      <c r="AS416" s="1" t="s">
        <v>71</v>
      </c>
      <c r="AX416" s="1" t="s">
        <v>71</v>
      </c>
      <c r="AY416" s="1" t="s">
        <v>59</v>
      </c>
      <c r="AZ416" s="1" t="s">
        <v>74</v>
      </c>
      <c r="BH416" s="1" t="s">
        <v>71</v>
      </c>
    </row>
    <row r="417" customFormat="false" ht="15" hidden="false" customHeight="false" outlineLevel="0" collapsed="false">
      <c r="A417" s="1" t="s">
        <v>1550</v>
      </c>
      <c r="B417" s="1" t="s">
        <v>1551</v>
      </c>
      <c r="C417" s="1" t="s">
        <v>161</v>
      </c>
      <c r="D417" s="1" t="s">
        <v>162</v>
      </c>
      <c r="E417" s="1" t="s">
        <v>65</v>
      </c>
      <c r="F417" s="1" t="s">
        <v>119</v>
      </c>
      <c r="G417" s="1" t="s">
        <v>65</v>
      </c>
      <c r="H417" s="1" t="s">
        <v>64</v>
      </c>
      <c r="K417" s="1" t="s">
        <v>573</v>
      </c>
      <c r="L417" s="1" t="s">
        <v>1202</v>
      </c>
      <c r="M417" s="1" t="s">
        <v>104</v>
      </c>
      <c r="N417" s="1" t="s">
        <v>123</v>
      </c>
      <c r="O417" s="1" t="s">
        <v>124</v>
      </c>
      <c r="P417" s="1"/>
      <c r="Q417" s="1" t="s">
        <v>70</v>
      </c>
      <c r="U417" s="1" t="s">
        <v>1550</v>
      </c>
      <c r="Z417" s="1" t="s">
        <v>71</v>
      </c>
      <c r="AA417" s="1" t="s">
        <v>91</v>
      </c>
      <c r="AE417" s="1" t="s">
        <v>1552</v>
      </c>
      <c r="AH417" s="1" t="s">
        <v>73</v>
      </c>
      <c r="AK417" s="1" t="s">
        <v>71</v>
      </c>
      <c r="AM417" s="1" t="s">
        <v>71</v>
      </c>
      <c r="AN417" s="1" t="s">
        <v>71</v>
      </c>
      <c r="AS417" s="1" t="s">
        <v>71</v>
      </c>
      <c r="AX417" s="1" t="s">
        <v>71</v>
      </c>
      <c r="AY417" s="1" t="s">
        <v>59</v>
      </c>
      <c r="AZ417" s="1" t="s">
        <v>74</v>
      </c>
      <c r="BH417" s="1" t="s">
        <v>71</v>
      </c>
    </row>
    <row r="418" customFormat="false" ht="15" hidden="false" customHeight="false" outlineLevel="0" collapsed="false">
      <c r="A418" s="1" t="s">
        <v>1553</v>
      </c>
      <c r="B418" s="1" t="s">
        <v>1554</v>
      </c>
      <c r="C418" s="1" t="s">
        <v>161</v>
      </c>
      <c r="D418" s="1" t="s">
        <v>162</v>
      </c>
      <c r="E418" s="1" t="s">
        <v>61</v>
      </c>
      <c r="F418" s="1" t="s">
        <v>101</v>
      </c>
      <c r="G418" s="1" t="s">
        <v>93</v>
      </c>
      <c r="H418" s="1" t="s">
        <v>64</v>
      </c>
      <c r="K418" s="1" t="s">
        <v>290</v>
      </c>
      <c r="L418" s="1" t="s">
        <v>291</v>
      </c>
      <c r="M418" s="1" t="s">
        <v>1555</v>
      </c>
      <c r="N418" s="1" t="s">
        <v>123</v>
      </c>
      <c r="O418" s="1" t="s">
        <v>124</v>
      </c>
      <c r="P418" s="1"/>
      <c r="Q418" s="1" t="s">
        <v>70</v>
      </c>
      <c r="U418" s="1" t="s">
        <v>1553</v>
      </c>
      <c r="Z418" s="1" t="s">
        <v>71</v>
      </c>
      <c r="AA418" s="1" t="s">
        <v>91</v>
      </c>
      <c r="AE418" s="1" t="s">
        <v>1552</v>
      </c>
      <c r="AH418" s="1" t="s">
        <v>73</v>
      </c>
      <c r="AK418" s="1" t="s">
        <v>71</v>
      </c>
      <c r="AM418" s="1" t="s">
        <v>71</v>
      </c>
      <c r="AN418" s="1" t="s">
        <v>71</v>
      </c>
      <c r="AS418" s="1" t="s">
        <v>71</v>
      </c>
      <c r="AX418" s="1" t="s">
        <v>71</v>
      </c>
      <c r="AY418" s="1" t="s">
        <v>59</v>
      </c>
      <c r="AZ418" s="1" t="s">
        <v>74</v>
      </c>
      <c r="BH418" s="1" t="s">
        <v>71</v>
      </c>
    </row>
    <row r="419" customFormat="false" ht="15" hidden="false" customHeight="false" outlineLevel="0" collapsed="false">
      <c r="A419" s="1" t="s">
        <v>1556</v>
      </c>
      <c r="B419" s="1" t="s">
        <v>1557</v>
      </c>
      <c r="C419" s="1" t="s">
        <v>161</v>
      </c>
      <c r="D419" s="1" t="s">
        <v>162</v>
      </c>
      <c r="E419" s="1" t="s">
        <v>65</v>
      </c>
      <c r="F419" s="1" t="s">
        <v>119</v>
      </c>
      <c r="G419" s="1" t="s">
        <v>65</v>
      </c>
      <c r="H419" s="1" t="s">
        <v>64</v>
      </c>
      <c r="K419" s="1" t="s">
        <v>201</v>
      </c>
      <c r="L419" s="1" t="s">
        <v>1558</v>
      </c>
      <c r="M419" s="1" t="s">
        <v>122</v>
      </c>
      <c r="N419" s="1" t="s">
        <v>123</v>
      </c>
      <c r="O419" s="1" t="s">
        <v>124</v>
      </c>
      <c r="P419" s="1"/>
      <c r="Q419" s="1" t="s">
        <v>70</v>
      </c>
      <c r="Z419" s="1" t="s">
        <v>71</v>
      </c>
      <c r="AE419" s="1" t="s">
        <v>1552</v>
      </c>
      <c r="AH419" s="1" t="s">
        <v>73</v>
      </c>
      <c r="AK419" s="1" t="s">
        <v>71</v>
      </c>
      <c r="AM419" s="1" t="s">
        <v>71</v>
      </c>
      <c r="AN419" s="1" t="s">
        <v>71</v>
      </c>
      <c r="AS419" s="1" t="s">
        <v>71</v>
      </c>
      <c r="AX419" s="1" t="s">
        <v>71</v>
      </c>
      <c r="AY419" s="1" t="s">
        <v>59</v>
      </c>
      <c r="AZ419" s="1" t="s">
        <v>74</v>
      </c>
      <c r="BH419" s="1" t="s">
        <v>71</v>
      </c>
    </row>
    <row r="420" customFormat="false" ht="15" hidden="false" customHeight="false" outlineLevel="0" collapsed="false">
      <c r="A420" s="1" t="s">
        <v>1559</v>
      </c>
      <c r="B420" s="1" t="s">
        <v>1560</v>
      </c>
      <c r="C420" s="1" t="s">
        <v>161</v>
      </c>
      <c r="D420" s="1" t="s">
        <v>162</v>
      </c>
      <c r="E420" s="1" t="s">
        <v>61</v>
      </c>
      <c r="F420" s="1" t="s">
        <v>101</v>
      </c>
      <c r="G420" s="1" t="s">
        <v>93</v>
      </c>
      <c r="H420" s="1" t="s">
        <v>64</v>
      </c>
      <c r="K420" s="1" t="s">
        <v>215</v>
      </c>
      <c r="L420" s="1" t="s">
        <v>197</v>
      </c>
      <c r="M420" s="1" t="s">
        <v>122</v>
      </c>
      <c r="N420" s="1" t="s">
        <v>123</v>
      </c>
      <c r="O420" s="1" t="s">
        <v>124</v>
      </c>
      <c r="P420" s="1"/>
      <c r="Q420" s="1" t="s">
        <v>70</v>
      </c>
      <c r="U420" s="1" t="s">
        <v>1559</v>
      </c>
      <c r="Z420" s="1" t="s">
        <v>71</v>
      </c>
      <c r="AE420" s="1" t="s">
        <v>1552</v>
      </c>
      <c r="AH420" s="1" t="s">
        <v>73</v>
      </c>
      <c r="AK420" s="1" t="s">
        <v>71</v>
      </c>
      <c r="AM420" s="1" t="s">
        <v>71</v>
      </c>
      <c r="AN420" s="1" t="s">
        <v>71</v>
      </c>
      <c r="AS420" s="1" t="s">
        <v>71</v>
      </c>
      <c r="AX420" s="1" t="s">
        <v>71</v>
      </c>
      <c r="AY420" s="1" t="s">
        <v>59</v>
      </c>
      <c r="AZ420" s="1" t="s">
        <v>74</v>
      </c>
      <c r="BH420" s="1" t="s">
        <v>71</v>
      </c>
    </row>
    <row r="421" customFormat="false" ht="15" hidden="false" customHeight="false" outlineLevel="0" collapsed="false">
      <c r="A421" s="1" t="s">
        <v>1561</v>
      </c>
      <c r="B421" s="1" t="s">
        <v>1562</v>
      </c>
      <c r="C421" s="1" t="s">
        <v>161</v>
      </c>
      <c r="D421" s="1" t="s">
        <v>162</v>
      </c>
      <c r="E421" s="1" t="s">
        <v>61</v>
      </c>
      <c r="F421" s="1" t="s">
        <v>101</v>
      </c>
      <c r="G421" s="1" t="s">
        <v>93</v>
      </c>
      <c r="H421" s="1" t="s">
        <v>64</v>
      </c>
      <c r="K421" s="1" t="s">
        <v>1018</v>
      </c>
      <c r="L421" s="1" t="s">
        <v>1019</v>
      </c>
      <c r="M421" s="1" t="s">
        <v>1563</v>
      </c>
      <c r="N421" s="1" t="s">
        <v>123</v>
      </c>
      <c r="O421" s="1" t="s">
        <v>124</v>
      </c>
      <c r="P421" s="1"/>
      <c r="Q421" s="1" t="s">
        <v>70</v>
      </c>
      <c r="U421" s="1" t="s">
        <v>1561</v>
      </c>
      <c r="Z421" s="1" t="s">
        <v>71</v>
      </c>
      <c r="AE421" s="1" t="s">
        <v>1552</v>
      </c>
      <c r="AH421" s="1" t="s">
        <v>73</v>
      </c>
      <c r="AK421" s="1" t="s">
        <v>71</v>
      </c>
      <c r="AM421" s="1" t="s">
        <v>71</v>
      </c>
      <c r="AN421" s="1" t="s">
        <v>71</v>
      </c>
      <c r="AS421" s="1" t="s">
        <v>71</v>
      </c>
      <c r="AX421" s="1" t="s">
        <v>71</v>
      </c>
      <c r="AY421" s="1" t="s">
        <v>59</v>
      </c>
      <c r="AZ421" s="1" t="s">
        <v>74</v>
      </c>
      <c r="BH421" s="1" t="s">
        <v>71</v>
      </c>
    </row>
    <row r="422" customFormat="false" ht="15" hidden="false" customHeight="false" outlineLevel="0" collapsed="false">
      <c r="A422" s="1" t="s">
        <v>1564</v>
      </c>
      <c r="B422" s="1" t="s">
        <v>1565</v>
      </c>
      <c r="C422" s="1" t="s">
        <v>161</v>
      </c>
      <c r="D422" s="1" t="s">
        <v>162</v>
      </c>
      <c r="E422" s="1" t="s">
        <v>61</v>
      </c>
      <c r="F422" s="1" t="s">
        <v>101</v>
      </c>
      <c r="G422" s="1" t="s">
        <v>93</v>
      </c>
      <c r="H422" s="1" t="s">
        <v>64</v>
      </c>
      <c r="K422" s="1" t="s">
        <v>302</v>
      </c>
      <c r="L422" s="1" t="s">
        <v>303</v>
      </c>
      <c r="M422" s="1" t="s">
        <v>1555</v>
      </c>
      <c r="N422" s="1" t="s">
        <v>123</v>
      </c>
      <c r="O422" s="1" t="s">
        <v>124</v>
      </c>
      <c r="P422" s="1"/>
      <c r="Q422" s="1" t="s">
        <v>70</v>
      </c>
      <c r="U422" s="1" t="s">
        <v>1564</v>
      </c>
      <c r="Z422" s="1" t="s">
        <v>71</v>
      </c>
      <c r="AA422" s="1" t="s">
        <v>91</v>
      </c>
      <c r="AE422" s="1" t="s">
        <v>1552</v>
      </c>
      <c r="AH422" s="1" t="s">
        <v>73</v>
      </c>
      <c r="AK422" s="1" t="s">
        <v>71</v>
      </c>
      <c r="AM422" s="1" t="s">
        <v>71</v>
      </c>
      <c r="AN422" s="1" t="s">
        <v>71</v>
      </c>
      <c r="AS422" s="1" t="s">
        <v>71</v>
      </c>
      <c r="AX422" s="1" t="s">
        <v>71</v>
      </c>
      <c r="AY422" s="1" t="s">
        <v>59</v>
      </c>
      <c r="AZ422" s="1" t="s">
        <v>74</v>
      </c>
      <c r="BH422" s="1" t="s">
        <v>71</v>
      </c>
    </row>
    <row r="423" customFormat="false" ht="15" hidden="false" customHeight="false" outlineLevel="0" collapsed="false">
      <c r="A423" s="1" t="s">
        <v>1566</v>
      </c>
      <c r="B423" s="1" t="s">
        <v>1567</v>
      </c>
      <c r="C423" s="1" t="s">
        <v>1412</v>
      </c>
      <c r="D423" s="1" t="s">
        <v>1413</v>
      </c>
      <c r="E423" s="1" t="s">
        <v>65</v>
      </c>
      <c r="F423" s="1" t="s">
        <v>119</v>
      </c>
      <c r="G423" s="1" t="s">
        <v>88</v>
      </c>
      <c r="H423" s="1" t="s">
        <v>255</v>
      </c>
      <c r="K423" s="1" t="s">
        <v>256</v>
      </c>
      <c r="L423" s="1" t="s">
        <v>257</v>
      </c>
      <c r="M423" s="1" t="s">
        <v>242</v>
      </c>
      <c r="N423" s="1" t="s">
        <v>259</v>
      </c>
      <c r="O423" s="1" t="s">
        <v>260</v>
      </c>
      <c r="P423" s="1"/>
      <c r="Q423" s="1" t="s">
        <v>70</v>
      </c>
      <c r="U423" s="1" t="s">
        <v>1566</v>
      </c>
      <c r="Z423" s="1" t="s">
        <v>71</v>
      </c>
      <c r="AE423" s="1" t="s">
        <v>1568</v>
      </c>
      <c r="AH423" s="1" t="s">
        <v>73</v>
      </c>
      <c r="AK423" s="1" t="s">
        <v>71</v>
      </c>
      <c r="AM423" s="1" t="s">
        <v>71</v>
      </c>
      <c r="AN423" s="1" t="s">
        <v>71</v>
      </c>
      <c r="AS423" s="1" t="s">
        <v>71</v>
      </c>
      <c r="AX423" s="1" t="s">
        <v>71</v>
      </c>
      <c r="AY423" s="1" t="s">
        <v>59</v>
      </c>
      <c r="AZ423" s="1" t="s">
        <v>74</v>
      </c>
      <c r="BH423" s="1" t="s">
        <v>71</v>
      </c>
    </row>
    <row r="424" customFormat="false" ht="15" hidden="false" customHeight="false" outlineLevel="0" collapsed="false">
      <c r="A424" s="1" t="s">
        <v>324</v>
      </c>
      <c r="B424" s="1" t="s">
        <v>1569</v>
      </c>
      <c r="C424" s="1" t="s">
        <v>288</v>
      </c>
      <c r="D424" s="1" t="s">
        <v>289</v>
      </c>
      <c r="E424" s="1" t="s">
        <v>65</v>
      </c>
      <c r="F424" s="1" t="s">
        <v>119</v>
      </c>
      <c r="G424" s="1" t="s">
        <v>65</v>
      </c>
      <c r="H424" s="1" t="s">
        <v>64</v>
      </c>
      <c r="K424" s="1" t="s">
        <v>177</v>
      </c>
      <c r="L424" s="1" t="s">
        <v>178</v>
      </c>
      <c r="M424" s="1" t="s">
        <v>104</v>
      </c>
      <c r="N424" s="1" t="s">
        <v>123</v>
      </c>
      <c r="O424" s="1" t="s">
        <v>124</v>
      </c>
      <c r="P424" s="1"/>
      <c r="Q424" s="1" t="s">
        <v>70</v>
      </c>
      <c r="U424" s="1" t="s">
        <v>324</v>
      </c>
      <c r="Z424" s="1" t="s">
        <v>71</v>
      </c>
      <c r="AE424" s="1" t="s">
        <v>1570</v>
      </c>
      <c r="AH424" s="1" t="s">
        <v>73</v>
      </c>
      <c r="AK424" s="1" t="s">
        <v>71</v>
      </c>
      <c r="AM424" s="1" t="s">
        <v>71</v>
      </c>
      <c r="AN424" s="1" t="s">
        <v>71</v>
      </c>
      <c r="AS424" s="1" t="s">
        <v>71</v>
      </c>
      <c r="AX424" s="1" t="s">
        <v>71</v>
      </c>
      <c r="AY424" s="1" t="s">
        <v>59</v>
      </c>
      <c r="AZ424" s="1" t="s">
        <v>74</v>
      </c>
      <c r="BH424" s="1" t="s">
        <v>71</v>
      </c>
    </row>
    <row r="425" customFormat="false" ht="15" hidden="false" customHeight="false" outlineLevel="0" collapsed="false">
      <c r="A425" s="1" t="s">
        <v>1571</v>
      </c>
      <c r="B425" s="1" t="s">
        <v>1572</v>
      </c>
      <c r="C425" s="1" t="s">
        <v>288</v>
      </c>
      <c r="D425" s="1" t="s">
        <v>289</v>
      </c>
      <c r="E425" s="1" t="s">
        <v>65</v>
      </c>
      <c r="F425" s="1" t="s">
        <v>119</v>
      </c>
      <c r="G425" s="1" t="s">
        <v>65</v>
      </c>
      <c r="H425" s="1" t="s">
        <v>64</v>
      </c>
      <c r="K425" s="1" t="s">
        <v>443</v>
      </c>
      <c r="L425" s="1" t="s">
        <v>630</v>
      </c>
      <c r="M425" s="1" t="s">
        <v>104</v>
      </c>
      <c r="N425" s="1" t="s">
        <v>123</v>
      </c>
      <c r="O425" s="1" t="s">
        <v>124</v>
      </c>
      <c r="P425" s="1"/>
      <c r="Q425" s="1" t="s">
        <v>70</v>
      </c>
      <c r="U425" s="1" t="s">
        <v>1571</v>
      </c>
      <c r="Z425" s="1" t="s">
        <v>71</v>
      </c>
      <c r="AA425" s="1" t="s">
        <v>91</v>
      </c>
      <c r="AE425" s="1" t="s">
        <v>1570</v>
      </c>
      <c r="AH425" s="1" t="s">
        <v>73</v>
      </c>
      <c r="AK425" s="1" t="s">
        <v>71</v>
      </c>
      <c r="AM425" s="1" t="s">
        <v>71</v>
      </c>
      <c r="AN425" s="1" t="s">
        <v>71</v>
      </c>
      <c r="AS425" s="1" t="s">
        <v>71</v>
      </c>
      <c r="AX425" s="1" t="s">
        <v>71</v>
      </c>
      <c r="AY425" s="1" t="s">
        <v>59</v>
      </c>
      <c r="AZ425" s="1" t="s">
        <v>74</v>
      </c>
      <c r="BH425" s="1" t="s">
        <v>71</v>
      </c>
    </row>
    <row r="426" customFormat="false" ht="15" hidden="false" customHeight="false" outlineLevel="0" collapsed="false">
      <c r="A426" s="1" t="s">
        <v>1573</v>
      </c>
      <c r="B426" s="1" t="s">
        <v>1574</v>
      </c>
      <c r="C426" s="1" t="s">
        <v>288</v>
      </c>
      <c r="D426" s="1" t="s">
        <v>289</v>
      </c>
      <c r="E426" s="1" t="s">
        <v>65</v>
      </c>
      <c r="F426" s="1" t="s">
        <v>119</v>
      </c>
      <c r="G426" s="1" t="s">
        <v>65</v>
      </c>
      <c r="H426" s="1" t="s">
        <v>64</v>
      </c>
      <c r="K426" s="1" t="s">
        <v>182</v>
      </c>
      <c r="L426" s="1" t="s">
        <v>183</v>
      </c>
      <c r="M426" s="1" t="s">
        <v>122</v>
      </c>
      <c r="N426" s="1" t="s">
        <v>123</v>
      </c>
      <c r="O426" s="1" t="s">
        <v>124</v>
      </c>
      <c r="P426" s="1"/>
      <c r="Q426" s="1" t="s">
        <v>70</v>
      </c>
      <c r="U426" s="1" t="s">
        <v>1573</v>
      </c>
      <c r="Z426" s="1" t="s">
        <v>71</v>
      </c>
      <c r="AE426" s="1" t="s">
        <v>1575</v>
      </c>
      <c r="AH426" s="1" t="s">
        <v>73</v>
      </c>
      <c r="AK426" s="1" t="s">
        <v>71</v>
      </c>
      <c r="AM426" s="1" t="s">
        <v>71</v>
      </c>
      <c r="AN426" s="1" t="s">
        <v>71</v>
      </c>
      <c r="AS426" s="1" t="s">
        <v>71</v>
      </c>
      <c r="AX426" s="1" t="s">
        <v>71</v>
      </c>
      <c r="AY426" s="1" t="s">
        <v>59</v>
      </c>
      <c r="AZ426" s="1" t="s">
        <v>74</v>
      </c>
      <c r="BH426" s="1" t="s">
        <v>71</v>
      </c>
    </row>
    <row r="427" customFormat="false" ht="15" hidden="false" customHeight="false" outlineLevel="0" collapsed="false">
      <c r="A427" s="1" t="s">
        <v>1576</v>
      </c>
      <c r="B427" s="1" t="s">
        <v>1577</v>
      </c>
      <c r="C427" s="1" t="s">
        <v>161</v>
      </c>
      <c r="D427" s="1" t="s">
        <v>162</v>
      </c>
      <c r="E427" s="1" t="s">
        <v>61</v>
      </c>
      <c r="F427" s="1" t="s">
        <v>101</v>
      </c>
      <c r="G427" s="1" t="s">
        <v>93</v>
      </c>
      <c r="H427" s="1" t="s">
        <v>64</v>
      </c>
      <c r="K427" s="1" t="s">
        <v>544</v>
      </c>
      <c r="L427" s="1" t="s">
        <v>1578</v>
      </c>
      <c r="M427" s="1" t="s">
        <v>122</v>
      </c>
      <c r="N427" s="1" t="s">
        <v>105</v>
      </c>
      <c r="O427" s="1" t="s">
        <v>106</v>
      </c>
      <c r="P427" s="1"/>
      <c r="Q427" s="1" t="s">
        <v>70</v>
      </c>
      <c r="U427" s="1" t="s">
        <v>1576</v>
      </c>
      <c r="Z427" s="1" t="s">
        <v>71</v>
      </c>
      <c r="AE427" s="1" t="s">
        <v>1575</v>
      </c>
      <c r="AH427" s="1" t="s">
        <v>73</v>
      </c>
      <c r="AK427" s="1" t="s">
        <v>71</v>
      </c>
      <c r="AM427" s="1" t="s">
        <v>71</v>
      </c>
      <c r="AN427" s="1" t="s">
        <v>71</v>
      </c>
      <c r="AS427" s="1" t="s">
        <v>71</v>
      </c>
      <c r="AX427" s="1" t="s">
        <v>71</v>
      </c>
      <c r="AY427" s="1" t="s">
        <v>59</v>
      </c>
      <c r="AZ427" s="1" t="s">
        <v>74</v>
      </c>
      <c r="BH427" s="1" t="s">
        <v>71</v>
      </c>
    </row>
    <row r="428" customFormat="false" ht="15" hidden="false" customHeight="false" outlineLevel="0" collapsed="false">
      <c r="A428" s="1" t="s">
        <v>1579</v>
      </c>
      <c r="B428" s="1" t="s">
        <v>1580</v>
      </c>
      <c r="C428" s="1" t="s">
        <v>288</v>
      </c>
      <c r="D428" s="1" t="s">
        <v>289</v>
      </c>
      <c r="E428" s="1" t="s">
        <v>65</v>
      </c>
      <c r="F428" s="1" t="s">
        <v>119</v>
      </c>
      <c r="G428" s="1" t="s">
        <v>65</v>
      </c>
      <c r="H428" s="1" t="s">
        <v>64</v>
      </c>
      <c r="K428" s="1" t="s">
        <v>170</v>
      </c>
      <c r="L428" s="1" t="s">
        <v>171</v>
      </c>
      <c r="M428" s="1" t="s">
        <v>104</v>
      </c>
      <c r="N428" s="1" t="s">
        <v>123</v>
      </c>
      <c r="O428" s="1" t="s">
        <v>124</v>
      </c>
      <c r="P428" s="1"/>
      <c r="Q428" s="1" t="s">
        <v>70</v>
      </c>
      <c r="U428" s="1" t="s">
        <v>1579</v>
      </c>
      <c r="Z428" s="1" t="s">
        <v>71</v>
      </c>
      <c r="AA428" s="1" t="s">
        <v>91</v>
      </c>
      <c r="AE428" s="1" t="s">
        <v>1581</v>
      </c>
      <c r="AH428" s="1" t="s">
        <v>73</v>
      </c>
      <c r="AK428" s="1" t="s">
        <v>71</v>
      </c>
      <c r="AM428" s="1" t="s">
        <v>71</v>
      </c>
      <c r="AN428" s="1" t="s">
        <v>71</v>
      </c>
      <c r="AS428" s="1" t="s">
        <v>71</v>
      </c>
      <c r="AX428" s="1" t="s">
        <v>71</v>
      </c>
      <c r="AY428" s="1" t="s">
        <v>59</v>
      </c>
      <c r="AZ428" s="1" t="s">
        <v>74</v>
      </c>
      <c r="BH428" s="1" t="s">
        <v>71</v>
      </c>
    </row>
    <row r="429" customFormat="false" ht="15" hidden="false" customHeight="false" outlineLevel="0" collapsed="false">
      <c r="A429" s="1" t="s">
        <v>1582</v>
      </c>
      <c r="B429" s="1" t="s">
        <v>1583</v>
      </c>
      <c r="C429" s="1" t="s">
        <v>288</v>
      </c>
      <c r="D429" s="1" t="s">
        <v>289</v>
      </c>
      <c r="E429" s="1" t="s">
        <v>65</v>
      </c>
      <c r="F429" s="1" t="s">
        <v>119</v>
      </c>
      <c r="G429" s="1" t="s">
        <v>65</v>
      </c>
      <c r="H429" s="1" t="s">
        <v>64</v>
      </c>
      <c r="K429" s="1" t="s">
        <v>97</v>
      </c>
      <c r="L429" s="1" t="s">
        <v>197</v>
      </c>
      <c r="M429" s="1" t="s">
        <v>104</v>
      </c>
      <c r="N429" s="1" t="s">
        <v>123</v>
      </c>
      <c r="O429" s="1" t="s">
        <v>124</v>
      </c>
      <c r="P429" s="1"/>
      <c r="Q429" s="1" t="s">
        <v>70</v>
      </c>
      <c r="U429" s="1" t="s">
        <v>1582</v>
      </c>
      <c r="Z429" s="1" t="s">
        <v>71</v>
      </c>
      <c r="AA429" s="1" t="s">
        <v>91</v>
      </c>
      <c r="AE429" s="1" t="s">
        <v>1581</v>
      </c>
      <c r="AH429" s="1" t="s">
        <v>73</v>
      </c>
      <c r="AK429" s="1" t="s">
        <v>71</v>
      </c>
      <c r="AM429" s="1" t="s">
        <v>71</v>
      </c>
      <c r="AN429" s="1" t="s">
        <v>71</v>
      </c>
      <c r="AS429" s="1" t="s">
        <v>71</v>
      </c>
      <c r="AX429" s="1" t="s">
        <v>71</v>
      </c>
      <c r="AY429" s="1" t="s">
        <v>59</v>
      </c>
      <c r="AZ429" s="1" t="s">
        <v>74</v>
      </c>
      <c r="BH429" s="1" t="s">
        <v>71</v>
      </c>
    </row>
    <row r="430" customFormat="false" ht="15" hidden="false" customHeight="false" outlineLevel="0" collapsed="false">
      <c r="A430" s="1" t="s">
        <v>1584</v>
      </c>
      <c r="B430" s="1" t="s">
        <v>1585</v>
      </c>
      <c r="C430" s="1" t="s">
        <v>288</v>
      </c>
      <c r="D430" s="1" t="s">
        <v>289</v>
      </c>
      <c r="E430" s="1" t="s">
        <v>61</v>
      </c>
      <c r="F430" s="1" t="s">
        <v>101</v>
      </c>
      <c r="G430" s="1" t="s">
        <v>93</v>
      </c>
      <c r="H430" s="1" t="s">
        <v>64</v>
      </c>
      <c r="K430" s="1" t="s">
        <v>161</v>
      </c>
      <c r="L430" s="1" t="s">
        <v>1586</v>
      </c>
      <c r="M430" s="1" t="s">
        <v>104</v>
      </c>
      <c r="N430" s="1" t="s">
        <v>105</v>
      </c>
      <c r="O430" s="1" t="s">
        <v>106</v>
      </c>
      <c r="P430" s="1"/>
      <c r="Q430" s="1" t="s">
        <v>70</v>
      </c>
      <c r="U430" s="1" t="s">
        <v>1584</v>
      </c>
      <c r="Z430" s="1" t="s">
        <v>71</v>
      </c>
      <c r="AE430" s="1" t="s">
        <v>1581</v>
      </c>
      <c r="AH430" s="1" t="s">
        <v>73</v>
      </c>
      <c r="AK430" s="1" t="s">
        <v>71</v>
      </c>
      <c r="AM430" s="1" t="s">
        <v>71</v>
      </c>
      <c r="AN430" s="1" t="s">
        <v>71</v>
      </c>
      <c r="AS430" s="1" t="s">
        <v>71</v>
      </c>
      <c r="AX430" s="1" t="s">
        <v>71</v>
      </c>
      <c r="AY430" s="1" t="s">
        <v>59</v>
      </c>
      <c r="AZ430" s="1" t="s">
        <v>74</v>
      </c>
      <c r="BH430" s="1" t="s">
        <v>71</v>
      </c>
    </row>
    <row r="431" customFormat="false" ht="15" hidden="false" customHeight="false" outlineLevel="0" collapsed="false">
      <c r="A431" s="1" t="s">
        <v>1587</v>
      </c>
      <c r="B431" s="1" t="s">
        <v>1588</v>
      </c>
      <c r="C431" s="1" t="s">
        <v>163</v>
      </c>
      <c r="D431" s="1" t="s">
        <v>267</v>
      </c>
      <c r="E431" s="1" t="s">
        <v>65</v>
      </c>
      <c r="F431" s="1" t="s">
        <v>119</v>
      </c>
      <c r="G431" s="1" t="s">
        <v>61</v>
      </c>
      <c r="H431" s="1" t="s">
        <v>231</v>
      </c>
      <c r="K431" s="1" t="s">
        <v>1385</v>
      </c>
      <c r="L431" s="1" t="s">
        <v>1386</v>
      </c>
      <c r="M431" s="1" t="s">
        <v>1589</v>
      </c>
      <c r="N431" s="1" t="s">
        <v>1388</v>
      </c>
      <c r="O431" s="1" t="s">
        <v>1389</v>
      </c>
      <c r="P431" s="1" t="e">
        <f aca="false">image("https://drive.google.com/uc?export=view&amp;id=1QYoznVvuk-3cy_bXu-gVflvjeI09FfbL")</f>
        <v>#NAME?</v>
      </c>
      <c r="Q431" s="1" t="s">
        <v>205</v>
      </c>
      <c r="U431" s="1" t="s">
        <v>1587</v>
      </c>
      <c r="Z431" s="1" t="s">
        <v>71</v>
      </c>
      <c r="AE431" s="1" t="s">
        <v>1590</v>
      </c>
      <c r="AH431" s="1" t="s">
        <v>73</v>
      </c>
      <c r="AK431" s="1" t="s">
        <v>71</v>
      </c>
      <c r="AM431" s="1" t="s">
        <v>71</v>
      </c>
      <c r="AN431" s="1" t="s">
        <v>71</v>
      </c>
      <c r="AS431" s="1" t="s">
        <v>71</v>
      </c>
      <c r="AX431" s="1" t="s">
        <v>71</v>
      </c>
      <c r="AY431" s="1" t="s">
        <v>59</v>
      </c>
      <c r="AZ431" s="1" t="s">
        <v>74</v>
      </c>
      <c r="BH431" s="1" t="s">
        <v>71</v>
      </c>
    </row>
    <row r="432" customFormat="false" ht="15" hidden="false" customHeight="false" outlineLevel="0" collapsed="false">
      <c r="A432" s="1" t="s">
        <v>1591</v>
      </c>
      <c r="B432" s="1" t="s">
        <v>1592</v>
      </c>
      <c r="C432" s="1" t="s">
        <v>288</v>
      </c>
      <c r="D432" s="1" t="s">
        <v>289</v>
      </c>
      <c r="E432" s="1" t="s">
        <v>61</v>
      </c>
      <c r="F432" s="1" t="s">
        <v>101</v>
      </c>
      <c r="G432" s="1" t="s">
        <v>93</v>
      </c>
      <c r="H432" s="1" t="s">
        <v>64</v>
      </c>
      <c r="K432" s="1" t="s">
        <v>544</v>
      </c>
      <c r="L432" s="1" t="s">
        <v>1578</v>
      </c>
      <c r="M432" s="1" t="s">
        <v>122</v>
      </c>
      <c r="N432" s="1" t="s">
        <v>105</v>
      </c>
      <c r="O432" s="1" t="s">
        <v>106</v>
      </c>
      <c r="P432" s="1"/>
      <c r="Q432" s="1" t="s">
        <v>70</v>
      </c>
      <c r="U432" s="1" t="s">
        <v>1591</v>
      </c>
      <c r="Z432" s="1" t="s">
        <v>71</v>
      </c>
      <c r="AE432" s="1" t="s">
        <v>1593</v>
      </c>
      <c r="AH432" s="1" t="s">
        <v>73</v>
      </c>
      <c r="AK432" s="1" t="s">
        <v>71</v>
      </c>
      <c r="AM432" s="1" t="s">
        <v>71</v>
      </c>
      <c r="AN432" s="1" t="s">
        <v>71</v>
      </c>
      <c r="AS432" s="1" t="s">
        <v>71</v>
      </c>
      <c r="AX432" s="1" t="s">
        <v>71</v>
      </c>
      <c r="AY432" s="1" t="s">
        <v>59</v>
      </c>
      <c r="AZ432" s="1" t="s">
        <v>74</v>
      </c>
      <c r="BH432" s="1" t="s">
        <v>71</v>
      </c>
    </row>
    <row r="433" customFormat="false" ht="15" hidden="false" customHeight="false" outlineLevel="0" collapsed="false">
      <c r="A433" s="1" t="s">
        <v>1594</v>
      </c>
      <c r="B433" s="1" t="s">
        <v>1595</v>
      </c>
      <c r="C433" s="1" t="s">
        <v>1412</v>
      </c>
      <c r="D433" s="1" t="s">
        <v>1413</v>
      </c>
      <c r="E433" s="1" t="s">
        <v>65</v>
      </c>
      <c r="F433" s="1" t="s">
        <v>119</v>
      </c>
      <c r="G433" s="1" t="s">
        <v>88</v>
      </c>
      <c r="H433" s="1" t="s">
        <v>255</v>
      </c>
      <c r="K433" s="1" t="s">
        <v>1596</v>
      </c>
      <c r="L433" s="1" t="s">
        <v>1597</v>
      </c>
      <c r="M433" s="1" t="s">
        <v>1598</v>
      </c>
      <c r="N433" s="1" t="s">
        <v>1599</v>
      </c>
      <c r="O433" s="1" t="s">
        <v>1600</v>
      </c>
      <c r="P433" s="1"/>
      <c r="Q433" s="1" t="s">
        <v>70</v>
      </c>
      <c r="U433" s="1" t="s">
        <v>1594</v>
      </c>
      <c r="Z433" s="1" t="s">
        <v>71</v>
      </c>
      <c r="AE433" s="1" t="s">
        <v>1601</v>
      </c>
      <c r="AH433" s="1" t="s">
        <v>73</v>
      </c>
      <c r="AK433" s="1" t="s">
        <v>71</v>
      </c>
      <c r="AM433" s="1" t="s">
        <v>71</v>
      </c>
      <c r="AN433" s="1" t="s">
        <v>71</v>
      </c>
      <c r="AS433" s="1" t="s">
        <v>71</v>
      </c>
      <c r="AX433" s="1" t="s">
        <v>71</v>
      </c>
      <c r="AY433" s="1" t="s">
        <v>59</v>
      </c>
      <c r="AZ433" s="1" t="s">
        <v>74</v>
      </c>
      <c r="BH433" s="1" t="s">
        <v>71</v>
      </c>
    </row>
    <row r="434" customFormat="false" ht="15" hidden="false" customHeight="false" outlineLevel="0" collapsed="false">
      <c r="A434" s="1" t="s">
        <v>1602</v>
      </c>
      <c r="B434" s="1" t="s">
        <v>1603</v>
      </c>
      <c r="C434" s="1" t="s">
        <v>1412</v>
      </c>
      <c r="D434" s="1" t="s">
        <v>1413</v>
      </c>
      <c r="E434" s="1" t="s">
        <v>65</v>
      </c>
      <c r="F434" s="1" t="s">
        <v>119</v>
      </c>
      <c r="G434" s="1" t="s">
        <v>88</v>
      </c>
      <c r="H434" s="1" t="s">
        <v>255</v>
      </c>
      <c r="K434" s="1" t="s">
        <v>1596</v>
      </c>
      <c r="L434" s="1" t="s">
        <v>1597</v>
      </c>
      <c r="M434" s="1" t="s">
        <v>1604</v>
      </c>
      <c r="N434" s="1" t="s">
        <v>1599</v>
      </c>
      <c r="O434" s="1" t="s">
        <v>1600</v>
      </c>
      <c r="P434" s="1"/>
      <c r="Q434" s="1" t="s">
        <v>70</v>
      </c>
      <c r="U434" s="1" t="s">
        <v>1602</v>
      </c>
      <c r="Z434" s="1" t="s">
        <v>71</v>
      </c>
      <c r="AE434" s="1" t="s">
        <v>1601</v>
      </c>
      <c r="AH434" s="1" t="s">
        <v>73</v>
      </c>
      <c r="AK434" s="1" t="s">
        <v>71</v>
      </c>
      <c r="AM434" s="1" t="s">
        <v>71</v>
      </c>
      <c r="AN434" s="1" t="s">
        <v>71</v>
      </c>
      <c r="AS434" s="1" t="s">
        <v>71</v>
      </c>
      <c r="AX434" s="1" t="s">
        <v>71</v>
      </c>
      <c r="AY434" s="1" t="s">
        <v>59</v>
      </c>
      <c r="AZ434" s="1" t="s">
        <v>74</v>
      </c>
      <c r="BH434" s="1" t="s">
        <v>71</v>
      </c>
    </row>
    <row r="435" customFormat="false" ht="15" hidden="false" customHeight="false" outlineLevel="0" collapsed="false">
      <c r="A435" s="1" t="s">
        <v>1605</v>
      </c>
      <c r="B435" s="1" t="s">
        <v>1606</v>
      </c>
      <c r="C435" s="1" t="s">
        <v>1412</v>
      </c>
      <c r="D435" s="1" t="s">
        <v>1413</v>
      </c>
      <c r="E435" s="1" t="s">
        <v>65</v>
      </c>
      <c r="F435" s="1" t="s">
        <v>119</v>
      </c>
      <c r="G435" s="1" t="s">
        <v>61</v>
      </c>
      <c r="H435" s="1" t="s">
        <v>231</v>
      </c>
      <c r="K435" s="1" t="s">
        <v>1385</v>
      </c>
      <c r="L435" s="1" t="s">
        <v>1386</v>
      </c>
      <c r="M435" s="1" t="s">
        <v>1607</v>
      </c>
      <c r="N435" s="1" t="s">
        <v>1388</v>
      </c>
      <c r="O435" s="1" t="s">
        <v>1389</v>
      </c>
      <c r="P435" s="1" t="e">
        <f aca="false">image("https://drive.google.com/uc?export=view&amp;id=1IML2tCQmqZZQ0MFDPjD8uEoIMNK9VXpI")</f>
        <v>#NAME?</v>
      </c>
      <c r="Q435" s="1" t="s">
        <v>205</v>
      </c>
      <c r="U435" s="1" t="s">
        <v>1605</v>
      </c>
      <c r="Z435" s="1" t="s">
        <v>71</v>
      </c>
      <c r="AE435" s="1" t="s">
        <v>1601</v>
      </c>
      <c r="AH435" s="1" t="s">
        <v>73</v>
      </c>
      <c r="AK435" s="1" t="s">
        <v>71</v>
      </c>
      <c r="AM435" s="1" t="s">
        <v>71</v>
      </c>
      <c r="AN435" s="1" t="s">
        <v>71</v>
      </c>
      <c r="AS435" s="1" t="s">
        <v>71</v>
      </c>
      <c r="AX435" s="1" t="s">
        <v>71</v>
      </c>
      <c r="AY435" s="1" t="s">
        <v>59</v>
      </c>
      <c r="AZ435" s="1" t="s">
        <v>74</v>
      </c>
      <c r="BH435" s="1" t="s">
        <v>71</v>
      </c>
    </row>
    <row r="436" customFormat="false" ht="15" hidden="false" customHeight="false" outlineLevel="0" collapsed="false">
      <c r="A436" s="1" t="s">
        <v>1608</v>
      </c>
      <c r="B436" s="1" t="s">
        <v>1609</v>
      </c>
      <c r="C436" s="1" t="s">
        <v>288</v>
      </c>
      <c r="D436" s="1" t="s">
        <v>289</v>
      </c>
      <c r="E436" s="1" t="s">
        <v>61</v>
      </c>
      <c r="F436" s="1" t="s">
        <v>101</v>
      </c>
      <c r="G436" s="1" t="s">
        <v>93</v>
      </c>
      <c r="H436" s="1" t="s">
        <v>64</v>
      </c>
      <c r="K436" s="1" t="s">
        <v>224</v>
      </c>
      <c r="L436" s="1" t="s">
        <v>225</v>
      </c>
      <c r="M436" s="1" t="s">
        <v>122</v>
      </c>
      <c r="N436" s="1" t="s">
        <v>105</v>
      </c>
      <c r="O436" s="1" t="s">
        <v>106</v>
      </c>
      <c r="P436" s="1"/>
      <c r="Q436" s="1" t="s">
        <v>70</v>
      </c>
      <c r="U436" s="1" t="s">
        <v>1608</v>
      </c>
      <c r="Z436" s="1" t="s">
        <v>71</v>
      </c>
      <c r="AE436" s="1" t="s">
        <v>1610</v>
      </c>
      <c r="AH436" s="1" t="s">
        <v>73</v>
      </c>
      <c r="AK436" s="1" t="s">
        <v>71</v>
      </c>
      <c r="AM436" s="1" t="s">
        <v>71</v>
      </c>
      <c r="AN436" s="1" t="s">
        <v>71</v>
      </c>
      <c r="AS436" s="1" t="s">
        <v>71</v>
      </c>
      <c r="AX436" s="1" t="s">
        <v>71</v>
      </c>
      <c r="AY436" s="1" t="s">
        <v>59</v>
      </c>
      <c r="AZ436" s="1" t="s">
        <v>74</v>
      </c>
      <c r="BH436" s="1" t="s">
        <v>71</v>
      </c>
    </row>
    <row r="437" customFormat="false" ht="15" hidden="false" customHeight="false" outlineLevel="0" collapsed="false">
      <c r="A437" s="1" t="s">
        <v>1611</v>
      </c>
      <c r="B437" s="1" t="s">
        <v>1612</v>
      </c>
      <c r="C437" s="1" t="s">
        <v>188</v>
      </c>
      <c r="D437" s="1" t="s">
        <v>189</v>
      </c>
      <c r="E437" s="1" t="s">
        <v>65</v>
      </c>
      <c r="F437" s="1" t="s">
        <v>119</v>
      </c>
      <c r="G437" s="1" t="s">
        <v>65</v>
      </c>
      <c r="H437" s="1" t="s">
        <v>64</v>
      </c>
      <c r="K437" s="1" t="s">
        <v>433</v>
      </c>
      <c r="L437" s="1" t="s">
        <v>218</v>
      </c>
      <c r="M437" s="1" t="s">
        <v>104</v>
      </c>
      <c r="N437" s="1" t="s">
        <v>123</v>
      </c>
      <c r="O437" s="1" t="s">
        <v>124</v>
      </c>
      <c r="P437" s="1"/>
      <c r="Q437" s="1" t="s">
        <v>70</v>
      </c>
      <c r="U437" s="1" t="s">
        <v>1611</v>
      </c>
      <c r="Z437" s="1" t="s">
        <v>71</v>
      </c>
      <c r="AE437" s="1" t="s">
        <v>1613</v>
      </c>
      <c r="AH437" s="1" t="s">
        <v>73</v>
      </c>
      <c r="AK437" s="1" t="s">
        <v>71</v>
      </c>
      <c r="AM437" s="1" t="s">
        <v>71</v>
      </c>
      <c r="AN437" s="1" t="s">
        <v>71</v>
      </c>
      <c r="AS437" s="1" t="s">
        <v>71</v>
      </c>
      <c r="AX437" s="1" t="s">
        <v>71</v>
      </c>
      <c r="AY437" s="1" t="s">
        <v>59</v>
      </c>
      <c r="AZ437" s="1" t="s">
        <v>74</v>
      </c>
      <c r="BH437" s="1" t="s">
        <v>71</v>
      </c>
    </row>
    <row r="438" customFormat="false" ht="15" hidden="false" customHeight="false" outlineLevel="0" collapsed="false">
      <c r="A438" s="1" t="s">
        <v>1614</v>
      </c>
      <c r="B438" s="1" t="s">
        <v>1615</v>
      </c>
      <c r="C438" s="1" t="s">
        <v>188</v>
      </c>
      <c r="D438" s="1" t="s">
        <v>189</v>
      </c>
      <c r="E438" s="1" t="s">
        <v>65</v>
      </c>
      <c r="F438" s="1" t="s">
        <v>119</v>
      </c>
      <c r="G438" s="1" t="s">
        <v>65</v>
      </c>
      <c r="H438" s="1" t="s">
        <v>64</v>
      </c>
      <c r="K438" s="1" t="s">
        <v>97</v>
      </c>
      <c r="L438" s="1" t="s">
        <v>197</v>
      </c>
      <c r="M438" s="1" t="s">
        <v>104</v>
      </c>
      <c r="N438" s="1" t="s">
        <v>123</v>
      </c>
      <c r="O438" s="1" t="s">
        <v>124</v>
      </c>
      <c r="P438" s="1"/>
      <c r="Q438" s="1" t="s">
        <v>70</v>
      </c>
      <c r="U438" s="1" t="s">
        <v>1614</v>
      </c>
      <c r="Z438" s="1" t="s">
        <v>71</v>
      </c>
      <c r="AE438" s="1" t="s">
        <v>1613</v>
      </c>
      <c r="AH438" s="1" t="s">
        <v>73</v>
      </c>
      <c r="AK438" s="1" t="s">
        <v>71</v>
      </c>
      <c r="AM438" s="1" t="s">
        <v>71</v>
      </c>
      <c r="AN438" s="1" t="s">
        <v>71</v>
      </c>
      <c r="AS438" s="1" t="s">
        <v>71</v>
      </c>
      <c r="AX438" s="1" t="s">
        <v>71</v>
      </c>
      <c r="AY438" s="1" t="s">
        <v>59</v>
      </c>
      <c r="AZ438" s="1" t="s">
        <v>74</v>
      </c>
      <c r="BH438" s="1" t="s">
        <v>71</v>
      </c>
    </row>
    <row r="439" customFormat="false" ht="15" hidden="false" customHeight="false" outlineLevel="0" collapsed="false">
      <c r="A439" s="1" t="s">
        <v>1616</v>
      </c>
      <c r="B439" s="1" t="s">
        <v>1617</v>
      </c>
      <c r="C439" s="1" t="s">
        <v>288</v>
      </c>
      <c r="D439" s="1" t="s">
        <v>289</v>
      </c>
      <c r="E439" s="1" t="s">
        <v>61</v>
      </c>
      <c r="F439" s="1" t="s">
        <v>101</v>
      </c>
      <c r="G439" s="1" t="s">
        <v>93</v>
      </c>
      <c r="H439" s="1" t="s">
        <v>64</v>
      </c>
      <c r="K439" s="1" t="s">
        <v>102</v>
      </c>
      <c r="L439" s="1" t="s">
        <v>103</v>
      </c>
      <c r="M439" s="1" t="s">
        <v>104</v>
      </c>
      <c r="N439" s="1" t="s">
        <v>203</v>
      </c>
      <c r="O439" s="1" t="s">
        <v>204</v>
      </c>
      <c r="P439" s="1"/>
      <c r="Q439" s="1" t="s">
        <v>70</v>
      </c>
      <c r="U439" s="1" t="s">
        <v>1616</v>
      </c>
      <c r="Z439" s="1" t="s">
        <v>71</v>
      </c>
      <c r="AE439" s="1" t="s">
        <v>1618</v>
      </c>
      <c r="AH439" s="1" t="s">
        <v>73</v>
      </c>
      <c r="AK439" s="1" t="s">
        <v>71</v>
      </c>
      <c r="AM439" s="1" t="s">
        <v>71</v>
      </c>
      <c r="AN439" s="1" t="s">
        <v>71</v>
      </c>
      <c r="AS439" s="1" t="s">
        <v>71</v>
      </c>
      <c r="AX439" s="1" t="s">
        <v>71</v>
      </c>
      <c r="AY439" s="1" t="s">
        <v>59</v>
      </c>
      <c r="AZ439" s="1" t="s">
        <v>74</v>
      </c>
      <c r="BH439" s="1" t="s">
        <v>71</v>
      </c>
    </row>
    <row r="440" customFormat="false" ht="15" hidden="false" customHeight="false" outlineLevel="0" collapsed="false">
      <c r="A440" s="1" t="s">
        <v>1619</v>
      </c>
      <c r="B440" s="1" t="s">
        <v>1620</v>
      </c>
      <c r="C440" s="1" t="s">
        <v>288</v>
      </c>
      <c r="D440" s="1" t="s">
        <v>289</v>
      </c>
      <c r="E440" s="1" t="s">
        <v>61</v>
      </c>
      <c r="F440" s="1" t="s">
        <v>101</v>
      </c>
      <c r="G440" s="1" t="s">
        <v>93</v>
      </c>
      <c r="H440" s="1" t="s">
        <v>64</v>
      </c>
      <c r="K440" s="1" t="s">
        <v>249</v>
      </c>
      <c r="L440" s="1" t="s">
        <v>250</v>
      </c>
      <c r="M440" s="1" t="s">
        <v>104</v>
      </c>
      <c r="N440" s="1" t="s">
        <v>123</v>
      </c>
      <c r="O440" s="1" t="s">
        <v>124</v>
      </c>
      <c r="P440" s="1"/>
      <c r="Q440" s="1" t="s">
        <v>70</v>
      </c>
      <c r="U440" s="1" t="s">
        <v>1619</v>
      </c>
      <c r="Z440" s="1" t="s">
        <v>71</v>
      </c>
      <c r="AE440" s="1" t="s">
        <v>1621</v>
      </c>
      <c r="AH440" s="1" t="s">
        <v>73</v>
      </c>
      <c r="AK440" s="1" t="s">
        <v>71</v>
      </c>
      <c r="AM440" s="1" t="s">
        <v>71</v>
      </c>
      <c r="AN440" s="1" t="s">
        <v>71</v>
      </c>
      <c r="AS440" s="1" t="s">
        <v>71</v>
      </c>
      <c r="AX440" s="1" t="s">
        <v>71</v>
      </c>
      <c r="AY440" s="1" t="s">
        <v>59</v>
      </c>
      <c r="AZ440" s="1" t="s">
        <v>74</v>
      </c>
      <c r="BH440" s="1" t="s">
        <v>71</v>
      </c>
    </row>
    <row r="441" customFormat="false" ht="15" hidden="false" customHeight="false" outlineLevel="0" collapsed="false">
      <c r="A441" s="1" t="s">
        <v>1622</v>
      </c>
      <c r="B441" s="1" t="s">
        <v>1623</v>
      </c>
      <c r="C441" s="1" t="s">
        <v>65</v>
      </c>
      <c r="D441" s="1" t="s">
        <v>1624</v>
      </c>
      <c r="E441" s="1" t="s">
        <v>88</v>
      </c>
      <c r="F441" s="1" t="s">
        <v>432</v>
      </c>
      <c r="G441" s="1" t="s">
        <v>433</v>
      </c>
      <c r="H441" s="1" t="s">
        <v>434</v>
      </c>
      <c r="K441" s="1" t="s">
        <v>435</v>
      </c>
      <c r="L441" s="1" t="s">
        <v>436</v>
      </c>
      <c r="M441" s="1" t="s">
        <v>1625</v>
      </c>
      <c r="N441" s="1" t="s">
        <v>437</v>
      </c>
      <c r="O441" s="1" t="s">
        <v>438</v>
      </c>
      <c r="P441" s="1"/>
      <c r="Q441" s="1" t="s">
        <v>70</v>
      </c>
      <c r="Z441" s="1" t="s">
        <v>71</v>
      </c>
      <c r="AE441" s="1" t="s">
        <v>1626</v>
      </c>
      <c r="AH441" s="1" t="s">
        <v>73</v>
      </c>
      <c r="AK441" s="1" t="s">
        <v>71</v>
      </c>
      <c r="AM441" s="1" t="s">
        <v>71</v>
      </c>
      <c r="AN441" s="1" t="s">
        <v>71</v>
      </c>
      <c r="AS441" s="1" t="s">
        <v>71</v>
      </c>
      <c r="AX441" s="1" t="s">
        <v>71</v>
      </c>
      <c r="AY441" s="1" t="s">
        <v>59</v>
      </c>
      <c r="AZ441" s="1" t="s">
        <v>74</v>
      </c>
      <c r="BH441" s="1" t="s">
        <v>71</v>
      </c>
    </row>
    <row r="442" customFormat="false" ht="15" hidden="false" customHeight="false" outlineLevel="0" collapsed="false">
      <c r="A442" s="1" t="s">
        <v>1627</v>
      </c>
      <c r="B442" s="1" t="s">
        <v>1628</v>
      </c>
      <c r="C442" s="1" t="s">
        <v>368</v>
      </c>
      <c r="D442" s="1" t="s">
        <v>1629</v>
      </c>
      <c r="E442" s="1" t="s">
        <v>82</v>
      </c>
      <c r="F442" s="1" t="s">
        <v>391</v>
      </c>
      <c r="G442" s="1" t="s">
        <v>213</v>
      </c>
      <c r="H442" s="1" t="s">
        <v>477</v>
      </c>
      <c r="K442" s="1" t="s">
        <v>478</v>
      </c>
      <c r="L442" s="1" t="s">
        <v>479</v>
      </c>
      <c r="M442" s="1" t="s">
        <v>1630</v>
      </c>
      <c r="N442" s="1" t="s">
        <v>1631</v>
      </c>
      <c r="O442" s="1" t="s">
        <v>400</v>
      </c>
      <c r="P442" s="1"/>
      <c r="Q442" s="1" t="s">
        <v>70</v>
      </c>
      <c r="Z442" s="1" t="s">
        <v>71</v>
      </c>
      <c r="AE442" s="1" t="s">
        <v>1632</v>
      </c>
      <c r="AH442" s="1" t="s">
        <v>73</v>
      </c>
      <c r="AK442" s="1" t="s">
        <v>71</v>
      </c>
      <c r="AM442" s="1" t="s">
        <v>71</v>
      </c>
      <c r="AN442" s="1" t="s">
        <v>71</v>
      </c>
      <c r="AS442" s="1" t="s">
        <v>71</v>
      </c>
      <c r="AX442" s="1" t="s">
        <v>71</v>
      </c>
      <c r="BH442" s="1" t="s">
        <v>71</v>
      </c>
    </row>
    <row r="443" customFormat="false" ht="15" hidden="false" customHeight="false" outlineLevel="0" collapsed="false">
      <c r="A443" s="1" t="s">
        <v>1633</v>
      </c>
      <c r="B443" s="1" t="s">
        <v>1634</v>
      </c>
      <c r="C443" s="1" t="s">
        <v>368</v>
      </c>
      <c r="D443" s="1" t="s">
        <v>1629</v>
      </c>
      <c r="E443" s="1" t="s">
        <v>82</v>
      </c>
      <c r="F443" s="1" t="s">
        <v>391</v>
      </c>
      <c r="G443" s="1" t="s">
        <v>213</v>
      </c>
      <c r="H443" s="1" t="s">
        <v>477</v>
      </c>
      <c r="K443" s="1" t="s">
        <v>478</v>
      </c>
      <c r="L443" s="1" t="s">
        <v>479</v>
      </c>
      <c r="M443" s="1" t="s">
        <v>496</v>
      </c>
      <c r="N443" s="1" t="s">
        <v>1635</v>
      </c>
      <c r="O443" s="1" t="s">
        <v>447</v>
      </c>
      <c r="P443" s="1"/>
      <c r="Q443" s="1" t="s">
        <v>70</v>
      </c>
      <c r="Z443" s="1" t="s">
        <v>71</v>
      </c>
      <c r="AE443" s="1" t="s">
        <v>1632</v>
      </c>
      <c r="AH443" s="1" t="s">
        <v>73</v>
      </c>
      <c r="AK443" s="1" t="s">
        <v>71</v>
      </c>
      <c r="AM443" s="1" t="s">
        <v>71</v>
      </c>
      <c r="AN443" s="1" t="s">
        <v>71</v>
      </c>
      <c r="AS443" s="1" t="s">
        <v>71</v>
      </c>
      <c r="AX443" s="1" t="s">
        <v>71</v>
      </c>
      <c r="BH443" s="1" t="s">
        <v>71</v>
      </c>
    </row>
    <row r="444" customFormat="false" ht="15" hidden="false" customHeight="false" outlineLevel="0" collapsed="false">
      <c r="A444" s="1" t="s">
        <v>1636</v>
      </c>
      <c r="B444" s="1" t="s">
        <v>1637</v>
      </c>
      <c r="C444" s="1" t="s">
        <v>786</v>
      </c>
      <c r="D444" s="1" t="s">
        <v>1638</v>
      </c>
      <c r="E444" s="1" t="s">
        <v>82</v>
      </c>
      <c r="F444" s="1" t="s">
        <v>391</v>
      </c>
      <c r="G444" s="1" t="s">
        <v>443</v>
      </c>
      <c r="H444" s="1" t="s">
        <v>444</v>
      </c>
      <c r="K444" s="1" t="s">
        <v>618</v>
      </c>
      <c r="L444" s="1" t="s">
        <v>619</v>
      </c>
      <c r="M444" s="1" t="s">
        <v>496</v>
      </c>
      <c r="N444" s="1" t="s">
        <v>1639</v>
      </c>
      <c r="O444" s="1" t="s">
        <v>1640</v>
      </c>
      <c r="P444" s="1"/>
      <c r="Q444" s="1" t="s">
        <v>70</v>
      </c>
      <c r="Z444" s="1" t="s">
        <v>71</v>
      </c>
      <c r="AE444" s="1" t="s">
        <v>1641</v>
      </c>
      <c r="AH444" s="1" t="s">
        <v>73</v>
      </c>
      <c r="AK444" s="1" t="s">
        <v>71</v>
      </c>
      <c r="AM444" s="1" t="s">
        <v>71</v>
      </c>
      <c r="AN444" s="1" t="s">
        <v>71</v>
      </c>
      <c r="AS444" s="1" t="s">
        <v>71</v>
      </c>
      <c r="AX444" s="1" t="s">
        <v>71</v>
      </c>
      <c r="BH444" s="1" t="s">
        <v>71</v>
      </c>
    </row>
    <row r="445" customFormat="false" ht="15" hidden="false" customHeight="false" outlineLevel="0" collapsed="false">
      <c r="A445" s="1" t="s">
        <v>1642</v>
      </c>
      <c r="B445" s="1" t="s">
        <v>1643</v>
      </c>
      <c r="C445" s="1" t="s">
        <v>182</v>
      </c>
      <c r="D445" s="1" t="s">
        <v>239</v>
      </c>
      <c r="E445" s="1" t="s">
        <v>61</v>
      </c>
      <c r="F445" s="1" t="s">
        <v>101</v>
      </c>
      <c r="G445" s="1" t="s">
        <v>148</v>
      </c>
      <c r="H445" s="1" t="s">
        <v>231</v>
      </c>
      <c r="K445" s="1" t="s">
        <v>240</v>
      </c>
      <c r="L445" s="1" t="s">
        <v>241</v>
      </c>
      <c r="M445" s="1" t="s">
        <v>242</v>
      </c>
      <c r="N445" s="1" t="s">
        <v>243</v>
      </c>
      <c r="O445" s="1" t="s">
        <v>244</v>
      </c>
      <c r="P445" s="1" t="e">
        <f aca="false">image("https://drive.google.com/uc?export=view&amp;id=1CBebrB8q9-lAjaYU7nit-K8ixoD-IiBm")</f>
        <v>#NAME?</v>
      </c>
      <c r="Q445" s="1" t="s">
        <v>205</v>
      </c>
      <c r="U445" s="1" t="s">
        <v>245</v>
      </c>
      <c r="Z445" s="1" t="s">
        <v>71</v>
      </c>
      <c r="AE445" s="1" t="s">
        <v>1644</v>
      </c>
      <c r="AH445" s="1" t="s">
        <v>73</v>
      </c>
      <c r="AK445" s="1" t="s">
        <v>71</v>
      </c>
      <c r="AM445" s="1" t="s">
        <v>71</v>
      </c>
      <c r="AN445" s="1" t="s">
        <v>71</v>
      </c>
      <c r="AS445" s="1" t="s">
        <v>71</v>
      </c>
      <c r="AX445" s="1" t="s">
        <v>71</v>
      </c>
      <c r="AY445" s="1" t="s">
        <v>59</v>
      </c>
      <c r="AZ445" s="1" t="s">
        <v>74</v>
      </c>
      <c r="BH445" s="1" t="s">
        <v>71</v>
      </c>
    </row>
    <row r="446" customFormat="false" ht="15" hidden="false" customHeight="false" outlineLevel="0" collapsed="false">
      <c r="A446" s="1" t="s">
        <v>1645</v>
      </c>
      <c r="B446" s="1" t="s">
        <v>1646</v>
      </c>
      <c r="C446" s="1" t="s">
        <v>491</v>
      </c>
      <c r="D446" s="1" t="s">
        <v>1647</v>
      </c>
      <c r="E446" s="1" t="s">
        <v>88</v>
      </c>
      <c r="F446" s="1" t="s">
        <v>432</v>
      </c>
      <c r="G446" s="1" t="s">
        <v>229</v>
      </c>
      <c r="H446" s="1" t="s">
        <v>495</v>
      </c>
      <c r="K446" s="1" t="s">
        <v>501</v>
      </c>
      <c r="L446" s="1" t="s">
        <v>502</v>
      </c>
      <c r="M446" s="1" t="s">
        <v>465</v>
      </c>
      <c r="N446" s="1" t="s">
        <v>503</v>
      </c>
      <c r="O446" s="1" t="s">
        <v>504</v>
      </c>
      <c r="P446" s="1"/>
      <c r="Q446" s="1" t="s">
        <v>70</v>
      </c>
      <c r="Z446" s="1" t="s">
        <v>71</v>
      </c>
      <c r="AE446" s="1" t="s">
        <v>1648</v>
      </c>
      <c r="AH446" s="1" t="s">
        <v>73</v>
      </c>
      <c r="AK446" s="1" t="s">
        <v>71</v>
      </c>
      <c r="AM446" s="1" t="s">
        <v>71</v>
      </c>
      <c r="AN446" s="1" t="s">
        <v>71</v>
      </c>
      <c r="AS446" s="1" t="s">
        <v>71</v>
      </c>
      <c r="AX446" s="1" t="s">
        <v>71</v>
      </c>
      <c r="BH446" s="1" t="s">
        <v>71</v>
      </c>
    </row>
    <row r="447" customFormat="false" ht="15" hidden="false" customHeight="false" outlineLevel="0" collapsed="false">
      <c r="A447" s="1" t="s">
        <v>1649</v>
      </c>
      <c r="B447" s="1" t="s">
        <v>1650</v>
      </c>
      <c r="C447" s="1" t="s">
        <v>499</v>
      </c>
      <c r="D447" s="1" t="s">
        <v>1651</v>
      </c>
      <c r="E447" s="1" t="s">
        <v>88</v>
      </c>
      <c r="F447" s="1" t="s">
        <v>432</v>
      </c>
      <c r="G447" s="1" t="s">
        <v>229</v>
      </c>
      <c r="H447" s="1" t="s">
        <v>495</v>
      </c>
      <c r="K447" s="1" t="s">
        <v>501</v>
      </c>
      <c r="L447" s="1" t="s">
        <v>502</v>
      </c>
      <c r="M447" s="1" t="s">
        <v>496</v>
      </c>
      <c r="N447" s="1" t="s">
        <v>1401</v>
      </c>
      <c r="O447" s="1" t="s">
        <v>1402</v>
      </c>
      <c r="P447" s="1"/>
      <c r="Q447" s="1" t="s">
        <v>70</v>
      </c>
      <c r="Z447" s="1" t="s">
        <v>71</v>
      </c>
      <c r="AE447" s="1" t="s">
        <v>1648</v>
      </c>
      <c r="AH447" s="1" t="s">
        <v>73</v>
      </c>
      <c r="AK447" s="1" t="s">
        <v>71</v>
      </c>
      <c r="AM447" s="1" t="s">
        <v>71</v>
      </c>
      <c r="AN447" s="1" t="s">
        <v>71</v>
      </c>
      <c r="AS447" s="1" t="s">
        <v>71</v>
      </c>
      <c r="AX447" s="1" t="s">
        <v>71</v>
      </c>
      <c r="BH447" s="1" t="s">
        <v>71</v>
      </c>
    </row>
    <row r="448" customFormat="false" ht="15" hidden="false" customHeight="false" outlineLevel="0" collapsed="false">
      <c r="A448" s="1" t="s">
        <v>1652</v>
      </c>
      <c r="B448" s="1" t="s">
        <v>1653</v>
      </c>
      <c r="C448" s="1" t="s">
        <v>163</v>
      </c>
      <c r="D448" s="1" t="s">
        <v>267</v>
      </c>
      <c r="E448" s="1" t="s">
        <v>61</v>
      </c>
      <c r="F448" s="1" t="s">
        <v>101</v>
      </c>
      <c r="G448" s="1" t="s">
        <v>148</v>
      </c>
      <c r="H448" s="1" t="s">
        <v>231</v>
      </c>
      <c r="K448" s="1" t="s">
        <v>144</v>
      </c>
      <c r="L448" s="1" t="s">
        <v>1654</v>
      </c>
      <c r="M448" s="1" t="s">
        <v>1655</v>
      </c>
      <c r="N448" s="1" t="s">
        <v>243</v>
      </c>
      <c r="O448" s="1" t="s">
        <v>244</v>
      </c>
      <c r="P448" s="1"/>
      <c r="Q448" s="1" t="s">
        <v>70</v>
      </c>
      <c r="U448" s="1" t="s">
        <v>1652</v>
      </c>
      <c r="Z448" s="1" t="s">
        <v>71</v>
      </c>
      <c r="AE448" s="1" t="s">
        <v>1648</v>
      </c>
      <c r="AH448" s="1" t="s">
        <v>73</v>
      </c>
      <c r="AK448" s="1" t="s">
        <v>71</v>
      </c>
      <c r="AM448" s="1" t="s">
        <v>71</v>
      </c>
      <c r="AN448" s="1" t="s">
        <v>71</v>
      </c>
      <c r="AS448" s="1" t="s">
        <v>71</v>
      </c>
      <c r="AX448" s="1" t="s">
        <v>71</v>
      </c>
      <c r="AY448" s="1" t="s">
        <v>59</v>
      </c>
      <c r="AZ448" s="1" t="s">
        <v>74</v>
      </c>
      <c r="BH448" s="1" t="s">
        <v>71</v>
      </c>
    </row>
    <row r="449" customFormat="false" ht="15" hidden="false" customHeight="false" outlineLevel="0" collapsed="false">
      <c r="A449" s="1" t="s">
        <v>1656</v>
      </c>
      <c r="B449" s="1" t="s">
        <v>1657</v>
      </c>
      <c r="C449" s="1" t="s">
        <v>163</v>
      </c>
      <c r="D449" s="1" t="s">
        <v>267</v>
      </c>
      <c r="E449" s="1" t="s">
        <v>61</v>
      </c>
      <c r="F449" s="1" t="s">
        <v>101</v>
      </c>
      <c r="G449" s="1" t="s">
        <v>177</v>
      </c>
      <c r="H449" s="1" t="s">
        <v>255</v>
      </c>
      <c r="K449" s="1" t="s">
        <v>134</v>
      </c>
      <c r="L449" s="1" t="s">
        <v>268</v>
      </c>
      <c r="M449" s="1" t="s">
        <v>242</v>
      </c>
      <c r="N449" s="1" t="s">
        <v>259</v>
      </c>
      <c r="O449" s="1" t="s">
        <v>260</v>
      </c>
      <c r="P449" s="1"/>
      <c r="Q449" s="1" t="s">
        <v>70</v>
      </c>
      <c r="U449" s="1" t="s">
        <v>1656</v>
      </c>
      <c r="Z449" s="1" t="s">
        <v>71</v>
      </c>
      <c r="AE449" s="1" t="s">
        <v>1658</v>
      </c>
      <c r="AH449" s="1" t="s">
        <v>73</v>
      </c>
      <c r="AK449" s="1" t="s">
        <v>71</v>
      </c>
      <c r="AM449" s="1" t="s">
        <v>71</v>
      </c>
      <c r="AN449" s="1" t="s">
        <v>71</v>
      </c>
      <c r="AS449" s="1" t="s">
        <v>71</v>
      </c>
      <c r="AX449" s="1" t="s">
        <v>71</v>
      </c>
      <c r="AY449" s="1" t="s">
        <v>59</v>
      </c>
      <c r="AZ449" s="1" t="s">
        <v>74</v>
      </c>
      <c r="BH449" s="1" t="s">
        <v>71</v>
      </c>
    </row>
    <row r="450" customFormat="false" ht="15" hidden="false" customHeight="false" outlineLevel="0" collapsed="false">
      <c r="A450" s="1" t="s">
        <v>1659</v>
      </c>
      <c r="B450" s="1" t="s">
        <v>1660</v>
      </c>
      <c r="C450" s="1" t="s">
        <v>161</v>
      </c>
      <c r="D450" s="1" t="s">
        <v>162</v>
      </c>
      <c r="E450" s="1" t="s">
        <v>61</v>
      </c>
      <c r="F450" s="1" t="s">
        <v>101</v>
      </c>
      <c r="G450" s="1" t="s">
        <v>93</v>
      </c>
      <c r="H450" s="1" t="s">
        <v>64</v>
      </c>
      <c r="K450" s="1" t="s">
        <v>211</v>
      </c>
      <c r="L450" s="1" t="s">
        <v>1661</v>
      </c>
      <c r="M450" s="1" t="s">
        <v>122</v>
      </c>
      <c r="N450" s="1" t="s">
        <v>105</v>
      </c>
      <c r="O450" s="1" t="s">
        <v>106</v>
      </c>
      <c r="P450" s="1" t="e">
        <f aca="false">image("https://drive.google.com/uc?export=view&amp;id=1lQynNkPZMheWhUhJZuyodHvFK5oa3hwY")</f>
        <v>#NAME?</v>
      </c>
      <c r="Q450" s="1" t="s">
        <v>205</v>
      </c>
      <c r="U450" s="1" t="s">
        <v>1659</v>
      </c>
      <c r="Z450" s="1" t="s">
        <v>71</v>
      </c>
      <c r="AE450" s="1" t="s">
        <v>1658</v>
      </c>
      <c r="AH450" s="1" t="s">
        <v>73</v>
      </c>
      <c r="AK450" s="1" t="s">
        <v>71</v>
      </c>
      <c r="AM450" s="1" t="s">
        <v>71</v>
      </c>
      <c r="AN450" s="1" t="s">
        <v>71</v>
      </c>
      <c r="AS450" s="1" t="s">
        <v>71</v>
      </c>
      <c r="AX450" s="1" t="s">
        <v>71</v>
      </c>
      <c r="AY450" s="1" t="s">
        <v>59</v>
      </c>
      <c r="AZ450" s="1" t="s">
        <v>74</v>
      </c>
      <c r="BH450" s="1" t="s">
        <v>71</v>
      </c>
    </row>
    <row r="451" customFormat="false" ht="15" hidden="false" customHeight="false" outlineLevel="0" collapsed="false">
      <c r="A451" s="1" t="s">
        <v>1662</v>
      </c>
      <c r="B451" s="1" t="s">
        <v>1663</v>
      </c>
      <c r="C451" s="1" t="s">
        <v>509</v>
      </c>
      <c r="D451" s="1" t="s">
        <v>1664</v>
      </c>
      <c r="E451" s="1" t="s">
        <v>82</v>
      </c>
      <c r="F451" s="1" t="s">
        <v>391</v>
      </c>
      <c r="G451" s="1" t="s">
        <v>182</v>
      </c>
      <c r="H451" s="1" t="s">
        <v>392</v>
      </c>
      <c r="K451" s="1" t="s">
        <v>903</v>
      </c>
      <c r="L451" s="1" t="s">
        <v>904</v>
      </c>
      <c r="M451" s="1" t="s">
        <v>1665</v>
      </c>
      <c r="N451" s="1" t="s">
        <v>1666</v>
      </c>
      <c r="O451" s="1" t="s">
        <v>1667</v>
      </c>
      <c r="P451" s="1"/>
      <c r="Q451" s="1" t="s">
        <v>70</v>
      </c>
      <c r="Z451" s="1" t="s">
        <v>71</v>
      </c>
      <c r="AE451" s="1" t="s">
        <v>1668</v>
      </c>
      <c r="AH451" s="1" t="s">
        <v>73</v>
      </c>
      <c r="AK451" s="1" t="s">
        <v>71</v>
      </c>
      <c r="AM451" s="1" t="s">
        <v>71</v>
      </c>
      <c r="AN451" s="1" t="s">
        <v>71</v>
      </c>
      <c r="AS451" s="1" t="s">
        <v>71</v>
      </c>
      <c r="AX451" s="1" t="s">
        <v>71</v>
      </c>
      <c r="BH451" s="1" t="s">
        <v>71</v>
      </c>
    </row>
    <row r="452" customFormat="false" ht="15" hidden="false" customHeight="false" outlineLevel="0" collapsed="false">
      <c r="A452" s="1" t="s">
        <v>1669</v>
      </c>
      <c r="B452" s="1" t="s">
        <v>1670</v>
      </c>
      <c r="C452" s="1" t="s">
        <v>1412</v>
      </c>
      <c r="D452" s="1" t="s">
        <v>1413</v>
      </c>
      <c r="E452" s="1" t="s">
        <v>61</v>
      </c>
      <c r="F452" s="1" t="s">
        <v>101</v>
      </c>
      <c r="G452" s="1" t="s">
        <v>148</v>
      </c>
      <c r="H452" s="1" t="s">
        <v>231</v>
      </c>
      <c r="K452" s="1" t="s">
        <v>573</v>
      </c>
      <c r="L452" s="1" t="s">
        <v>1671</v>
      </c>
      <c r="M452" s="1" t="s">
        <v>1672</v>
      </c>
      <c r="N452" s="1" t="s">
        <v>243</v>
      </c>
      <c r="O452" s="1" t="s">
        <v>244</v>
      </c>
      <c r="P452" s="1"/>
      <c r="Q452" s="1" t="s">
        <v>70</v>
      </c>
      <c r="U452" s="1" t="s">
        <v>1669</v>
      </c>
      <c r="Z452" s="1" t="s">
        <v>71</v>
      </c>
      <c r="AE452" s="1" t="s">
        <v>1673</v>
      </c>
      <c r="AH452" s="1" t="s">
        <v>73</v>
      </c>
      <c r="AK452" s="1" t="s">
        <v>71</v>
      </c>
      <c r="AM452" s="1" t="s">
        <v>71</v>
      </c>
      <c r="AN452" s="1" t="s">
        <v>71</v>
      </c>
      <c r="AS452" s="1" t="s">
        <v>71</v>
      </c>
      <c r="AX452" s="1" t="s">
        <v>71</v>
      </c>
      <c r="AY452" s="1" t="s">
        <v>59</v>
      </c>
      <c r="AZ452" s="1" t="s">
        <v>74</v>
      </c>
      <c r="BH452" s="1" t="s">
        <v>71</v>
      </c>
    </row>
    <row r="453" customFormat="false" ht="15" hidden="false" customHeight="false" outlineLevel="0" collapsed="false">
      <c r="A453" s="1" t="s">
        <v>1674</v>
      </c>
      <c r="B453" s="1" t="s">
        <v>904</v>
      </c>
      <c r="C453" s="1" t="s">
        <v>509</v>
      </c>
      <c r="D453" s="1" t="s">
        <v>1664</v>
      </c>
      <c r="E453" s="1" t="s">
        <v>82</v>
      </c>
      <c r="F453" s="1" t="s">
        <v>391</v>
      </c>
      <c r="G453" s="1" t="s">
        <v>182</v>
      </c>
      <c r="H453" s="1" t="s">
        <v>392</v>
      </c>
      <c r="K453" s="1" t="s">
        <v>903</v>
      </c>
      <c r="L453" s="1" t="s">
        <v>904</v>
      </c>
      <c r="M453" s="1" t="s">
        <v>1665</v>
      </c>
      <c r="N453" s="1" t="s">
        <v>1666</v>
      </c>
      <c r="O453" s="1" t="s">
        <v>1667</v>
      </c>
      <c r="P453" s="1"/>
      <c r="Q453" s="1" t="s">
        <v>70</v>
      </c>
      <c r="Z453" s="1" t="s">
        <v>71</v>
      </c>
      <c r="AE453" s="1" t="s">
        <v>1675</v>
      </c>
      <c r="AH453" s="1" t="s">
        <v>73</v>
      </c>
      <c r="AK453" s="1" t="s">
        <v>71</v>
      </c>
      <c r="AM453" s="1" t="s">
        <v>71</v>
      </c>
      <c r="AN453" s="1" t="s">
        <v>71</v>
      </c>
      <c r="AS453" s="1" t="s">
        <v>71</v>
      </c>
      <c r="AX453" s="1" t="s">
        <v>71</v>
      </c>
      <c r="BH453" s="1" t="s">
        <v>71</v>
      </c>
    </row>
    <row r="454" customFormat="false" ht="15" hidden="false" customHeight="false" outlineLevel="0" collapsed="false">
      <c r="A454" s="1" t="s">
        <v>1676</v>
      </c>
      <c r="B454" s="1" t="s">
        <v>1677</v>
      </c>
      <c r="C454" s="1" t="s">
        <v>520</v>
      </c>
      <c r="D454" s="1" t="s">
        <v>1678</v>
      </c>
      <c r="E454" s="1" t="s">
        <v>82</v>
      </c>
      <c r="F454" s="1" t="s">
        <v>391</v>
      </c>
      <c r="G454" s="1" t="s">
        <v>443</v>
      </c>
      <c r="H454" s="1" t="s">
        <v>444</v>
      </c>
      <c r="K454" s="1" t="s">
        <v>1679</v>
      </c>
      <c r="L454" s="1" t="s">
        <v>1680</v>
      </c>
      <c r="M454" s="1" t="s">
        <v>1681</v>
      </c>
      <c r="N454" s="1" t="s">
        <v>1682</v>
      </c>
      <c r="O454" s="1" t="s">
        <v>1001</v>
      </c>
      <c r="P454" s="1"/>
      <c r="Q454" s="1" t="s">
        <v>70</v>
      </c>
      <c r="Z454" s="1" t="s">
        <v>71</v>
      </c>
      <c r="AE454" s="1" t="s">
        <v>1675</v>
      </c>
      <c r="AH454" s="1" t="s">
        <v>73</v>
      </c>
      <c r="AK454" s="1" t="s">
        <v>71</v>
      </c>
      <c r="AM454" s="1" t="s">
        <v>71</v>
      </c>
      <c r="AN454" s="1" t="s">
        <v>71</v>
      </c>
      <c r="AS454" s="1" t="s">
        <v>71</v>
      </c>
      <c r="AX454" s="1" t="s">
        <v>71</v>
      </c>
      <c r="BH454" s="1" t="s">
        <v>71</v>
      </c>
    </row>
    <row r="455" customFormat="false" ht="15" hidden="false" customHeight="false" outlineLevel="0" collapsed="false">
      <c r="A455" s="1" t="s">
        <v>1683</v>
      </c>
      <c r="B455" s="1" t="s">
        <v>1684</v>
      </c>
      <c r="C455" s="1" t="s">
        <v>520</v>
      </c>
      <c r="D455" s="1" t="s">
        <v>1678</v>
      </c>
      <c r="E455" s="1" t="s">
        <v>82</v>
      </c>
      <c r="F455" s="1" t="s">
        <v>391</v>
      </c>
      <c r="G455" s="1" t="s">
        <v>443</v>
      </c>
      <c r="H455" s="1" t="s">
        <v>444</v>
      </c>
      <c r="K455" s="1" t="s">
        <v>988</v>
      </c>
      <c r="L455" s="1" t="s">
        <v>989</v>
      </c>
      <c r="M455" s="1" t="s">
        <v>1685</v>
      </c>
      <c r="N455" s="1" t="s">
        <v>1682</v>
      </c>
      <c r="O455" s="1" t="s">
        <v>1001</v>
      </c>
      <c r="P455" s="1"/>
      <c r="Q455" s="1" t="s">
        <v>70</v>
      </c>
      <c r="Z455" s="1" t="s">
        <v>71</v>
      </c>
      <c r="AE455" s="1" t="s">
        <v>1675</v>
      </c>
      <c r="AH455" s="1" t="s">
        <v>73</v>
      </c>
      <c r="AK455" s="1" t="s">
        <v>71</v>
      </c>
      <c r="AM455" s="1" t="s">
        <v>71</v>
      </c>
      <c r="AN455" s="1" t="s">
        <v>71</v>
      </c>
      <c r="AS455" s="1" t="s">
        <v>71</v>
      </c>
      <c r="AX455" s="1" t="s">
        <v>71</v>
      </c>
      <c r="BH455" s="1" t="s">
        <v>71</v>
      </c>
    </row>
    <row r="456" customFormat="false" ht="15" hidden="false" customHeight="false" outlineLevel="0" collapsed="false">
      <c r="A456" s="1" t="s">
        <v>1686</v>
      </c>
      <c r="B456" s="1" t="s">
        <v>1687</v>
      </c>
      <c r="C456" s="1" t="s">
        <v>524</v>
      </c>
      <c r="D456" s="1" t="s">
        <v>841</v>
      </c>
      <c r="E456" s="1" t="s">
        <v>82</v>
      </c>
      <c r="F456" s="1" t="s">
        <v>391</v>
      </c>
      <c r="G456" s="1" t="s">
        <v>443</v>
      </c>
      <c r="H456" s="1" t="s">
        <v>444</v>
      </c>
      <c r="K456" s="1" t="s">
        <v>1688</v>
      </c>
      <c r="L456" s="1" t="s">
        <v>1689</v>
      </c>
      <c r="M456" s="1" t="s">
        <v>550</v>
      </c>
      <c r="N456" s="1" t="s">
        <v>1690</v>
      </c>
      <c r="O456" s="1" t="s">
        <v>1691</v>
      </c>
      <c r="P456" s="1"/>
      <c r="Q456" s="1" t="s">
        <v>70</v>
      </c>
      <c r="Z456" s="1" t="s">
        <v>71</v>
      </c>
      <c r="AE456" s="1" t="s">
        <v>1675</v>
      </c>
      <c r="AH456" s="1" t="s">
        <v>73</v>
      </c>
      <c r="AK456" s="1" t="s">
        <v>71</v>
      </c>
      <c r="AM456" s="1" t="s">
        <v>71</v>
      </c>
      <c r="AN456" s="1" t="s">
        <v>71</v>
      </c>
      <c r="AS456" s="1" t="s">
        <v>71</v>
      </c>
      <c r="AX456" s="1" t="s">
        <v>71</v>
      </c>
      <c r="BH456" s="1" t="s">
        <v>71</v>
      </c>
    </row>
    <row r="457" customFormat="false" ht="15" hidden="false" customHeight="false" outlineLevel="0" collapsed="false">
      <c r="A457" s="1" t="s">
        <v>1692</v>
      </c>
      <c r="B457" s="1" t="s">
        <v>1693</v>
      </c>
      <c r="C457" s="1" t="s">
        <v>524</v>
      </c>
      <c r="D457" s="1" t="s">
        <v>841</v>
      </c>
      <c r="E457" s="1" t="s">
        <v>82</v>
      </c>
      <c r="F457" s="1" t="s">
        <v>391</v>
      </c>
      <c r="G457" s="1" t="s">
        <v>443</v>
      </c>
      <c r="H457" s="1" t="s">
        <v>444</v>
      </c>
      <c r="K457" s="1" t="s">
        <v>1694</v>
      </c>
      <c r="L457" s="1" t="s">
        <v>1695</v>
      </c>
      <c r="M457" s="1" t="s">
        <v>496</v>
      </c>
      <c r="N457" s="1" t="s">
        <v>1696</v>
      </c>
      <c r="O457" s="1" t="s">
        <v>1697</v>
      </c>
      <c r="P457" s="1"/>
      <c r="Q457" s="1" t="s">
        <v>70</v>
      </c>
      <c r="Z457" s="1" t="s">
        <v>71</v>
      </c>
      <c r="AE457" s="1" t="s">
        <v>1675</v>
      </c>
      <c r="AH457" s="1" t="s">
        <v>73</v>
      </c>
      <c r="AK457" s="1" t="s">
        <v>71</v>
      </c>
      <c r="AM457" s="1" t="s">
        <v>71</v>
      </c>
      <c r="AN457" s="1" t="s">
        <v>71</v>
      </c>
      <c r="AS457" s="1" t="s">
        <v>71</v>
      </c>
      <c r="AX457" s="1" t="s">
        <v>71</v>
      </c>
      <c r="BH457" s="1" t="s">
        <v>71</v>
      </c>
    </row>
    <row r="458" customFormat="false" ht="15" hidden="false" customHeight="false" outlineLevel="0" collapsed="false">
      <c r="A458" s="1" t="s">
        <v>1698</v>
      </c>
      <c r="B458" s="1" t="s">
        <v>1699</v>
      </c>
      <c r="C458" s="1" t="s">
        <v>524</v>
      </c>
      <c r="D458" s="1" t="s">
        <v>841</v>
      </c>
      <c r="E458" s="1" t="s">
        <v>82</v>
      </c>
      <c r="F458" s="1" t="s">
        <v>391</v>
      </c>
      <c r="G458" s="1" t="s">
        <v>443</v>
      </c>
      <c r="H458" s="1" t="s">
        <v>444</v>
      </c>
      <c r="K458" s="1" t="s">
        <v>220</v>
      </c>
      <c r="L458" s="1" t="s">
        <v>1700</v>
      </c>
      <c r="M458" s="1" t="s">
        <v>496</v>
      </c>
      <c r="N458" s="1" t="s">
        <v>842</v>
      </c>
      <c r="O458" s="1" t="s">
        <v>400</v>
      </c>
      <c r="P458" s="1"/>
      <c r="Q458" s="1" t="s">
        <v>70</v>
      </c>
      <c r="Z458" s="1" t="s">
        <v>71</v>
      </c>
      <c r="AE458" s="1" t="s">
        <v>1675</v>
      </c>
      <c r="AH458" s="1" t="s">
        <v>73</v>
      </c>
      <c r="AK458" s="1" t="s">
        <v>71</v>
      </c>
      <c r="AM458" s="1" t="s">
        <v>71</v>
      </c>
      <c r="AN458" s="1" t="s">
        <v>71</v>
      </c>
      <c r="AS458" s="1" t="s">
        <v>71</v>
      </c>
      <c r="AX458" s="1" t="s">
        <v>71</v>
      </c>
      <c r="BH458" s="1" t="s">
        <v>71</v>
      </c>
    </row>
    <row r="459" customFormat="false" ht="15" hidden="false" customHeight="false" outlineLevel="0" collapsed="false">
      <c r="A459" s="1" t="s">
        <v>1701</v>
      </c>
      <c r="B459" s="1" t="s">
        <v>1702</v>
      </c>
      <c r="C459" s="1" t="s">
        <v>524</v>
      </c>
      <c r="D459" s="1" t="s">
        <v>841</v>
      </c>
      <c r="E459" s="1" t="s">
        <v>82</v>
      </c>
      <c r="F459" s="1" t="s">
        <v>391</v>
      </c>
      <c r="G459" s="1" t="s">
        <v>443</v>
      </c>
      <c r="H459" s="1" t="s">
        <v>444</v>
      </c>
      <c r="K459" s="1" t="s">
        <v>1679</v>
      </c>
      <c r="L459" s="1" t="s">
        <v>1680</v>
      </c>
      <c r="M459" s="1" t="s">
        <v>1681</v>
      </c>
      <c r="N459" s="1" t="s">
        <v>1682</v>
      </c>
      <c r="O459" s="1" t="s">
        <v>1001</v>
      </c>
      <c r="P459" s="1"/>
      <c r="Q459" s="1" t="s">
        <v>70</v>
      </c>
      <c r="Z459" s="1" t="s">
        <v>71</v>
      </c>
      <c r="AE459" s="1" t="s">
        <v>1675</v>
      </c>
      <c r="AH459" s="1" t="s">
        <v>73</v>
      </c>
      <c r="AK459" s="1" t="s">
        <v>71</v>
      </c>
      <c r="AM459" s="1" t="s">
        <v>71</v>
      </c>
      <c r="AN459" s="1" t="s">
        <v>71</v>
      </c>
      <c r="AS459" s="1" t="s">
        <v>71</v>
      </c>
      <c r="AX459" s="1" t="s">
        <v>71</v>
      </c>
      <c r="BH459" s="1" t="s">
        <v>71</v>
      </c>
    </row>
    <row r="460" customFormat="false" ht="15" hidden="false" customHeight="false" outlineLevel="0" collapsed="false">
      <c r="A460" s="1" t="s">
        <v>1703</v>
      </c>
      <c r="B460" s="1" t="s">
        <v>1704</v>
      </c>
      <c r="C460" s="1" t="s">
        <v>161</v>
      </c>
      <c r="D460" s="1" t="s">
        <v>162</v>
      </c>
      <c r="E460" s="1" t="s">
        <v>61</v>
      </c>
      <c r="F460" s="1" t="s">
        <v>101</v>
      </c>
      <c r="G460" s="1" t="s">
        <v>93</v>
      </c>
      <c r="H460" s="1" t="s">
        <v>64</v>
      </c>
      <c r="K460" s="1" t="s">
        <v>548</v>
      </c>
      <c r="L460" s="1" t="s">
        <v>1705</v>
      </c>
      <c r="M460" s="1" t="s">
        <v>1706</v>
      </c>
      <c r="N460" s="1" t="s">
        <v>105</v>
      </c>
      <c r="O460" s="1" t="s">
        <v>106</v>
      </c>
      <c r="P460" s="1" t="e">
        <f aca="false">image("https://drive.google.com/uc?export=view&amp;id=1JzcFRl1SEQpOSBNBPalwK0stv3ZyzK8X")</f>
        <v>#NAME?</v>
      </c>
      <c r="Q460" s="1" t="s">
        <v>205</v>
      </c>
      <c r="U460" s="1" t="s">
        <v>1703</v>
      </c>
      <c r="Z460" s="1" t="s">
        <v>71</v>
      </c>
      <c r="AE460" s="1" t="s">
        <v>1675</v>
      </c>
      <c r="AH460" s="1" t="s">
        <v>73</v>
      </c>
      <c r="AK460" s="1" t="s">
        <v>71</v>
      </c>
      <c r="AM460" s="1" t="s">
        <v>71</v>
      </c>
      <c r="AN460" s="1" t="s">
        <v>71</v>
      </c>
      <c r="AS460" s="1" t="s">
        <v>71</v>
      </c>
      <c r="AX460" s="1" t="s">
        <v>71</v>
      </c>
      <c r="AY460" s="1" t="s">
        <v>59</v>
      </c>
      <c r="AZ460" s="1" t="s">
        <v>74</v>
      </c>
      <c r="BH460" s="1" t="s">
        <v>71</v>
      </c>
    </row>
    <row r="461" customFormat="false" ht="15" hidden="false" customHeight="false" outlineLevel="0" collapsed="false">
      <c r="A461" s="1" t="s">
        <v>1707</v>
      </c>
      <c r="B461" s="1" t="s">
        <v>1708</v>
      </c>
      <c r="C461" s="1" t="s">
        <v>528</v>
      </c>
      <c r="D461" s="1" t="s">
        <v>1274</v>
      </c>
      <c r="E461" s="1" t="s">
        <v>82</v>
      </c>
      <c r="F461" s="1" t="s">
        <v>391</v>
      </c>
      <c r="G461" s="1" t="s">
        <v>443</v>
      </c>
      <c r="H461" s="1" t="s">
        <v>444</v>
      </c>
      <c r="K461" s="1" t="s">
        <v>554</v>
      </c>
      <c r="L461" s="1" t="s">
        <v>1709</v>
      </c>
      <c r="M461" s="1" t="s">
        <v>1710</v>
      </c>
      <c r="N461" s="1" t="s">
        <v>1711</v>
      </c>
      <c r="O461" s="1" t="s">
        <v>1712</v>
      </c>
      <c r="P461" s="1"/>
      <c r="Q461" s="1" t="s">
        <v>70</v>
      </c>
      <c r="Z461" s="1" t="s">
        <v>71</v>
      </c>
      <c r="AE461" s="1" t="s">
        <v>1713</v>
      </c>
      <c r="AH461" s="1" t="s">
        <v>73</v>
      </c>
      <c r="AK461" s="1" t="s">
        <v>71</v>
      </c>
      <c r="AM461" s="1" t="s">
        <v>71</v>
      </c>
      <c r="AN461" s="1" t="s">
        <v>71</v>
      </c>
      <c r="AS461" s="1" t="s">
        <v>71</v>
      </c>
      <c r="AX461" s="1" t="s">
        <v>71</v>
      </c>
      <c r="BH461" s="1" t="s">
        <v>71</v>
      </c>
    </row>
    <row r="462" customFormat="false" ht="15" hidden="false" customHeight="false" outlineLevel="0" collapsed="false">
      <c r="A462" s="1" t="s">
        <v>1714</v>
      </c>
      <c r="B462" s="1" t="s">
        <v>1715</v>
      </c>
      <c r="C462" s="1" t="s">
        <v>528</v>
      </c>
      <c r="D462" s="1" t="s">
        <v>1274</v>
      </c>
      <c r="E462" s="1" t="s">
        <v>82</v>
      </c>
      <c r="F462" s="1" t="s">
        <v>391</v>
      </c>
      <c r="G462" s="1" t="s">
        <v>443</v>
      </c>
      <c r="H462" s="1" t="s">
        <v>444</v>
      </c>
      <c r="K462" s="1" t="s">
        <v>554</v>
      </c>
      <c r="L462" s="1" t="s">
        <v>1709</v>
      </c>
      <c r="M462" s="1" t="s">
        <v>1716</v>
      </c>
      <c r="N462" s="1" t="s">
        <v>1711</v>
      </c>
      <c r="O462" s="1" t="s">
        <v>1712</v>
      </c>
      <c r="P462" s="1"/>
      <c r="Q462" s="1" t="s">
        <v>70</v>
      </c>
      <c r="Z462" s="1" t="s">
        <v>71</v>
      </c>
      <c r="AE462" s="1" t="s">
        <v>1713</v>
      </c>
      <c r="AH462" s="1" t="s">
        <v>73</v>
      </c>
      <c r="AK462" s="1" t="s">
        <v>71</v>
      </c>
      <c r="AM462" s="1" t="s">
        <v>71</v>
      </c>
      <c r="AN462" s="1" t="s">
        <v>71</v>
      </c>
      <c r="AS462" s="1" t="s">
        <v>71</v>
      </c>
      <c r="AX462" s="1" t="s">
        <v>71</v>
      </c>
      <c r="BH462" s="1" t="s">
        <v>71</v>
      </c>
    </row>
    <row r="463" customFormat="false" ht="15" hidden="false" customHeight="false" outlineLevel="0" collapsed="false">
      <c r="A463" s="1" t="s">
        <v>1717</v>
      </c>
      <c r="B463" s="1" t="s">
        <v>1718</v>
      </c>
      <c r="C463" s="1" t="s">
        <v>532</v>
      </c>
      <c r="D463" s="1" t="s">
        <v>1719</v>
      </c>
      <c r="E463" s="1" t="s">
        <v>88</v>
      </c>
      <c r="F463" s="1" t="s">
        <v>432</v>
      </c>
      <c r="G463" s="1" t="s">
        <v>229</v>
      </c>
      <c r="H463" s="1" t="s">
        <v>495</v>
      </c>
      <c r="K463" s="1" t="s">
        <v>561</v>
      </c>
      <c r="L463" s="1" t="s">
        <v>1720</v>
      </c>
      <c r="M463" s="1" t="s">
        <v>1721</v>
      </c>
      <c r="N463" s="1" t="s">
        <v>1722</v>
      </c>
      <c r="O463" s="1" t="s">
        <v>1723</v>
      </c>
      <c r="P463" s="1"/>
      <c r="Q463" s="1" t="s">
        <v>70</v>
      </c>
      <c r="Z463" s="1" t="s">
        <v>71</v>
      </c>
      <c r="AE463" s="1" t="s">
        <v>1713</v>
      </c>
      <c r="AH463" s="1" t="s">
        <v>73</v>
      </c>
      <c r="AK463" s="1" t="s">
        <v>71</v>
      </c>
      <c r="AM463" s="1" t="s">
        <v>71</v>
      </c>
      <c r="AN463" s="1" t="s">
        <v>71</v>
      </c>
      <c r="AS463" s="1" t="s">
        <v>71</v>
      </c>
      <c r="AX463" s="1" t="s">
        <v>71</v>
      </c>
      <c r="BH463" s="1" t="s">
        <v>71</v>
      </c>
    </row>
    <row r="464" customFormat="false" ht="15" hidden="false" customHeight="false" outlineLevel="0" collapsed="false">
      <c r="A464" s="1" t="s">
        <v>1724</v>
      </c>
      <c r="B464" s="1" t="s">
        <v>1725</v>
      </c>
      <c r="C464" s="1" t="s">
        <v>532</v>
      </c>
      <c r="D464" s="1" t="s">
        <v>1719</v>
      </c>
      <c r="E464" s="1" t="s">
        <v>88</v>
      </c>
      <c r="F464" s="1" t="s">
        <v>432</v>
      </c>
      <c r="G464" s="1" t="s">
        <v>229</v>
      </c>
      <c r="H464" s="1" t="s">
        <v>495</v>
      </c>
      <c r="K464" s="1" t="s">
        <v>227</v>
      </c>
      <c r="L464" s="1" t="s">
        <v>1726</v>
      </c>
      <c r="M464" s="1" t="s">
        <v>1721</v>
      </c>
      <c r="N464" s="1" t="s">
        <v>1727</v>
      </c>
      <c r="O464" s="1" t="s">
        <v>1728</v>
      </c>
      <c r="P464" s="1"/>
      <c r="Q464" s="1" t="s">
        <v>70</v>
      </c>
      <c r="Z464" s="1" t="s">
        <v>71</v>
      </c>
      <c r="AE464" s="1" t="s">
        <v>1713</v>
      </c>
      <c r="AH464" s="1" t="s">
        <v>73</v>
      </c>
      <c r="AK464" s="1" t="s">
        <v>71</v>
      </c>
      <c r="AM464" s="1" t="s">
        <v>71</v>
      </c>
      <c r="AN464" s="1" t="s">
        <v>71</v>
      </c>
      <c r="AS464" s="1" t="s">
        <v>71</v>
      </c>
      <c r="AX464" s="1" t="s">
        <v>71</v>
      </c>
      <c r="BH464" s="1" t="s">
        <v>71</v>
      </c>
    </row>
    <row r="465" customFormat="false" ht="15" hidden="false" customHeight="false" outlineLevel="0" collapsed="false">
      <c r="A465" s="1" t="s">
        <v>1729</v>
      </c>
      <c r="B465" s="1" t="s">
        <v>1730</v>
      </c>
      <c r="C465" s="1" t="s">
        <v>532</v>
      </c>
      <c r="D465" s="1" t="s">
        <v>1719</v>
      </c>
      <c r="E465" s="1" t="s">
        <v>88</v>
      </c>
      <c r="F465" s="1" t="s">
        <v>432</v>
      </c>
      <c r="G465" s="1" t="s">
        <v>229</v>
      </c>
      <c r="H465" s="1" t="s">
        <v>495</v>
      </c>
      <c r="K465" s="1" t="s">
        <v>501</v>
      </c>
      <c r="L465" s="1" t="s">
        <v>502</v>
      </c>
      <c r="M465" s="1" t="s">
        <v>1721</v>
      </c>
      <c r="N465" s="1" t="s">
        <v>1727</v>
      </c>
      <c r="O465" s="1" t="s">
        <v>1728</v>
      </c>
      <c r="P465" s="1"/>
      <c r="Q465" s="1" t="s">
        <v>70</v>
      </c>
      <c r="Z465" s="1" t="s">
        <v>71</v>
      </c>
      <c r="AE465" s="1" t="s">
        <v>1713</v>
      </c>
      <c r="AH465" s="1" t="s">
        <v>73</v>
      </c>
      <c r="AK465" s="1" t="s">
        <v>71</v>
      </c>
      <c r="AM465" s="1" t="s">
        <v>71</v>
      </c>
      <c r="AN465" s="1" t="s">
        <v>71</v>
      </c>
      <c r="AS465" s="1" t="s">
        <v>71</v>
      </c>
      <c r="AX465" s="1" t="s">
        <v>71</v>
      </c>
      <c r="BH465" s="1" t="s">
        <v>71</v>
      </c>
    </row>
    <row r="466" customFormat="false" ht="15" hidden="false" customHeight="false" outlineLevel="0" collapsed="false">
      <c r="A466" s="1" t="s">
        <v>1731</v>
      </c>
      <c r="B466" s="1" t="s">
        <v>1732</v>
      </c>
      <c r="C466" s="1" t="s">
        <v>220</v>
      </c>
      <c r="D466" s="1" t="s">
        <v>540</v>
      </c>
      <c r="E466" s="1" t="s">
        <v>82</v>
      </c>
      <c r="F466" s="1" t="s">
        <v>391</v>
      </c>
      <c r="G466" s="1" t="s">
        <v>213</v>
      </c>
      <c r="H466" s="1" t="s">
        <v>477</v>
      </c>
      <c r="K466" s="1" t="s">
        <v>478</v>
      </c>
      <c r="L466" s="1" t="s">
        <v>479</v>
      </c>
      <c r="M466" s="1" t="s">
        <v>496</v>
      </c>
      <c r="N466" s="1" t="s">
        <v>639</v>
      </c>
      <c r="O466" s="1" t="s">
        <v>640</v>
      </c>
      <c r="P466" s="1"/>
      <c r="Q466" s="1" t="s">
        <v>70</v>
      </c>
      <c r="Z466" s="1" t="s">
        <v>71</v>
      </c>
      <c r="AE466" s="1" t="s">
        <v>1733</v>
      </c>
      <c r="AH466" s="1" t="s">
        <v>73</v>
      </c>
      <c r="AK466" s="1" t="s">
        <v>71</v>
      </c>
      <c r="AM466" s="1" t="s">
        <v>71</v>
      </c>
      <c r="AN466" s="1" t="s">
        <v>71</v>
      </c>
      <c r="AS466" s="1" t="s">
        <v>71</v>
      </c>
      <c r="AX466" s="1" t="s">
        <v>71</v>
      </c>
      <c r="BH466" s="1" t="s">
        <v>71</v>
      </c>
    </row>
    <row r="467" customFormat="false" ht="15" hidden="false" customHeight="false" outlineLevel="0" collapsed="false">
      <c r="A467" s="1" t="s">
        <v>1734</v>
      </c>
      <c r="B467" s="1" t="s">
        <v>1735</v>
      </c>
      <c r="C467" s="1" t="s">
        <v>220</v>
      </c>
      <c r="D467" s="1" t="s">
        <v>540</v>
      </c>
      <c r="E467" s="1" t="s">
        <v>82</v>
      </c>
      <c r="F467" s="1" t="s">
        <v>391</v>
      </c>
      <c r="G467" s="1" t="s">
        <v>213</v>
      </c>
      <c r="H467" s="1" t="s">
        <v>477</v>
      </c>
      <c r="K467" s="1" t="s">
        <v>478</v>
      </c>
      <c r="L467" s="1" t="s">
        <v>479</v>
      </c>
      <c r="M467" s="1" t="s">
        <v>496</v>
      </c>
      <c r="N467" s="1" t="s">
        <v>518</v>
      </c>
      <c r="O467" s="1" t="s">
        <v>519</v>
      </c>
      <c r="P467" s="1"/>
      <c r="Q467" s="1" t="s">
        <v>70</v>
      </c>
      <c r="Z467" s="1" t="s">
        <v>71</v>
      </c>
      <c r="AE467" s="1" t="s">
        <v>1733</v>
      </c>
      <c r="AH467" s="1" t="s">
        <v>73</v>
      </c>
      <c r="AK467" s="1" t="s">
        <v>71</v>
      </c>
      <c r="AM467" s="1" t="s">
        <v>71</v>
      </c>
      <c r="AN467" s="1" t="s">
        <v>71</v>
      </c>
      <c r="AS467" s="1" t="s">
        <v>71</v>
      </c>
      <c r="AX467" s="1" t="s">
        <v>71</v>
      </c>
      <c r="BH467" s="1" t="s">
        <v>71</v>
      </c>
    </row>
    <row r="468" customFormat="false" ht="15" hidden="false" customHeight="false" outlineLevel="0" collapsed="false">
      <c r="A468" s="1" t="s">
        <v>1736</v>
      </c>
      <c r="B468" s="1" t="s">
        <v>1737</v>
      </c>
      <c r="C468" s="1" t="s">
        <v>526</v>
      </c>
      <c r="D468" s="1" t="s">
        <v>527</v>
      </c>
      <c r="E468" s="1" t="s">
        <v>82</v>
      </c>
      <c r="F468" s="1" t="s">
        <v>391</v>
      </c>
      <c r="G468" s="1" t="s">
        <v>213</v>
      </c>
      <c r="H468" s="1" t="s">
        <v>477</v>
      </c>
      <c r="K468" s="1" t="s">
        <v>478</v>
      </c>
      <c r="L468" s="1" t="s">
        <v>479</v>
      </c>
      <c r="M468" s="1" t="s">
        <v>496</v>
      </c>
      <c r="N468" s="1" t="s">
        <v>1738</v>
      </c>
      <c r="O468" s="1" t="s">
        <v>447</v>
      </c>
      <c r="P468" s="1"/>
      <c r="Q468" s="1" t="s">
        <v>70</v>
      </c>
      <c r="Z468" s="1" t="s">
        <v>71</v>
      </c>
      <c r="AE468" s="1" t="s">
        <v>1739</v>
      </c>
      <c r="AH468" s="1" t="s">
        <v>73</v>
      </c>
      <c r="AK468" s="1" t="s">
        <v>71</v>
      </c>
      <c r="AM468" s="1" t="s">
        <v>71</v>
      </c>
      <c r="AN468" s="1" t="s">
        <v>71</v>
      </c>
      <c r="AS468" s="1" t="s">
        <v>71</v>
      </c>
      <c r="AX468" s="1" t="s">
        <v>71</v>
      </c>
      <c r="BH468" s="1" t="s">
        <v>71</v>
      </c>
    </row>
    <row r="469" customFormat="false" ht="15" hidden="false" customHeight="false" outlineLevel="0" collapsed="false">
      <c r="A469" s="1" t="s">
        <v>1740</v>
      </c>
      <c r="B469" s="1" t="s">
        <v>1741</v>
      </c>
      <c r="C469" s="1" t="s">
        <v>524</v>
      </c>
      <c r="D469" s="1" t="s">
        <v>841</v>
      </c>
      <c r="E469" s="1" t="s">
        <v>82</v>
      </c>
      <c r="F469" s="1" t="s">
        <v>391</v>
      </c>
      <c r="G469" s="1" t="s">
        <v>443</v>
      </c>
      <c r="H469" s="1" t="s">
        <v>444</v>
      </c>
      <c r="K469" s="1" t="s">
        <v>618</v>
      </c>
      <c r="L469" s="1" t="s">
        <v>619</v>
      </c>
      <c r="M469" s="1" t="s">
        <v>496</v>
      </c>
      <c r="N469" s="1" t="s">
        <v>842</v>
      </c>
      <c r="O469" s="1" t="s">
        <v>400</v>
      </c>
      <c r="P469" s="1"/>
      <c r="Q469" s="1" t="s">
        <v>70</v>
      </c>
      <c r="Z469" s="1" t="s">
        <v>71</v>
      </c>
      <c r="AE469" s="1" t="s">
        <v>1739</v>
      </c>
      <c r="AH469" s="1" t="s">
        <v>73</v>
      </c>
      <c r="AK469" s="1" t="s">
        <v>71</v>
      </c>
      <c r="AM469" s="1" t="s">
        <v>71</v>
      </c>
      <c r="AN469" s="1" t="s">
        <v>71</v>
      </c>
      <c r="AS469" s="1" t="s">
        <v>71</v>
      </c>
      <c r="AX469" s="1" t="s">
        <v>71</v>
      </c>
      <c r="BH469" s="1" t="s">
        <v>71</v>
      </c>
    </row>
    <row r="470" customFormat="false" ht="15" hidden="false" customHeight="false" outlineLevel="0" collapsed="false">
      <c r="A470" s="1" t="s">
        <v>1742</v>
      </c>
      <c r="B470" s="1" t="s">
        <v>1743</v>
      </c>
      <c r="C470" s="1" t="s">
        <v>1744</v>
      </c>
      <c r="D470" s="1" t="s">
        <v>1745</v>
      </c>
      <c r="E470" s="1" t="s">
        <v>82</v>
      </c>
      <c r="F470" s="1" t="s">
        <v>391</v>
      </c>
      <c r="G470" s="1" t="s">
        <v>213</v>
      </c>
      <c r="H470" s="1" t="s">
        <v>477</v>
      </c>
      <c r="K470" s="1" t="s">
        <v>478</v>
      </c>
      <c r="L470" s="1" t="s">
        <v>479</v>
      </c>
      <c r="M470" s="1" t="s">
        <v>496</v>
      </c>
      <c r="N470" s="1" t="s">
        <v>1746</v>
      </c>
      <c r="O470" s="1" t="s">
        <v>447</v>
      </c>
      <c r="P470" s="1"/>
      <c r="Q470" s="1" t="s">
        <v>70</v>
      </c>
      <c r="Z470" s="1" t="s">
        <v>71</v>
      </c>
      <c r="AE470" s="1" t="s">
        <v>1739</v>
      </c>
      <c r="AH470" s="1" t="s">
        <v>73</v>
      </c>
      <c r="AK470" s="1" t="s">
        <v>71</v>
      </c>
      <c r="AM470" s="1" t="s">
        <v>71</v>
      </c>
      <c r="AN470" s="1" t="s">
        <v>71</v>
      </c>
      <c r="AS470" s="1" t="s">
        <v>71</v>
      </c>
      <c r="AX470" s="1" t="s">
        <v>71</v>
      </c>
      <c r="BH470" s="1" t="s">
        <v>71</v>
      </c>
    </row>
    <row r="471" customFormat="false" ht="15" hidden="false" customHeight="false" outlineLevel="0" collapsed="false">
      <c r="A471" s="1" t="s">
        <v>1747</v>
      </c>
      <c r="B471" s="1" t="s">
        <v>1748</v>
      </c>
      <c r="C471" s="1" t="s">
        <v>526</v>
      </c>
      <c r="D471" s="1" t="s">
        <v>527</v>
      </c>
      <c r="E471" s="1" t="s">
        <v>82</v>
      </c>
      <c r="F471" s="1" t="s">
        <v>391</v>
      </c>
      <c r="G471" s="1" t="s">
        <v>213</v>
      </c>
      <c r="H471" s="1" t="s">
        <v>477</v>
      </c>
      <c r="K471" s="1" t="s">
        <v>478</v>
      </c>
      <c r="L471" s="1" t="s">
        <v>479</v>
      </c>
      <c r="M471" s="1" t="s">
        <v>496</v>
      </c>
      <c r="N471" s="1" t="s">
        <v>1233</v>
      </c>
      <c r="O471" s="1" t="s">
        <v>447</v>
      </c>
      <c r="P471" s="1"/>
      <c r="Q471" s="1" t="s">
        <v>70</v>
      </c>
      <c r="Z471" s="1" t="s">
        <v>71</v>
      </c>
      <c r="AE471" s="1" t="s">
        <v>1739</v>
      </c>
      <c r="AH471" s="1" t="s">
        <v>73</v>
      </c>
      <c r="AK471" s="1" t="s">
        <v>71</v>
      </c>
      <c r="AM471" s="1" t="s">
        <v>71</v>
      </c>
      <c r="AN471" s="1" t="s">
        <v>71</v>
      </c>
      <c r="AS471" s="1" t="s">
        <v>71</v>
      </c>
      <c r="AX471" s="1" t="s">
        <v>71</v>
      </c>
      <c r="BH471" s="1" t="s">
        <v>71</v>
      </c>
    </row>
    <row r="472" customFormat="false" ht="15" hidden="false" customHeight="false" outlineLevel="0" collapsed="false">
      <c r="A472" s="1" t="s">
        <v>1749</v>
      </c>
      <c r="B472" s="1" t="s">
        <v>1750</v>
      </c>
      <c r="C472" s="1" t="s">
        <v>526</v>
      </c>
      <c r="D472" s="1" t="s">
        <v>527</v>
      </c>
      <c r="E472" s="1" t="s">
        <v>82</v>
      </c>
      <c r="F472" s="1" t="s">
        <v>391</v>
      </c>
      <c r="G472" s="1" t="s">
        <v>213</v>
      </c>
      <c r="H472" s="1" t="s">
        <v>477</v>
      </c>
      <c r="K472" s="1" t="s">
        <v>478</v>
      </c>
      <c r="L472" s="1" t="s">
        <v>479</v>
      </c>
      <c r="M472" s="1" t="s">
        <v>496</v>
      </c>
      <c r="N472" s="1" t="s">
        <v>1751</v>
      </c>
      <c r="O472" s="1" t="s">
        <v>400</v>
      </c>
      <c r="P472" s="1"/>
      <c r="Q472" s="1" t="s">
        <v>70</v>
      </c>
      <c r="Z472" s="1" t="s">
        <v>71</v>
      </c>
      <c r="AE472" s="1" t="s">
        <v>1739</v>
      </c>
      <c r="AH472" s="1" t="s">
        <v>73</v>
      </c>
      <c r="AK472" s="1" t="s">
        <v>71</v>
      </c>
      <c r="AM472" s="1" t="s">
        <v>71</v>
      </c>
      <c r="AN472" s="1" t="s">
        <v>71</v>
      </c>
      <c r="AS472" s="1" t="s">
        <v>71</v>
      </c>
      <c r="AX472" s="1" t="s">
        <v>71</v>
      </c>
      <c r="BH472" s="1" t="s">
        <v>71</v>
      </c>
    </row>
    <row r="473" customFormat="false" ht="15" hidden="false" customHeight="false" outlineLevel="0" collapsed="false">
      <c r="A473" s="1" t="s">
        <v>1752</v>
      </c>
      <c r="B473" s="1" t="s">
        <v>1753</v>
      </c>
      <c r="C473" s="1" t="s">
        <v>526</v>
      </c>
      <c r="D473" s="1" t="s">
        <v>527</v>
      </c>
      <c r="E473" s="1" t="s">
        <v>82</v>
      </c>
      <c r="F473" s="1" t="s">
        <v>391</v>
      </c>
      <c r="G473" s="1" t="s">
        <v>213</v>
      </c>
      <c r="H473" s="1" t="s">
        <v>477</v>
      </c>
      <c r="K473" s="1" t="s">
        <v>478</v>
      </c>
      <c r="L473" s="1" t="s">
        <v>479</v>
      </c>
      <c r="M473" s="1" t="s">
        <v>496</v>
      </c>
      <c r="N473" s="1" t="s">
        <v>1233</v>
      </c>
      <c r="O473" s="1" t="s">
        <v>447</v>
      </c>
      <c r="P473" s="1"/>
      <c r="Q473" s="1" t="s">
        <v>70</v>
      </c>
      <c r="Z473" s="1" t="s">
        <v>71</v>
      </c>
      <c r="AE473" s="1" t="s">
        <v>1739</v>
      </c>
      <c r="AH473" s="1" t="s">
        <v>73</v>
      </c>
      <c r="AK473" s="1" t="s">
        <v>71</v>
      </c>
      <c r="AM473" s="1" t="s">
        <v>71</v>
      </c>
      <c r="AN473" s="1" t="s">
        <v>71</v>
      </c>
      <c r="AS473" s="1" t="s">
        <v>71</v>
      </c>
      <c r="AX473" s="1" t="s">
        <v>71</v>
      </c>
      <c r="BH473" s="1" t="s">
        <v>71</v>
      </c>
    </row>
    <row r="474" customFormat="false" ht="15" hidden="false" customHeight="false" outlineLevel="0" collapsed="false">
      <c r="A474" s="1" t="s">
        <v>1754</v>
      </c>
      <c r="B474" s="1" t="s">
        <v>1755</v>
      </c>
      <c r="C474" s="1" t="s">
        <v>526</v>
      </c>
      <c r="D474" s="1" t="s">
        <v>527</v>
      </c>
      <c r="E474" s="1" t="s">
        <v>82</v>
      </c>
      <c r="F474" s="1" t="s">
        <v>391</v>
      </c>
      <c r="G474" s="1" t="s">
        <v>213</v>
      </c>
      <c r="H474" s="1" t="s">
        <v>477</v>
      </c>
      <c r="K474" s="1" t="s">
        <v>478</v>
      </c>
      <c r="L474" s="1" t="s">
        <v>479</v>
      </c>
      <c r="M474" s="1" t="s">
        <v>496</v>
      </c>
      <c r="N474" s="1" t="s">
        <v>1068</v>
      </c>
      <c r="O474" s="1" t="s">
        <v>400</v>
      </c>
      <c r="P474" s="1"/>
      <c r="Q474" s="1" t="s">
        <v>70</v>
      </c>
      <c r="Z474" s="1" t="s">
        <v>71</v>
      </c>
      <c r="AE474" s="1" t="s">
        <v>1739</v>
      </c>
      <c r="AH474" s="1" t="s">
        <v>73</v>
      </c>
      <c r="AK474" s="1" t="s">
        <v>71</v>
      </c>
      <c r="AM474" s="1" t="s">
        <v>71</v>
      </c>
      <c r="AN474" s="1" t="s">
        <v>71</v>
      </c>
      <c r="AS474" s="1" t="s">
        <v>71</v>
      </c>
      <c r="AX474" s="1" t="s">
        <v>71</v>
      </c>
      <c r="BH474" s="1" t="s">
        <v>71</v>
      </c>
    </row>
    <row r="475" customFormat="false" ht="15" hidden="false" customHeight="false" outlineLevel="0" collapsed="false">
      <c r="A475" s="1" t="s">
        <v>1756</v>
      </c>
      <c r="B475" s="1" t="s">
        <v>1757</v>
      </c>
      <c r="C475" s="1" t="s">
        <v>526</v>
      </c>
      <c r="D475" s="1" t="s">
        <v>527</v>
      </c>
      <c r="E475" s="1" t="s">
        <v>82</v>
      </c>
      <c r="F475" s="1" t="s">
        <v>391</v>
      </c>
      <c r="G475" s="1" t="s">
        <v>213</v>
      </c>
      <c r="H475" s="1" t="s">
        <v>477</v>
      </c>
      <c r="K475" s="1" t="s">
        <v>478</v>
      </c>
      <c r="L475" s="1" t="s">
        <v>479</v>
      </c>
      <c r="M475" s="1" t="s">
        <v>496</v>
      </c>
      <c r="N475" s="1" t="s">
        <v>483</v>
      </c>
      <c r="O475" s="1" t="s">
        <v>400</v>
      </c>
      <c r="P475" s="1"/>
      <c r="Q475" s="1" t="s">
        <v>70</v>
      </c>
      <c r="Z475" s="1" t="s">
        <v>71</v>
      </c>
      <c r="AE475" s="1" t="s">
        <v>1739</v>
      </c>
      <c r="AH475" s="1" t="s">
        <v>73</v>
      </c>
      <c r="AK475" s="1" t="s">
        <v>71</v>
      </c>
      <c r="AM475" s="1" t="s">
        <v>71</v>
      </c>
      <c r="AN475" s="1" t="s">
        <v>71</v>
      </c>
      <c r="AS475" s="1" t="s">
        <v>71</v>
      </c>
      <c r="AX475" s="1" t="s">
        <v>71</v>
      </c>
      <c r="BH475" s="1" t="s">
        <v>71</v>
      </c>
    </row>
    <row r="476" customFormat="false" ht="15" hidden="false" customHeight="false" outlineLevel="0" collapsed="false">
      <c r="A476" s="1" t="s">
        <v>1758</v>
      </c>
      <c r="B476" s="1" t="s">
        <v>1759</v>
      </c>
      <c r="C476" s="1" t="s">
        <v>526</v>
      </c>
      <c r="D476" s="1" t="s">
        <v>527</v>
      </c>
      <c r="E476" s="1" t="s">
        <v>82</v>
      </c>
      <c r="F476" s="1" t="s">
        <v>391</v>
      </c>
      <c r="G476" s="1" t="s">
        <v>213</v>
      </c>
      <c r="H476" s="1" t="s">
        <v>477</v>
      </c>
      <c r="K476" s="1" t="s">
        <v>478</v>
      </c>
      <c r="L476" s="1" t="s">
        <v>479</v>
      </c>
      <c r="M476" s="1" t="s">
        <v>496</v>
      </c>
      <c r="N476" s="1" t="s">
        <v>1760</v>
      </c>
      <c r="O476" s="1" t="s">
        <v>1761</v>
      </c>
      <c r="P476" s="1"/>
      <c r="Q476" s="1" t="s">
        <v>70</v>
      </c>
      <c r="Z476" s="1" t="s">
        <v>71</v>
      </c>
      <c r="AE476" s="1" t="s">
        <v>1739</v>
      </c>
      <c r="AH476" s="1" t="s">
        <v>73</v>
      </c>
      <c r="AK476" s="1" t="s">
        <v>71</v>
      </c>
      <c r="AM476" s="1" t="s">
        <v>71</v>
      </c>
      <c r="AN476" s="1" t="s">
        <v>71</v>
      </c>
      <c r="AS476" s="1" t="s">
        <v>71</v>
      </c>
      <c r="AX476" s="1" t="s">
        <v>71</v>
      </c>
      <c r="BH476" s="1" t="s">
        <v>71</v>
      </c>
    </row>
    <row r="477" customFormat="false" ht="15" hidden="false" customHeight="false" outlineLevel="0" collapsed="false">
      <c r="A477" s="1" t="s">
        <v>1762</v>
      </c>
      <c r="B477" s="1" t="s">
        <v>1763</v>
      </c>
      <c r="C477" s="1" t="s">
        <v>526</v>
      </c>
      <c r="D477" s="1" t="s">
        <v>527</v>
      </c>
      <c r="E477" s="1" t="s">
        <v>82</v>
      </c>
      <c r="F477" s="1" t="s">
        <v>391</v>
      </c>
      <c r="G477" s="1" t="s">
        <v>213</v>
      </c>
      <c r="H477" s="1" t="s">
        <v>477</v>
      </c>
      <c r="K477" s="1" t="s">
        <v>478</v>
      </c>
      <c r="L477" s="1" t="s">
        <v>479</v>
      </c>
      <c r="M477" s="1" t="s">
        <v>496</v>
      </c>
      <c r="N477" s="1" t="s">
        <v>1764</v>
      </c>
      <c r="O477" s="1" t="s">
        <v>1765</v>
      </c>
      <c r="P477" s="1"/>
      <c r="Q477" s="1" t="s">
        <v>70</v>
      </c>
      <c r="Z477" s="1" t="s">
        <v>71</v>
      </c>
      <c r="AE477" s="1" t="s">
        <v>1739</v>
      </c>
      <c r="AH477" s="1" t="s">
        <v>73</v>
      </c>
      <c r="AK477" s="1" t="s">
        <v>71</v>
      </c>
      <c r="AM477" s="1" t="s">
        <v>71</v>
      </c>
      <c r="AN477" s="1" t="s">
        <v>71</v>
      </c>
      <c r="AS477" s="1" t="s">
        <v>71</v>
      </c>
      <c r="AX477" s="1" t="s">
        <v>71</v>
      </c>
      <c r="BH477" s="1" t="s">
        <v>71</v>
      </c>
    </row>
    <row r="478" customFormat="false" ht="15" hidden="false" customHeight="false" outlineLevel="0" collapsed="false">
      <c r="A478" s="1" t="s">
        <v>1766</v>
      </c>
      <c r="B478" s="1" t="s">
        <v>1767</v>
      </c>
      <c r="C478" s="1" t="s">
        <v>526</v>
      </c>
      <c r="D478" s="1" t="s">
        <v>527</v>
      </c>
      <c r="E478" s="1" t="s">
        <v>82</v>
      </c>
      <c r="F478" s="1" t="s">
        <v>391</v>
      </c>
      <c r="G478" s="1" t="s">
        <v>213</v>
      </c>
      <c r="H478" s="1" t="s">
        <v>477</v>
      </c>
      <c r="K478" s="1" t="s">
        <v>478</v>
      </c>
      <c r="L478" s="1" t="s">
        <v>479</v>
      </c>
      <c r="M478" s="1" t="s">
        <v>496</v>
      </c>
      <c r="N478" s="1" t="s">
        <v>1768</v>
      </c>
      <c r="O478" s="1" t="s">
        <v>400</v>
      </c>
      <c r="P478" s="1"/>
      <c r="Q478" s="1" t="s">
        <v>70</v>
      </c>
      <c r="Z478" s="1" t="s">
        <v>71</v>
      </c>
      <c r="AE478" s="1" t="s">
        <v>1739</v>
      </c>
      <c r="AH478" s="1" t="s">
        <v>73</v>
      </c>
      <c r="AK478" s="1" t="s">
        <v>71</v>
      </c>
      <c r="AM478" s="1" t="s">
        <v>71</v>
      </c>
      <c r="AN478" s="1" t="s">
        <v>71</v>
      </c>
      <c r="AS478" s="1" t="s">
        <v>71</v>
      </c>
      <c r="AX478" s="1" t="s">
        <v>71</v>
      </c>
      <c r="BH478" s="1" t="s">
        <v>71</v>
      </c>
    </row>
    <row r="479" customFormat="false" ht="15" hidden="false" customHeight="false" outlineLevel="0" collapsed="false">
      <c r="A479" s="1" t="s">
        <v>1769</v>
      </c>
      <c r="B479" s="1" t="s">
        <v>1770</v>
      </c>
      <c r="C479" s="1" t="s">
        <v>353</v>
      </c>
      <c r="D479" s="1" t="s">
        <v>1771</v>
      </c>
      <c r="E479" s="1" t="s">
        <v>82</v>
      </c>
      <c r="F479" s="1" t="s">
        <v>391</v>
      </c>
      <c r="G479" s="1" t="s">
        <v>213</v>
      </c>
      <c r="H479" s="1" t="s">
        <v>477</v>
      </c>
      <c r="K479" s="1" t="s">
        <v>1772</v>
      </c>
      <c r="L479" s="1" t="s">
        <v>1773</v>
      </c>
      <c r="M479" s="1" t="s">
        <v>692</v>
      </c>
      <c r="N479" s="1" t="s">
        <v>536</v>
      </c>
      <c r="O479" s="1" t="s">
        <v>537</v>
      </c>
      <c r="P479" s="1"/>
      <c r="Q479" s="1" t="s">
        <v>70</v>
      </c>
      <c r="Z479" s="1" t="s">
        <v>71</v>
      </c>
      <c r="AE479" s="1" t="s">
        <v>1774</v>
      </c>
      <c r="AH479" s="1" t="s">
        <v>73</v>
      </c>
      <c r="AK479" s="1" t="s">
        <v>71</v>
      </c>
      <c r="AM479" s="1" t="s">
        <v>71</v>
      </c>
      <c r="AN479" s="1" t="s">
        <v>71</v>
      </c>
      <c r="AS479" s="1" t="s">
        <v>71</v>
      </c>
      <c r="AX479" s="1" t="s">
        <v>71</v>
      </c>
      <c r="BH479" s="1" t="s">
        <v>71</v>
      </c>
    </row>
    <row r="480" customFormat="false" ht="15" hidden="false" customHeight="false" outlineLevel="0" collapsed="false">
      <c r="A480" s="1" t="s">
        <v>1775</v>
      </c>
      <c r="B480" s="1" t="s">
        <v>1776</v>
      </c>
      <c r="C480" s="1" t="s">
        <v>353</v>
      </c>
      <c r="D480" s="1" t="s">
        <v>1771</v>
      </c>
      <c r="E480" s="1" t="s">
        <v>82</v>
      </c>
      <c r="F480" s="1" t="s">
        <v>391</v>
      </c>
      <c r="G480" s="1" t="s">
        <v>213</v>
      </c>
      <c r="H480" s="1" t="s">
        <v>477</v>
      </c>
      <c r="K480" s="1" t="s">
        <v>1772</v>
      </c>
      <c r="L480" s="1" t="s">
        <v>1773</v>
      </c>
      <c r="M480" s="1" t="s">
        <v>496</v>
      </c>
      <c r="N480" s="1" t="s">
        <v>1777</v>
      </c>
      <c r="O480" s="1" t="s">
        <v>1778</v>
      </c>
      <c r="P480" s="1"/>
      <c r="Q480" s="1" t="s">
        <v>70</v>
      </c>
      <c r="Z480" s="1" t="s">
        <v>71</v>
      </c>
      <c r="AE480" s="1" t="s">
        <v>1774</v>
      </c>
      <c r="AH480" s="1" t="s">
        <v>73</v>
      </c>
      <c r="AK480" s="1" t="s">
        <v>71</v>
      </c>
      <c r="AM480" s="1" t="s">
        <v>71</v>
      </c>
      <c r="AN480" s="1" t="s">
        <v>71</v>
      </c>
      <c r="AS480" s="1" t="s">
        <v>71</v>
      </c>
      <c r="AX480" s="1" t="s">
        <v>71</v>
      </c>
      <c r="BH480" s="1" t="s">
        <v>71</v>
      </c>
    </row>
    <row r="481" customFormat="false" ht="15" hidden="false" customHeight="false" outlineLevel="0" collapsed="false">
      <c r="A481" s="1" t="s">
        <v>1779</v>
      </c>
      <c r="B481" s="1" t="s">
        <v>1780</v>
      </c>
      <c r="C481" s="1" t="s">
        <v>152</v>
      </c>
      <c r="D481" s="1" t="s">
        <v>464</v>
      </c>
      <c r="E481" s="1" t="s">
        <v>82</v>
      </c>
      <c r="F481" s="1" t="s">
        <v>391</v>
      </c>
      <c r="G481" s="1" t="s">
        <v>213</v>
      </c>
      <c r="H481" s="1" t="s">
        <v>477</v>
      </c>
      <c r="K481" s="1" t="s">
        <v>478</v>
      </c>
      <c r="L481" s="1" t="s">
        <v>479</v>
      </c>
      <c r="M481" s="1" t="s">
        <v>465</v>
      </c>
      <c r="N481" s="1" t="s">
        <v>518</v>
      </c>
      <c r="O481" s="1" t="s">
        <v>519</v>
      </c>
      <c r="P481" s="1"/>
      <c r="Q481" s="1" t="s">
        <v>70</v>
      </c>
      <c r="Z481" s="1" t="s">
        <v>71</v>
      </c>
      <c r="AE481" s="1" t="s">
        <v>1781</v>
      </c>
      <c r="AH481" s="1" t="s">
        <v>73</v>
      </c>
      <c r="AK481" s="1" t="s">
        <v>71</v>
      </c>
      <c r="AM481" s="1" t="s">
        <v>71</v>
      </c>
      <c r="AN481" s="1" t="s">
        <v>71</v>
      </c>
      <c r="AS481" s="1" t="s">
        <v>71</v>
      </c>
      <c r="AX481" s="1" t="s">
        <v>71</v>
      </c>
      <c r="BH481" s="1" t="s">
        <v>71</v>
      </c>
    </row>
    <row r="482" customFormat="false" ht="15" hidden="false" customHeight="false" outlineLevel="0" collapsed="false">
      <c r="A482" s="1" t="s">
        <v>1782</v>
      </c>
      <c r="B482" s="1" t="s">
        <v>1783</v>
      </c>
      <c r="C482" s="1" t="s">
        <v>288</v>
      </c>
      <c r="D482" s="1" t="s">
        <v>289</v>
      </c>
      <c r="E482" s="1" t="s">
        <v>61</v>
      </c>
      <c r="F482" s="1" t="s">
        <v>101</v>
      </c>
      <c r="G482" s="1" t="s">
        <v>93</v>
      </c>
      <c r="H482" s="1" t="s">
        <v>64</v>
      </c>
      <c r="K482" s="1" t="s">
        <v>1784</v>
      </c>
      <c r="L482" s="1" t="s">
        <v>1785</v>
      </c>
      <c r="M482" s="1" t="s">
        <v>104</v>
      </c>
      <c r="N482" s="1" t="s">
        <v>123</v>
      </c>
      <c r="O482" s="1" t="s">
        <v>124</v>
      </c>
      <c r="P482" s="1"/>
      <c r="Q482" s="1" t="s">
        <v>70</v>
      </c>
      <c r="U482" s="1" t="s">
        <v>1782</v>
      </c>
      <c r="Z482" s="1" t="s">
        <v>71</v>
      </c>
      <c r="AE482" s="1" t="s">
        <v>1781</v>
      </c>
      <c r="AH482" s="1" t="s">
        <v>73</v>
      </c>
      <c r="AK482" s="1" t="s">
        <v>71</v>
      </c>
      <c r="AM482" s="1" t="s">
        <v>71</v>
      </c>
      <c r="AN482" s="1" t="s">
        <v>71</v>
      </c>
      <c r="AS482" s="1" t="s">
        <v>71</v>
      </c>
      <c r="AX482" s="1" t="s">
        <v>71</v>
      </c>
      <c r="AY482" s="1" t="s">
        <v>59</v>
      </c>
      <c r="AZ482" s="1" t="s">
        <v>74</v>
      </c>
      <c r="BH482" s="1" t="s">
        <v>71</v>
      </c>
    </row>
    <row r="483" customFormat="false" ht="15" hidden="false" customHeight="false" outlineLevel="0" collapsed="false">
      <c r="A483" s="1" t="s">
        <v>1786</v>
      </c>
      <c r="B483" s="1" t="s">
        <v>1787</v>
      </c>
      <c r="C483" s="1" t="s">
        <v>580</v>
      </c>
      <c r="D483" s="1" t="s">
        <v>1788</v>
      </c>
      <c r="E483" s="1" t="s">
        <v>82</v>
      </c>
      <c r="F483" s="1" t="s">
        <v>391</v>
      </c>
      <c r="G483" s="1" t="s">
        <v>308</v>
      </c>
      <c r="H483" s="1" t="s">
        <v>1789</v>
      </c>
      <c r="K483" s="1" t="s">
        <v>1790</v>
      </c>
      <c r="L483" s="1" t="s">
        <v>1791</v>
      </c>
      <c r="M483" s="1" t="s">
        <v>496</v>
      </c>
      <c r="N483" s="1" t="s">
        <v>1792</v>
      </c>
      <c r="O483" s="1" t="s">
        <v>1793</v>
      </c>
      <c r="P483" s="1"/>
      <c r="Q483" s="1" t="s">
        <v>70</v>
      </c>
      <c r="Z483" s="1" t="s">
        <v>71</v>
      </c>
      <c r="AE483" s="1" t="s">
        <v>1794</v>
      </c>
      <c r="AH483" s="1" t="s">
        <v>73</v>
      </c>
      <c r="AK483" s="1" t="s">
        <v>71</v>
      </c>
      <c r="AM483" s="1" t="s">
        <v>71</v>
      </c>
      <c r="AN483" s="1" t="s">
        <v>71</v>
      </c>
      <c r="AS483" s="1" t="s">
        <v>71</v>
      </c>
      <c r="AX483" s="1" t="s">
        <v>71</v>
      </c>
      <c r="BH483" s="1" t="s">
        <v>71</v>
      </c>
    </row>
    <row r="484" customFormat="false" ht="15" hidden="false" customHeight="false" outlineLevel="0" collapsed="false">
      <c r="A484" s="1" t="s">
        <v>1795</v>
      </c>
      <c r="B484" s="1" t="s">
        <v>1796</v>
      </c>
      <c r="C484" s="1" t="s">
        <v>150</v>
      </c>
      <c r="D484" s="1" t="s">
        <v>405</v>
      </c>
      <c r="E484" s="1" t="s">
        <v>82</v>
      </c>
      <c r="F484" s="1" t="s">
        <v>391</v>
      </c>
      <c r="G484" s="1" t="s">
        <v>97</v>
      </c>
      <c r="H484" s="1" t="s">
        <v>406</v>
      </c>
      <c r="K484" s="1" t="s">
        <v>407</v>
      </c>
      <c r="L484" s="1" t="s">
        <v>408</v>
      </c>
      <c r="M484" s="1" t="s">
        <v>1107</v>
      </c>
      <c r="N484" s="1" t="s">
        <v>1797</v>
      </c>
      <c r="O484" s="1" t="s">
        <v>1798</v>
      </c>
      <c r="P484" s="1"/>
      <c r="Q484" s="1" t="s">
        <v>70</v>
      </c>
      <c r="Z484" s="1" t="s">
        <v>71</v>
      </c>
      <c r="AE484" s="1" t="s">
        <v>1794</v>
      </c>
      <c r="AH484" s="1" t="s">
        <v>73</v>
      </c>
      <c r="AK484" s="1" t="s">
        <v>71</v>
      </c>
      <c r="AM484" s="1" t="s">
        <v>71</v>
      </c>
      <c r="AN484" s="1" t="s">
        <v>71</v>
      </c>
      <c r="AS484" s="1" t="s">
        <v>71</v>
      </c>
      <c r="AX484" s="1" t="s">
        <v>71</v>
      </c>
      <c r="BH484" s="1" t="s">
        <v>71</v>
      </c>
    </row>
    <row r="485" customFormat="false" ht="15" hidden="false" customHeight="false" outlineLevel="0" collapsed="false">
      <c r="A485" s="1" t="s">
        <v>1799</v>
      </c>
      <c r="B485" s="1" t="s">
        <v>1800</v>
      </c>
      <c r="C485" s="1" t="s">
        <v>150</v>
      </c>
      <c r="D485" s="1" t="s">
        <v>405</v>
      </c>
      <c r="E485" s="1" t="s">
        <v>82</v>
      </c>
      <c r="F485" s="1" t="s">
        <v>391</v>
      </c>
      <c r="G485" s="1" t="s">
        <v>97</v>
      </c>
      <c r="H485" s="1" t="s">
        <v>406</v>
      </c>
      <c r="K485" s="1" t="s">
        <v>407</v>
      </c>
      <c r="L485" s="1" t="s">
        <v>408</v>
      </c>
      <c r="M485" s="1" t="s">
        <v>496</v>
      </c>
      <c r="N485" s="1" t="s">
        <v>1801</v>
      </c>
      <c r="O485" s="1" t="s">
        <v>1802</v>
      </c>
      <c r="P485" s="1"/>
      <c r="Q485" s="1" t="s">
        <v>70</v>
      </c>
      <c r="Z485" s="1" t="s">
        <v>71</v>
      </c>
      <c r="AE485" s="1" t="s">
        <v>1794</v>
      </c>
      <c r="AH485" s="1" t="s">
        <v>73</v>
      </c>
      <c r="AK485" s="1" t="s">
        <v>71</v>
      </c>
      <c r="AM485" s="1" t="s">
        <v>71</v>
      </c>
      <c r="AN485" s="1" t="s">
        <v>71</v>
      </c>
      <c r="AS485" s="1" t="s">
        <v>71</v>
      </c>
      <c r="AX485" s="1" t="s">
        <v>71</v>
      </c>
      <c r="BH485" s="1" t="s">
        <v>71</v>
      </c>
    </row>
    <row r="486" customFormat="false" ht="15" hidden="false" customHeight="false" outlineLevel="0" collapsed="false">
      <c r="A486" s="1" t="s">
        <v>1803</v>
      </c>
      <c r="B486" s="1" t="s">
        <v>1804</v>
      </c>
      <c r="C486" s="1" t="s">
        <v>368</v>
      </c>
      <c r="D486" s="1" t="s">
        <v>1629</v>
      </c>
      <c r="E486" s="1" t="s">
        <v>82</v>
      </c>
      <c r="F486" s="1" t="s">
        <v>391</v>
      </c>
      <c r="G486" s="1" t="s">
        <v>213</v>
      </c>
      <c r="H486" s="1" t="s">
        <v>477</v>
      </c>
      <c r="K486" s="1" t="s">
        <v>478</v>
      </c>
      <c r="L486" s="1" t="s">
        <v>479</v>
      </c>
      <c r="M486" s="1" t="s">
        <v>496</v>
      </c>
      <c r="N486" s="1" t="s">
        <v>1805</v>
      </c>
      <c r="O486" s="1" t="s">
        <v>1806</v>
      </c>
      <c r="P486" s="1"/>
      <c r="Q486" s="1" t="s">
        <v>70</v>
      </c>
      <c r="Z486" s="1" t="s">
        <v>71</v>
      </c>
      <c r="AE486" s="1" t="s">
        <v>1794</v>
      </c>
      <c r="AH486" s="1" t="s">
        <v>73</v>
      </c>
      <c r="AK486" s="1" t="s">
        <v>71</v>
      </c>
      <c r="AM486" s="1" t="s">
        <v>71</v>
      </c>
      <c r="AN486" s="1" t="s">
        <v>71</v>
      </c>
      <c r="AS486" s="1" t="s">
        <v>71</v>
      </c>
      <c r="AX486" s="1" t="s">
        <v>71</v>
      </c>
      <c r="BH486" s="1" t="s">
        <v>71</v>
      </c>
    </row>
    <row r="487" customFormat="false" ht="15" hidden="false" customHeight="false" outlineLevel="0" collapsed="false">
      <c r="A487" s="1" t="s">
        <v>1807</v>
      </c>
      <c r="B487" s="1" t="s">
        <v>1808</v>
      </c>
      <c r="C487" s="1" t="s">
        <v>368</v>
      </c>
      <c r="D487" s="1" t="s">
        <v>1629</v>
      </c>
      <c r="E487" s="1" t="s">
        <v>82</v>
      </c>
      <c r="F487" s="1" t="s">
        <v>391</v>
      </c>
      <c r="G487" s="1" t="s">
        <v>213</v>
      </c>
      <c r="H487" s="1" t="s">
        <v>477</v>
      </c>
      <c r="K487" s="1" t="s">
        <v>478</v>
      </c>
      <c r="L487" s="1" t="s">
        <v>479</v>
      </c>
      <c r="M487" s="1" t="s">
        <v>496</v>
      </c>
      <c r="N487" s="1" t="s">
        <v>905</v>
      </c>
      <c r="O487" s="1" t="s">
        <v>906</v>
      </c>
      <c r="P487" s="1"/>
      <c r="Q487" s="1" t="s">
        <v>70</v>
      </c>
      <c r="Z487" s="1" t="s">
        <v>71</v>
      </c>
      <c r="AE487" s="1" t="s">
        <v>1794</v>
      </c>
      <c r="AH487" s="1" t="s">
        <v>73</v>
      </c>
      <c r="AK487" s="1" t="s">
        <v>71</v>
      </c>
      <c r="AM487" s="1" t="s">
        <v>71</v>
      </c>
      <c r="AN487" s="1" t="s">
        <v>71</v>
      </c>
      <c r="AS487" s="1" t="s">
        <v>71</v>
      </c>
      <c r="AX487" s="1" t="s">
        <v>71</v>
      </c>
      <c r="BH487" s="1" t="s">
        <v>71</v>
      </c>
    </row>
    <row r="488" customFormat="false" ht="15" hidden="false" customHeight="false" outlineLevel="0" collapsed="false">
      <c r="A488" s="1" t="s">
        <v>1809</v>
      </c>
      <c r="B488" s="1" t="s">
        <v>1810</v>
      </c>
      <c r="C488" s="1" t="s">
        <v>368</v>
      </c>
      <c r="D488" s="1" t="s">
        <v>1629</v>
      </c>
      <c r="E488" s="1" t="s">
        <v>82</v>
      </c>
      <c r="F488" s="1" t="s">
        <v>391</v>
      </c>
      <c r="G488" s="1" t="s">
        <v>213</v>
      </c>
      <c r="H488" s="1" t="s">
        <v>477</v>
      </c>
      <c r="K488" s="1" t="s">
        <v>478</v>
      </c>
      <c r="L488" s="1" t="s">
        <v>479</v>
      </c>
      <c r="M488" s="1" t="s">
        <v>496</v>
      </c>
      <c r="N488" s="1" t="s">
        <v>779</v>
      </c>
      <c r="O488" s="1" t="s">
        <v>400</v>
      </c>
      <c r="P488" s="1"/>
      <c r="Q488" s="1" t="s">
        <v>70</v>
      </c>
      <c r="Z488" s="1" t="s">
        <v>71</v>
      </c>
      <c r="AE488" s="1" t="s">
        <v>1794</v>
      </c>
      <c r="AH488" s="1" t="s">
        <v>73</v>
      </c>
      <c r="AK488" s="1" t="s">
        <v>71</v>
      </c>
      <c r="AM488" s="1" t="s">
        <v>71</v>
      </c>
      <c r="AN488" s="1" t="s">
        <v>71</v>
      </c>
      <c r="AS488" s="1" t="s">
        <v>71</v>
      </c>
      <c r="AX488" s="1" t="s">
        <v>71</v>
      </c>
      <c r="BH488" s="1" t="s">
        <v>71</v>
      </c>
    </row>
    <row r="489" customFormat="false" ht="15" hidden="false" customHeight="false" outlineLevel="0" collapsed="false">
      <c r="A489" s="1" t="s">
        <v>1811</v>
      </c>
      <c r="B489" s="1" t="s">
        <v>1812</v>
      </c>
      <c r="C489" s="1" t="s">
        <v>368</v>
      </c>
      <c r="D489" s="1" t="s">
        <v>1629</v>
      </c>
      <c r="E489" s="1" t="s">
        <v>82</v>
      </c>
      <c r="F489" s="1" t="s">
        <v>391</v>
      </c>
      <c r="G489" s="1" t="s">
        <v>213</v>
      </c>
      <c r="H489" s="1" t="s">
        <v>477</v>
      </c>
      <c r="K489" s="1" t="s">
        <v>478</v>
      </c>
      <c r="L489" s="1" t="s">
        <v>479</v>
      </c>
      <c r="M489" s="1" t="s">
        <v>496</v>
      </c>
      <c r="N489" s="1" t="s">
        <v>536</v>
      </c>
      <c r="O489" s="1" t="s">
        <v>537</v>
      </c>
      <c r="P489" s="1"/>
      <c r="Q489" s="1" t="s">
        <v>70</v>
      </c>
      <c r="Z489" s="1" t="s">
        <v>71</v>
      </c>
      <c r="AE489" s="1" t="s">
        <v>1794</v>
      </c>
      <c r="AH489" s="1" t="s">
        <v>73</v>
      </c>
      <c r="AK489" s="1" t="s">
        <v>71</v>
      </c>
      <c r="AM489" s="1" t="s">
        <v>71</v>
      </c>
      <c r="AN489" s="1" t="s">
        <v>71</v>
      </c>
      <c r="AS489" s="1" t="s">
        <v>71</v>
      </c>
      <c r="AX489" s="1" t="s">
        <v>71</v>
      </c>
      <c r="BH489" s="1" t="s">
        <v>71</v>
      </c>
    </row>
    <row r="490" customFormat="false" ht="15" hidden="false" customHeight="false" outlineLevel="0" collapsed="false">
      <c r="A490" s="1" t="s">
        <v>1813</v>
      </c>
      <c r="B490" s="1" t="s">
        <v>1814</v>
      </c>
      <c r="C490" s="1" t="s">
        <v>368</v>
      </c>
      <c r="D490" s="1" t="s">
        <v>1629</v>
      </c>
      <c r="E490" s="1" t="s">
        <v>82</v>
      </c>
      <c r="F490" s="1" t="s">
        <v>391</v>
      </c>
      <c r="G490" s="1" t="s">
        <v>213</v>
      </c>
      <c r="H490" s="1" t="s">
        <v>477</v>
      </c>
      <c r="K490" s="1" t="s">
        <v>478</v>
      </c>
      <c r="L490" s="1" t="s">
        <v>479</v>
      </c>
      <c r="M490" s="1" t="s">
        <v>496</v>
      </c>
      <c r="N490" s="1" t="s">
        <v>740</v>
      </c>
      <c r="O490" s="1" t="s">
        <v>741</v>
      </c>
      <c r="P490" s="1"/>
      <c r="Q490" s="1" t="s">
        <v>70</v>
      </c>
      <c r="Z490" s="1" t="s">
        <v>71</v>
      </c>
      <c r="AE490" s="1" t="s">
        <v>1794</v>
      </c>
      <c r="AH490" s="1" t="s">
        <v>73</v>
      </c>
      <c r="AK490" s="1" t="s">
        <v>71</v>
      </c>
      <c r="AM490" s="1" t="s">
        <v>71</v>
      </c>
      <c r="AN490" s="1" t="s">
        <v>71</v>
      </c>
      <c r="AS490" s="1" t="s">
        <v>71</v>
      </c>
      <c r="AX490" s="1" t="s">
        <v>71</v>
      </c>
      <c r="BH490" s="1" t="s">
        <v>71</v>
      </c>
    </row>
    <row r="491" customFormat="false" ht="15" hidden="false" customHeight="false" outlineLevel="0" collapsed="false">
      <c r="A491" s="1" t="s">
        <v>1815</v>
      </c>
      <c r="B491" s="1" t="s">
        <v>1816</v>
      </c>
      <c r="C491" s="1" t="s">
        <v>128</v>
      </c>
      <c r="D491" s="1" t="s">
        <v>129</v>
      </c>
      <c r="E491" s="1" t="s">
        <v>61</v>
      </c>
      <c r="F491" s="1" t="s">
        <v>101</v>
      </c>
      <c r="G491" s="1" t="s">
        <v>93</v>
      </c>
      <c r="H491" s="1" t="s">
        <v>64</v>
      </c>
      <c r="K491" s="1" t="s">
        <v>102</v>
      </c>
      <c r="L491" s="1" t="s">
        <v>103</v>
      </c>
      <c r="M491" s="1" t="s">
        <v>104</v>
      </c>
      <c r="N491" s="1" t="s">
        <v>105</v>
      </c>
      <c r="O491" s="1" t="s">
        <v>106</v>
      </c>
      <c r="P491" s="1"/>
      <c r="Q491" s="1" t="s">
        <v>70</v>
      </c>
      <c r="U491" s="1" t="s">
        <v>1815</v>
      </c>
      <c r="Z491" s="1" t="s">
        <v>71</v>
      </c>
      <c r="AE491" s="1" t="s">
        <v>1817</v>
      </c>
      <c r="AH491" s="1" t="s">
        <v>73</v>
      </c>
      <c r="AK491" s="1" t="s">
        <v>71</v>
      </c>
      <c r="AM491" s="1" t="s">
        <v>71</v>
      </c>
      <c r="AN491" s="1" t="s">
        <v>71</v>
      </c>
      <c r="AS491" s="1" t="s">
        <v>71</v>
      </c>
      <c r="AX491" s="1" t="s">
        <v>71</v>
      </c>
      <c r="AY491" s="1" t="s">
        <v>59</v>
      </c>
      <c r="AZ491" s="1" t="s">
        <v>74</v>
      </c>
      <c r="BH491" s="1" t="s">
        <v>71</v>
      </c>
    </row>
    <row r="492" customFormat="false" ht="15" hidden="false" customHeight="false" outlineLevel="0" collapsed="false">
      <c r="A492" s="1" t="s">
        <v>1818</v>
      </c>
      <c r="B492" s="1" t="s">
        <v>1819</v>
      </c>
      <c r="C492" s="1" t="s">
        <v>1412</v>
      </c>
      <c r="D492" s="1" t="s">
        <v>1413</v>
      </c>
      <c r="E492" s="1" t="s">
        <v>65</v>
      </c>
      <c r="F492" s="1" t="s">
        <v>119</v>
      </c>
      <c r="G492" s="1" t="s">
        <v>61</v>
      </c>
      <c r="H492" s="1" t="s">
        <v>231</v>
      </c>
      <c r="K492" s="1" t="s">
        <v>493</v>
      </c>
      <c r="L492" s="1" t="s">
        <v>1820</v>
      </c>
      <c r="M492" s="1" t="s">
        <v>278</v>
      </c>
      <c r="N492" s="1" t="s">
        <v>375</v>
      </c>
      <c r="O492" s="1" t="s">
        <v>376</v>
      </c>
      <c r="P492" s="1"/>
      <c r="Q492" s="1" t="s">
        <v>70</v>
      </c>
      <c r="U492" s="1" t="s">
        <v>1818</v>
      </c>
      <c r="Z492" s="1" t="s">
        <v>71</v>
      </c>
      <c r="AE492" s="1" t="s">
        <v>1817</v>
      </c>
      <c r="AH492" s="1" t="s">
        <v>73</v>
      </c>
      <c r="AK492" s="1" t="s">
        <v>71</v>
      </c>
      <c r="AM492" s="1" t="s">
        <v>71</v>
      </c>
      <c r="AN492" s="1" t="s">
        <v>71</v>
      </c>
      <c r="AS492" s="1" t="s">
        <v>71</v>
      </c>
      <c r="AX492" s="1" t="s">
        <v>71</v>
      </c>
      <c r="AY492" s="1" t="s">
        <v>59</v>
      </c>
      <c r="AZ492" s="1" t="s">
        <v>74</v>
      </c>
      <c r="BH492" s="1" t="s">
        <v>71</v>
      </c>
    </row>
    <row r="493" customFormat="false" ht="15" hidden="false" customHeight="false" outlineLevel="0" collapsed="false">
      <c r="A493" s="1" t="s">
        <v>1821</v>
      </c>
      <c r="B493" s="1" t="s">
        <v>1822</v>
      </c>
      <c r="C493" s="1" t="s">
        <v>1823</v>
      </c>
      <c r="D493" s="1" t="s">
        <v>1824</v>
      </c>
      <c r="E493" s="1" t="s">
        <v>82</v>
      </c>
      <c r="F493" s="1" t="s">
        <v>391</v>
      </c>
      <c r="G493" s="1" t="s">
        <v>1356</v>
      </c>
      <c r="H493" s="1" t="s">
        <v>1825</v>
      </c>
      <c r="K493" s="1" t="s">
        <v>1826</v>
      </c>
      <c r="L493" s="1" t="s">
        <v>1827</v>
      </c>
      <c r="M493" s="1" t="s">
        <v>496</v>
      </c>
      <c r="N493" s="1" t="s">
        <v>1828</v>
      </c>
      <c r="O493" s="1" t="s">
        <v>1829</v>
      </c>
      <c r="P493" s="1"/>
      <c r="Q493" s="1" t="s">
        <v>70</v>
      </c>
      <c r="Z493" s="1" t="s">
        <v>71</v>
      </c>
      <c r="AE493" s="1" t="s">
        <v>1817</v>
      </c>
      <c r="AH493" s="1" t="s">
        <v>73</v>
      </c>
      <c r="AK493" s="1" t="s">
        <v>71</v>
      </c>
      <c r="AM493" s="1" t="s">
        <v>71</v>
      </c>
      <c r="AN493" s="1" t="s">
        <v>71</v>
      </c>
      <c r="AS493" s="1" t="s">
        <v>71</v>
      </c>
      <c r="AX493" s="1" t="s">
        <v>71</v>
      </c>
      <c r="BH493" s="1" t="s">
        <v>71</v>
      </c>
    </row>
    <row r="494" customFormat="false" ht="15" hidden="false" customHeight="false" outlineLevel="0" collapsed="false">
      <c r="A494" s="1" t="s">
        <v>1830</v>
      </c>
      <c r="B494" s="1" t="s">
        <v>1831</v>
      </c>
      <c r="C494" s="1" t="s">
        <v>1823</v>
      </c>
      <c r="D494" s="1" t="s">
        <v>1824</v>
      </c>
      <c r="E494" s="1" t="s">
        <v>82</v>
      </c>
      <c r="F494" s="1" t="s">
        <v>391</v>
      </c>
      <c r="G494" s="1" t="s">
        <v>1356</v>
      </c>
      <c r="H494" s="1" t="s">
        <v>1825</v>
      </c>
      <c r="K494" s="1" t="s">
        <v>1826</v>
      </c>
      <c r="L494" s="1" t="s">
        <v>1827</v>
      </c>
      <c r="M494" s="1" t="s">
        <v>465</v>
      </c>
      <c r="N494" s="1" t="s">
        <v>1832</v>
      </c>
      <c r="O494" s="1" t="s">
        <v>400</v>
      </c>
      <c r="P494" s="1"/>
      <c r="Q494" s="1" t="s">
        <v>70</v>
      </c>
      <c r="Z494" s="1" t="s">
        <v>71</v>
      </c>
      <c r="AE494" s="1" t="s">
        <v>1817</v>
      </c>
      <c r="AH494" s="1" t="s">
        <v>73</v>
      </c>
      <c r="AK494" s="1" t="s">
        <v>71</v>
      </c>
      <c r="AM494" s="1" t="s">
        <v>71</v>
      </c>
      <c r="AN494" s="1" t="s">
        <v>71</v>
      </c>
      <c r="AS494" s="1" t="s">
        <v>71</v>
      </c>
      <c r="AX494" s="1" t="s">
        <v>71</v>
      </c>
      <c r="BH494" s="1" t="s">
        <v>71</v>
      </c>
    </row>
    <row r="495" customFormat="false" ht="15" hidden="false" customHeight="false" outlineLevel="0" collapsed="false">
      <c r="A495" s="1" t="s">
        <v>1833</v>
      </c>
      <c r="B495" s="1" t="s">
        <v>1834</v>
      </c>
      <c r="C495" s="1" t="s">
        <v>1823</v>
      </c>
      <c r="D495" s="1" t="s">
        <v>1824</v>
      </c>
      <c r="E495" s="1" t="s">
        <v>82</v>
      </c>
      <c r="F495" s="1" t="s">
        <v>391</v>
      </c>
      <c r="G495" s="1" t="s">
        <v>1356</v>
      </c>
      <c r="H495" s="1" t="s">
        <v>1825</v>
      </c>
      <c r="K495" s="1" t="s">
        <v>1826</v>
      </c>
      <c r="L495" s="1" t="s">
        <v>1827</v>
      </c>
      <c r="M495" s="1" t="s">
        <v>496</v>
      </c>
      <c r="N495" s="1" t="s">
        <v>1832</v>
      </c>
      <c r="O495" s="1" t="s">
        <v>400</v>
      </c>
      <c r="P495" s="1"/>
      <c r="Q495" s="1" t="s">
        <v>70</v>
      </c>
      <c r="Z495" s="1" t="s">
        <v>71</v>
      </c>
      <c r="AE495" s="1" t="s">
        <v>1817</v>
      </c>
      <c r="AH495" s="1" t="s">
        <v>73</v>
      </c>
      <c r="AK495" s="1" t="s">
        <v>71</v>
      </c>
      <c r="AM495" s="1" t="s">
        <v>71</v>
      </c>
      <c r="AN495" s="1" t="s">
        <v>71</v>
      </c>
      <c r="AS495" s="1" t="s">
        <v>71</v>
      </c>
      <c r="AX495" s="1" t="s">
        <v>71</v>
      </c>
      <c r="BH495" s="1" t="s">
        <v>71</v>
      </c>
    </row>
    <row r="496" customFormat="false" ht="15" hidden="false" customHeight="false" outlineLevel="0" collapsed="false">
      <c r="A496" s="1" t="s">
        <v>1835</v>
      </c>
      <c r="B496" s="1" t="s">
        <v>1836</v>
      </c>
      <c r="C496" s="1" t="s">
        <v>368</v>
      </c>
      <c r="D496" s="1" t="s">
        <v>1629</v>
      </c>
      <c r="E496" s="1" t="s">
        <v>82</v>
      </c>
      <c r="F496" s="1" t="s">
        <v>391</v>
      </c>
      <c r="G496" s="1" t="s">
        <v>213</v>
      </c>
      <c r="H496" s="1" t="s">
        <v>477</v>
      </c>
      <c r="K496" s="1" t="s">
        <v>478</v>
      </c>
      <c r="L496" s="1" t="s">
        <v>479</v>
      </c>
      <c r="M496" s="1" t="s">
        <v>496</v>
      </c>
      <c r="N496" s="1" t="s">
        <v>518</v>
      </c>
      <c r="O496" s="1" t="s">
        <v>519</v>
      </c>
      <c r="P496" s="1"/>
      <c r="Q496" s="1" t="s">
        <v>70</v>
      </c>
      <c r="Z496" s="1" t="s">
        <v>71</v>
      </c>
      <c r="AE496" s="1" t="s">
        <v>1837</v>
      </c>
      <c r="AH496" s="1" t="s">
        <v>73</v>
      </c>
      <c r="AK496" s="1" t="s">
        <v>71</v>
      </c>
      <c r="AM496" s="1" t="s">
        <v>71</v>
      </c>
      <c r="AN496" s="1" t="s">
        <v>71</v>
      </c>
      <c r="AS496" s="1" t="s">
        <v>71</v>
      </c>
      <c r="AX496" s="1" t="s">
        <v>71</v>
      </c>
      <c r="BH496" s="1" t="s">
        <v>71</v>
      </c>
    </row>
    <row r="497" customFormat="false" ht="15" hidden="false" customHeight="false" outlineLevel="0" collapsed="false">
      <c r="A497" s="1" t="s">
        <v>1838</v>
      </c>
      <c r="B497" s="1" t="s">
        <v>1839</v>
      </c>
      <c r="C497" s="1" t="s">
        <v>368</v>
      </c>
      <c r="D497" s="1" t="s">
        <v>1629</v>
      </c>
      <c r="E497" s="1" t="s">
        <v>82</v>
      </c>
      <c r="F497" s="1" t="s">
        <v>391</v>
      </c>
      <c r="G497" s="1" t="s">
        <v>213</v>
      </c>
      <c r="H497" s="1" t="s">
        <v>477</v>
      </c>
      <c r="K497" s="1" t="s">
        <v>478</v>
      </c>
      <c r="L497" s="1" t="s">
        <v>479</v>
      </c>
      <c r="M497" s="1" t="s">
        <v>496</v>
      </c>
      <c r="N497" s="1" t="s">
        <v>1840</v>
      </c>
      <c r="O497" s="1" t="s">
        <v>1841</v>
      </c>
      <c r="P497" s="1"/>
      <c r="Q497" s="1" t="s">
        <v>70</v>
      </c>
      <c r="Z497" s="1" t="s">
        <v>71</v>
      </c>
      <c r="AE497" s="1" t="s">
        <v>1837</v>
      </c>
      <c r="AH497" s="1" t="s">
        <v>73</v>
      </c>
      <c r="AK497" s="1" t="s">
        <v>71</v>
      </c>
      <c r="AM497" s="1" t="s">
        <v>71</v>
      </c>
      <c r="AN497" s="1" t="s">
        <v>71</v>
      </c>
      <c r="AS497" s="1" t="s">
        <v>71</v>
      </c>
      <c r="AX497" s="1" t="s">
        <v>71</v>
      </c>
      <c r="BH497" s="1" t="s">
        <v>71</v>
      </c>
    </row>
    <row r="498" customFormat="false" ht="15" hidden="false" customHeight="false" outlineLevel="0" collapsed="false">
      <c r="A498" s="1" t="s">
        <v>1842</v>
      </c>
      <c r="B498" s="1" t="s">
        <v>1843</v>
      </c>
      <c r="C498" s="1" t="s">
        <v>524</v>
      </c>
      <c r="D498" s="1" t="s">
        <v>841</v>
      </c>
      <c r="E498" s="1" t="s">
        <v>82</v>
      </c>
      <c r="F498" s="1" t="s">
        <v>391</v>
      </c>
      <c r="G498" s="1" t="s">
        <v>443</v>
      </c>
      <c r="H498" s="1" t="s">
        <v>444</v>
      </c>
      <c r="K498" s="1" t="s">
        <v>618</v>
      </c>
      <c r="L498" s="1" t="s">
        <v>619</v>
      </c>
      <c r="M498" s="1" t="s">
        <v>496</v>
      </c>
      <c r="N498" s="1" t="s">
        <v>779</v>
      </c>
      <c r="O498" s="1" t="s">
        <v>400</v>
      </c>
      <c r="P498" s="1"/>
      <c r="Q498" s="1" t="s">
        <v>70</v>
      </c>
      <c r="Z498" s="1" t="s">
        <v>71</v>
      </c>
      <c r="AE498" s="1" t="s">
        <v>1844</v>
      </c>
      <c r="AH498" s="1" t="s">
        <v>73</v>
      </c>
      <c r="AK498" s="1" t="s">
        <v>71</v>
      </c>
      <c r="AM498" s="1" t="s">
        <v>71</v>
      </c>
      <c r="AN498" s="1" t="s">
        <v>71</v>
      </c>
      <c r="AS498" s="1" t="s">
        <v>71</v>
      </c>
      <c r="AX498" s="1" t="s">
        <v>71</v>
      </c>
      <c r="BH498" s="1" t="s">
        <v>71</v>
      </c>
    </row>
    <row r="499" customFormat="false" ht="15" hidden="false" customHeight="false" outlineLevel="0" collapsed="false">
      <c r="A499" s="1" t="s">
        <v>1845</v>
      </c>
      <c r="B499" s="1" t="s">
        <v>1846</v>
      </c>
      <c r="C499" s="1" t="s">
        <v>368</v>
      </c>
      <c r="D499" s="1" t="s">
        <v>1629</v>
      </c>
      <c r="E499" s="1" t="s">
        <v>82</v>
      </c>
      <c r="F499" s="1" t="s">
        <v>391</v>
      </c>
      <c r="G499" s="1" t="s">
        <v>213</v>
      </c>
      <c r="H499" s="1" t="s">
        <v>477</v>
      </c>
      <c r="K499" s="1" t="s">
        <v>478</v>
      </c>
      <c r="L499" s="1" t="s">
        <v>479</v>
      </c>
      <c r="M499" s="1" t="s">
        <v>496</v>
      </c>
      <c r="N499" s="1" t="s">
        <v>483</v>
      </c>
      <c r="O499" s="1" t="s">
        <v>400</v>
      </c>
      <c r="P499" s="1"/>
      <c r="Q499" s="1" t="s">
        <v>70</v>
      </c>
      <c r="Z499" s="1" t="s">
        <v>71</v>
      </c>
      <c r="AE499" s="1" t="s">
        <v>1844</v>
      </c>
      <c r="AH499" s="1" t="s">
        <v>73</v>
      </c>
      <c r="AK499" s="1" t="s">
        <v>71</v>
      </c>
      <c r="AM499" s="1" t="s">
        <v>71</v>
      </c>
      <c r="AN499" s="1" t="s">
        <v>71</v>
      </c>
      <c r="AS499" s="1" t="s">
        <v>71</v>
      </c>
      <c r="AX499" s="1" t="s">
        <v>71</v>
      </c>
      <c r="BH499" s="1" t="s">
        <v>71</v>
      </c>
    </row>
    <row r="500" customFormat="false" ht="15" hidden="false" customHeight="false" outlineLevel="0" collapsed="false">
      <c r="A500" s="1" t="s">
        <v>1847</v>
      </c>
      <c r="B500" s="1" t="s">
        <v>1848</v>
      </c>
      <c r="C500" s="1" t="s">
        <v>142</v>
      </c>
      <c r="D500" s="1" t="s">
        <v>1102</v>
      </c>
      <c r="E500" s="1" t="s">
        <v>82</v>
      </c>
      <c r="F500" s="1" t="s">
        <v>391</v>
      </c>
      <c r="G500" s="1" t="s">
        <v>182</v>
      </c>
      <c r="H500" s="1" t="s">
        <v>392</v>
      </c>
      <c r="K500" s="1" t="s">
        <v>1849</v>
      </c>
      <c r="L500" s="1" t="s">
        <v>1850</v>
      </c>
      <c r="M500" s="1" t="s">
        <v>496</v>
      </c>
      <c r="N500" s="1" t="s">
        <v>394</v>
      </c>
      <c r="O500" s="1" t="s">
        <v>395</v>
      </c>
      <c r="P500" s="1"/>
      <c r="Q500" s="1" t="s">
        <v>70</v>
      </c>
      <c r="Z500" s="1" t="s">
        <v>71</v>
      </c>
      <c r="AE500" s="1" t="s">
        <v>1844</v>
      </c>
      <c r="AH500" s="1" t="s">
        <v>73</v>
      </c>
      <c r="AK500" s="1" t="s">
        <v>71</v>
      </c>
      <c r="AM500" s="1" t="s">
        <v>71</v>
      </c>
      <c r="AN500" s="1" t="s">
        <v>71</v>
      </c>
      <c r="AS500" s="1" t="s">
        <v>71</v>
      </c>
      <c r="AX500" s="1" t="s">
        <v>71</v>
      </c>
      <c r="BH500" s="1" t="s">
        <v>71</v>
      </c>
    </row>
    <row r="501" customFormat="false" ht="15" hidden="false" customHeight="false" outlineLevel="0" collapsed="false">
      <c r="A501" s="1" t="s">
        <v>1851</v>
      </c>
      <c r="B501" s="1" t="s">
        <v>1852</v>
      </c>
      <c r="C501" s="1" t="s">
        <v>161</v>
      </c>
      <c r="D501" s="1" t="s">
        <v>162</v>
      </c>
      <c r="E501" s="1" t="s">
        <v>61</v>
      </c>
      <c r="F501" s="1" t="s">
        <v>101</v>
      </c>
      <c r="G501" s="1" t="s">
        <v>93</v>
      </c>
      <c r="H501" s="1" t="s">
        <v>64</v>
      </c>
      <c r="K501" s="1" t="s">
        <v>251</v>
      </c>
      <c r="L501" s="1" t="s">
        <v>1084</v>
      </c>
      <c r="M501" s="1" t="s">
        <v>104</v>
      </c>
      <c r="N501" s="1" t="s">
        <v>123</v>
      </c>
      <c r="O501" s="1" t="s">
        <v>124</v>
      </c>
      <c r="P501" s="1"/>
      <c r="Q501" s="1" t="s">
        <v>70</v>
      </c>
      <c r="U501" s="1" t="s">
        <v>1851</v>
      </c>
      <c r="Z501" s="1" t="s">
        <v>71</v>
      </c>
      <c r="AE501" s="1" t="s">
        <v>1844</v>
      </c>
      <c r="AH501" s="1" t="s">
        <v>73</v>
      </c>
      <c r="AK501" s="1" t="s">
        <v>71</v>
      </c>
      <c r="AM501" s="1" t="s">
        <v>71</v>
      </c>
      <c r="AN501" s="1" t="s">
        <v>71</v>
      </c>
      <c r="AS501" s="1" t="s">
        <v>71</v>
      </c>
      <c r="AX501" s="1" t="s">
        <v>71</v>
      </c>
      <c r="AY501" s="1" t="s">
        <v>59</v>
      </c>
      <c r="AZ501" s="1" t="s">
        <v>74</v>
      </c>
      <c r="BH501" s="1" t="s">
        <v>71</v>
      </c>
    </row>
    <row r="502" customFormat="false" ht="15" hidden="false" customHeight="false" outlineLevel="0" collapsed="false">
      <c r="A502" s="1" t="s">
        <v>1853</v>
      </c>
      <c r="B502" s="1" t="s">
        <v>1854</v>
      </c>
      <c r="C502" s="1" t="s">
        <v>161</v>
      </c>
      <c r="D502" s="1" t="s">
        <v>162</v>
      </c>
      <c r="E502" s="1" t="s">
        <v>61</v>
      </c>
      <c r="F502" s="1" t="s">
        <v>101</v>
      </c>
      <c r="G502" s="1" t="s">
        <v>93</v>
      </c>
      <c r="H502" s="1" t="s">
        <v>64</v>
      </c>
      <c r="K502" s="1" t="s">
        <v>290</v>
      </c>
      <c r="L502" s="1" t="s">
        <v>291</v>
      </c>
      <c r="M502" s="1" t="s">
        <v>104</v>
      </c>
      <c r="N502" s="1" t="s">
        <v>105</v>
      </c>
      <c r="O502" s="1" t="s">
        <v>106</v>
      </c>
      <c r="P502" s="1" t="e">
        <f aca="false">image("https://drive.google.com/uc?export=view&amp;id=1QVoQxhRudOldaK7SDaRdS39LNxx8rMa7")</f>
        <v>#NAME?</v>
      </c>
      <c r="Q502" s="1" t="s">
        <v>205</v>
      </c>
      <c r="U502" s="1" t="s">
        <v>1853</v>
      </c>
      <c r="Z502" s="1" t="s">
        <v>71</v>
      </c>
      <c r="AE502" s="1" t="s">
        <v>1844</v>
      </c>
      <c r="AH502" s="1" t="s">
        <v>73</v>
      </c>
      <c r="AK502" s="1" t="s">
        <v>71</v>
      </c>
      <c r="AM502" s="1" t="s">
        <v>71</v>
      </c>
      <c r="AN502" s="1" t="s">
        <v>71</v>
      </c>
      <c r="AS502" s="1" t="s">
        <v>71</v>
      </c>
      <c r="AX502" s="1" t="s">
        <v>71</v>
      </c>
      <c r="AY502" s="1" t="s">
        <v>59</v>
      </c>
      <c r="AZ502" s="1" t="s">
        <v>74</v>
      </c>
      <c r="BH502" s="1" t="s">
        <v>71</v>
      </c>
    </row>
    <row r="503" customFormat="false" ht="15" hidden="false" customHeight="false" outlineLevel="0" collapsed="false">
      <c r="A503" s="1" t="s">
        <v>1855</v>
      </c>
      <c r="B503" s="1" t="s">
        <v>1856</v>
      </c>
      <c r="C503" s="1" t="s">
        <v>573</v>
      </c>
      <c r="D503" s="1" t="s">
        <v>574</v>
      </c>
      <c r="E503" s="1" t="s">
        <v>82</v>
      </c>
      <c r="F503" s="1" t="s">
        <v>391</v>
      </c>
      <c r="G503" s="1" t="s">
        <v>213</v>
      </c>
      <c r="H503" s="1" t="s">
        <v>477</v>
      </c>
      <c r="K503" s="1" t="s">
        <v>582</v>
      </c>
      <c r="L503" s="1" t="s">
        <v>583</v>
      </c>
      <c r="M503" s="1" t="s">
        <v>577</v>
      </c>
      <c r="N503" s="1" t="s">
        <v>584</v>
      </c>
      <c r="O503" s="1" t="s">
        <v>585</v>
      </c>
      <c r="P503" s="1"/>
      <c r="Q503" s="1" t="s">
        <v>70</v>
      </c>
      <c r="Z503" s="1" t="s">
        <v>71</v>
      </c>
      <c r="AE503" s="1" t="s">
        <v>1857</v>
      </c>
      <c r="AH503" s="1" t="s">
        <v>73</v>
      </c>
      <c r="AK503" s="1" t="s">
        <v>71</v>
      </c>
      <c r="AM503" s="1" t="s">
        <v>71</v>
      </c>
      <c r="AN503" s="1" t="s">
        <v>71</v>
      </c>
      <c r="AS503" s="1" t="s">
        <v>71</v>
      </c>
      <c r="AX503" s="1" t="s">
        <v>71</v>
      </c>
      <c r="BH503" s="1" t="s">
        <v>71</v>
      </c>
    </row>
    <row r="504" customFormat="false" ht="15" hidden="false" customHeight="false" outlineLevel="0" collapsed="false">
      <c r="A504" s="1" t="s">
        <v>1858</v>
      </c>
      <c r="B504" s="1" t="s">
        <v>1859</v>
      </c>
      <c r="C504" s="1" t="s">
        <v>526</v>
      </c>
      <c r="D504" s="1" t="s">
        <v>527</v>
      </c>
      <c r="E504" s="1" t="s">
        <v>82</v>
      </c>
      <c r="F504" s="1" t="s">
        <v>391</v>
      </c>
      <c r="G504" s="1" t="s">
        <v>213</v>
      </c>
      <c r="H504" s="1" t="s">
        <v>477</v>
      </c>
      <c r="K504" s="1" t="s">
        <v>478</v>
      </c>
      <c r="L504" s="1" t="s">
        <v>479</v>
      </c>
      <c r="M504" s="1" t="s">
        <v>496</v>
      </c>
      <c r="N504" s="1" t="s">
        <v>518</v>
      </c>
      <c r="O504" s="1" t="s">
        <v>519</v>
      </c>
      <c r="P504" s="1"/>
      <c r="Q504" s="1" t="s">
        <v>70</v>
      </c>
      <c r="Z504" s="1" t="s">
        <v>71</v>
      </c>
      <c r="AE504" s="1" t="s">
        <v>1860</v>
      </c>
      <c r="AH504" s="1" t="s">
        <v>73</v>
      </c>
      <c r="AK504" s="1" t="s">
        <v>71</v>
      </c>
      <c r="AM504" s="1" t="s">
        <v>71</v>
      </c>
      <c r="AN504" s="1" t="s">
        <v>71</v>
      </c>
      <c r="AS504" s="1" t="s">
        <v>71</v>
      </c>
      <c r="AX504" s="1" t="s">
        <v>71</v>
      </c>
      <c r="BH504" s="1" t="s">
        <v>71</v>
      </c>
    </row>
    <row r="505" customFormat="false" ht="15" hidden="false" customHeight="false" outlineLevel="0" collapsed="false">
      <c r="A505" s="1" t="s">
        <v>1861</v>
      </c>
      <c r="B505" s="1" t="s">
        <v>1862</v>
      </c>
      <c r="C505" s="1" t="s">
        <v>526</v>
      </c>
      <c r="D505" s="1" t="s">
        <v>527</v>
      </c>
      <c r="E505" s="1" t="s">
        <v>82</v>
      </c>
      <c r="F505" s="1" t="s">
        <v>391</v>
      </c>
      <c r="G505" s="1" t="s">
        <v>213</v>
      </c>
      <c r="H505" s="1" t="s">
        <v>477</v>
      </c>
      <c r="K505" s="1" t="s">
        <v>478</v>
      </c>
      <c r="L505" s="1" t="s">
        <v>479</v>
      </c>
      <c r="M505" s="1" t="s">
        <v>496</v>
      </c>
      <c r="N505" s="1" t="s">
        <v>884</v>
      </c>
      <c r="O505" s="1" t="s">
        <v>447</v>
      </c>
      <c r="P505" s="1"/>
      <c r="Q505" s="1" t="s">
        <v>70</v>
      </c>
      <c r="Z505" s="1" t="s">
        <v>71</v>
      </c>
      <c r="AE505" s="1" t="s">
        <v>1863</v>
      </c>
      <c r="AH505" s="1" t="s">
        <v>73</v>
      </c>
      <c r="AK505" s="1" t="s">
        <v>71</v>
      </c>
      <c r="AM505" s="1" t="s">
        <v>71</v>
      </c>
      <c r="AN505" s="1" t="s">
        <v>71</v>
      </c>
      <c r="AS505" s="1" t="s">
        <v>71</v>
      </c>
      <c r="AX505" s="1" t="s">
        <v>71</v>
      </c>
      <c r="BH505" s="1" t="s">
        <v>71</v>
      </c>
    </row>
    <row r="506" customFormat="false" ht="15" hidden="false" customHeight="false" outlineLevel="0" collapsed="false">
      <c r="A506" s="1" t="s">
        <v>1864</v>
      </c>
      <c r="B506" s="1" t="s">
        <v>1865</v>
      </c>
      <c r="C506" s="1" t="s">
        <v>526</v>
      </c>
      <c r="D506" s="1" t="s">
        <v>527</v>
      </c>
      <c r="E506" s="1" t="s">
        <v>82</v>
      </c>
      <c r="F506" s="1" t="s">
        <v>391</v>
      </c>
      <c r="G506" s="1" t="s">
        <v>213</v>
      </c>
      <c r="H506" s="1" t="s">
        <v>477</v>
      </c>
      <c r="K506" s="1" t="s">
        <v>478</v>
      </c>
      <c r="L506" s="1" t="s">
        <v>479</v>
      </c>
      <c r="M506" s="1" t="s">
        <v>496</v>
      </c>
      <c r="N506" s="1" t="s">
        <v>884</v>
      </c>
      <c r="O506" s="1" t="s">
        <v>447</v>
      </c>
      <c r="P506" s="1"/>
      <c r="Q506" s="1" t="s">
        <v>70</v>
      </c>
      <c r="Z506" s="1" t="s">
        <v>71</v>
      </c>
      <c r="AE506" s="1" t="s">
        <v>1863</v>
      </c>
      <c r="AH506" s="1" t="s">
        <v>73</v>
      </c>
      <c r="AK506" s="1" t="s">
        <v>71</v>
      </c>
      <c r="AM506" s="1" t="s">
        <v>71</v>
      </c>
      <c r="AN506" s="1" t="s">
        <v>71</v>
      </c>
      <c r="AS506" s="1" t="s">
        <v>71</v>
      </c>
      <c r="AX506" s="1" t="s">
        <v>71</v>
      </c>
      <c r="BH506" s="1" t="s">
        <v>71</v>
      </c>
    </row>
    <row r="507" customFormat="false" ht="15" hidden="false" customHeight="false" outlineLevel="0" collapsed="false">
      <c r="A507" s="1" t="s">
        <v>1866</v>
      </c>
      <c r="B507" s="1" t="s">
        <v>1867</v>
      </c>
      <c r="C507" s="1" t="s">
        <v>150</v>
      </c>
      <c r="D507" s="1" t="s">
        <v>405</v>
      </c>
      <c r="E507" s="1" t="s">
        <v>82</v>
      </c>
      <c r="F507" s="1" t="s">
        <v>391</v>
      </c>
      <c r="G507" s="1" t="s">
        <v>97</v>
      </c>
      <c r="H507" s="1" t="s">
        <v>406</v>
      </c>
      <c r="K507" s="1" t="s">
        <v>407</v>
      </c>
      <c r="L507" s="1" t="s">
        <v>408</v>
      </c>
      <c r="M507" s="1" t="s">
        <v>465</v>
      </c>
      <c r="N507" s="1" t="s">
        <v>1868</v>
      </c>
      <c r="O507" s="1" t="s">
        <v>1869</v>
      </c>
      <c r="P507" s="1"/>
      <c r="Q507" s="1" t="s">
        <v>70</v>
      </c>
      <c r="Z507" s="1" t="s">
        <v>71</v>
      </c>
      <c r="AE507" s="1" t="s">
        <v>1863</v>
      </c>
      <c r="AH507" s="1" t="s">
        <v>73</v>
      </c>
      <c r="AK507" s="1" t="s">
        <v>71</v>
      </c>
      <c r="AM507" s="1" t="s">
        <v>71</v>
      </c>
      <c r="AN507" s="1" t="s">
        <v>71</v>
      </c>
      <c r="AS507" s="1" t="s">
        <v>71</v>
      </c>
      <c r="AX507" s="1" t="s">
        <v>71</v>
      </c>
      <c r="BH507" s="1" t="s">
        <v>71</v>
      </c>
    </row>
    <row r="508" customFormat="false" ht="15" hidden="false" customHeight="false" outlineLevel="0" collapsed="false">
      <c r="A508" s="1" t="s">
        <v>1870</v>
      </c>
      <c r="B508" s="1" t="s">
        <v>1871</v>
      </c>
      <c r="C508" s="1" t="s">
        <v>1756</v>
      </c>
      <c r="D508" s="1" t="s">
        <v>1872</v>
      </c>
      <c r="E508" s="1" t="s">
        <v>82</v>
      </c>
      <c r="F508" s="1" t="s">
        <v>391</v>
      </c>
      <c r="G508" s="1" t="s">
        <v>97</v>
      </c>
      <c r="H508" s="1" t="s">
        <v>406</v>
      </c>
      <c r="K508" s="1" t="s">
        <v>407</v>
      </c>
      <c r="L508" s="1" t="s">
        <v>408</v>
      </c>
      <c r="M508" s="1" t="s">
        <v>496</v>
      </c>
      <c r="N508" s="1" t="s">
        <v>1873</v>
      </c>
      <c r="O508" s="1" t="s">
        <v>1874</v>
      </c>
      <c r="P508" s="1"/>
      <c r="Q508" s="1" t="s">
        <v>70</v>
      </c>
      <c r="Z508" s="1" t="s">
        <v>71</v>
      </c>
      <c r="AE508" s="1" t="s">
        <v>1863</v>
      </c>
      <c r="AH508" s="1" t="s">
        <v>73</v>
      </c>
      <c r="AK508" s="1" t="s">
        <v>71</v>
      </c>
      <c r="AM508" s="1" t="s">
        <v>71</v>
      </c>
      <c r="AN508" s="1" t="s">
        <v>71</v>
      </c>
      <c r="AS508" s="1" t="s">
        <v>71</v>
      </c>
      <c r="AX508" s="1" t="s">
        <v>71</v>
      </c>
      <c r="BH508" s="1" t="s">
        <v>71</v>
      </c>
    </row>
    <row r="509" customFormat="false" ht="15" hidden="false" customHeight="false" outlineLevel="0" collapsed="false">
      <c r="A509" s="1" t="s">
        <v>1875</v>
      </c>
      <c r="B509" s="1" t="s">
        <v>1876</v>
      </c>
      <c r="C509" s="1" t="s">
        <v>150</v>
      </c>
      <c r="D509" s="1" t="s">
        <v>405</v>
      </c>
      <c r="E509" s="1" t="s">
        <v>82</v>
      </c>
      <c r="F509" s="1" t="s">
        <v>391</v>
      </c>
      <c r="G509" s="1" t="s">
        <v>97</v>
      </c>
      <c r="H509" s="1" t="s">
        <v>406</v>
      </c>
      <c r="K509" s="1" t="s">
        <v>407</v>
      </c>
      <c r="L509" s="1" t="s">
        <v>408</v>
      </c>
      <c r="M509" s="1" t="s">
        <v>496</v>
      </c>
      <c r="N509" s="1" t="s">
        <v>1877</v>
      </c>
      <c r="O509" s="1" t="s">
        <v>1878</v>
      </c>
      <c r="P509" s="1"/>
      <c r="Q509" s="1" t="s">
        <v>70</v>
      </c>
      <c r="Z509" s="1" t="s">
        <v>71</v>
      </c>
      <c r="AE509" s="1" t="s">
        <v>1863</v>
      </c>
      <c r="AH509" s="1" t="s">
        <v>73</v>
      </c>
      <c r="AK509" s="1" t="s">
        <v>71</v>
      </c>
      <c r="AM509" s="1" t="s">
        <v>71</v>
      </c>
      <c r="AN509" s="1" t="s">
        <v>71</v>
      </c>
      <c r="AS509" s="1" t="s">
        <v>71</v>
      </c>
      <c r="AX509" s="1" t="s">
        <v>71</v>
      </c>
      <c r="BH509" s="1" t="s">
        <v>71</v>
      </c>
    </row>
    <row r="510" customFormat="false" ht="15" hidden="false" customHeight="false" outlineLevel="0" collapsed="false">
      <c r="A510" s="1" t="s">
        <v>1879</v>
      </c>
      <c r="B510" s="1" t="s">
        <v>1880</v>
      </c>
      <c r="C510" s="1" t="s">
        <v>150</v>
      </c>
      <c r="D510" s="1" t="s">
        <v>405</v>
      </c>
      <c r="E510" s="1" t="s">
        <v>82</v>
      </c>
      <c r="F510" s="1" t="s">
        <v>391</v>
      </c>
      <c r="G510" s="1" t="s">
        <v>97</v>
      </c>
      <c r="H510" s="1" t="s">
        <v>406</v>
      </c>
      <c r="K510" s="1" t="s">
        <v>407</v>
      </c>
      <c r="L510" s="1" t="s">
        <v>408</v>
      </c>
      <c r="M510" s="1" t="s">
        <v>496</v>
      </c>
      <c r="N510" s="1" t="s">
        <v>1881</v>
      </c>
      <c r="O510" s="1" t="s">
        <v>1882</v>
      </c>
      <c r="P510" s="1"/>
      <c r="Q510" s="1" t="s">
        <v>70</v>
      </c>
      <c r="Z510" s="1" t="s">
        <v>71</v>
      </c>
      <c r="AE510" s="1" t="s">
        <v>1863</v>
      </c>
      <c r="AH510" s="1" t="s">
        <v>73</v>
      </c>
      <c r="AK510" s="1" t="s">
        <v>71</v>
      </c>
      <c r="AM510" s="1" t="s">
        <v>71</v>
      </c>
      <c r="AN510" s="1" t="s">
        <v>71</v>
      </c>
      <c r="AS510" s="1" t="s">
        <v>71</v>
      </c>
      <c r="AX510" s="1" t="s">
        <v>71</v>
      </c>
      <c r="BH510" s="1" t="s">
        <v>71</v>
      </c>
    </row>
    <row r="511" customFormat="false" ht="15" hidden="false" customHeight="false" outlineLevel="0" collapsed="false">
      <c r="A511" s="1" t="s">
        <v>1883</v>
      </c>
      <c r="B511" s="1" t="s">
        <v>1884</v>
      </c>
      <c r="C511" s="1" t="s">
        <v>288</v>
      </c>
      <c r="D511" s="1" t="s">
        <v>289</v>
      </c>
      <c r="E511" s="1" t="s">
        <v>61</v>
      </c>
      <c r="F511" s="1" t="s">
        <v>101</v>
      </c>
      <c r="G511" s="1" t="s">
        <v>93</v>
      </c>
      <c r="H511" s="1" t="s">
        <v>64</v>
      </c>
      <c r="K511" s="1" t="s">
        <v>215</v>
      </c>
      <c r="L511" s="1" t="s">
        <v>197</v>
      </c>
      <c r="M511" s="1" t="s">
        <v>122</v>
      </c>
      <c r="N511" s="1" t="s">
        <v>123</v>
      </c>
      <c r="O511" s="1" t="s">
        <v>124</v>
      </c>
      <c r="P511" s="1"/>
      <c r="Q511" s="1" t="s">
        <v>70</v>
      </c>
      <c r="U511" s="1" t="s">
        <v>1883</v>
      </c>
      <c r="Z511" s="1" t="s">
        <v>71</v>
      </c>
      <c r="AE511" s="1" t="s">
        <v>1863</v>
      </c>
      <c r="AH511" s="1" t="s">
        <v>73</v>
      </c>
      <c r="AK511" s="1" t="s">
        <v>71</v>
      </c>
      <c r="AM511" s="1" t="s">
        <v>71</v>
      </c>
      <c r="AN511" s="1" t="s">
        <v>71</v>
      </c>
      <c r="AS511" s="1" t="s">
        <v>71</v>
      </c>
      <c r="AX511" s="1" t="s">
        <v>71</v>
      </c>
      <c r="AY511" s="1" t="s">
        <v>59</v>
      </c>
      <c r="AZ511" s="1" t="s">
        <v>74</v>
      </c>
      <c r="BH511" s="1" t="s">
        <v>71</v>
      </c>
    </row>
    <row r="512" customFormat="false" ht="15" hidden="false" customHeight="false" outlineLevel="0" collapsed="false">
      <c r="A512" s="1" t="s">
        <v>1885</v>
      </c>
      <c r="B512" s="1" t="s">
        <v>1886</v>
      </c>
      <c r="C512" s="1" t="s">
        <v>598</v>
      </c>
      <c r="D512" s="1" t="s">
        <v>1887</v>
      </c>
      <c r="E512" s="1" t="s">
        <v>82</v>
      </c>
      <c r="F512" s="1" t="s">
        <v>391</v>
      </c>
      <c r="G512" s="1" t="s">
        <v>443</v>
      </c>
      <c r="H512" s="1" t="s">
        <v>444</v>
      </c>
      <c r="K512" s="1" t="s">
        <v>666</v>
      </c>
      <c r="L512" s="1" t="s">
        <v>667</v>
      </c>
      <c r="M512" s="1" t="s">
        <v>806</v>
      </c>
      <c r="N512" s="1" t="s">
        <v>473</v>
      </c>
      <c r="O512" s="1" t="s">
        <v>474</v>
      </c>
      <c r="P512" s="1"/>
      <c r="Q512" s="1" t="s">
        <v>70</v>
      </c>
      <c r="Z512" s="1" t="s">
        <v>71</v>
      </c>
      <c r="AE512" s="1" t="s">
        <v>1888</v>
      </c>
      <c r="AH512" s="1" t="s">
        <v>73</v>
      </c>
      <c r="AK512" s="1" t="s">
        <v>71</v>
      </c>
      <c r="AM512" s="1" t="s">
        <v>71</v>
      </c>
      <c r="AN512" s="1" t="s">
        <v>71</v>
      </c>
      <c r="AS512" s="1" t="s">
        <v>71</v>
      </c>
      <c r="AX512" s="1" t="s">
        <v>71</v>
      </c>
      <c r="BH512" s="1" t="s">
        <v>71</v>
      </c>
    </row>
    <row r="513" customFormat="false" ht="15" hidden="false" customHeight="false" outlineLevel="0" collapsed="false">
      <c r="A513" s="1" t="s">
        <v>1889</v>
      </c>
      <c r="B513" s="1" t="s">
        <v>1890</v>
      </c>
      <c r="C513" s="1" t="s">
        <v>598</v>
      </c>
      <c r="D513" s="1" t="s">
        <v>1887</v>
      </c>
      <c r="E513" s="1" t="s">
        <v>82</v>
      </c>
      <c r="F513" s="1" t="s">
        <v>391</v>
      </c>
      <c r="G513" s="1" t="s">
        <v>443</v>
      </c>
      <c r="H513" s="1" t="s">
        <v>444</v>
      </c>
      <c r="K513" s="1" t="s">
        <v>666</v>
      </c>
      <c r="L513" s="1" t="s">
        <v>667</v>
      </c>
      <c r="M513" s="1" t="s">
        <v>806</v>
      </c>
      <c r="N513" s="1" t="s">
        <v>473</v>
      </c>
      <c r="O513" s="1" t="s">
        <v>474</v>
      </c>
      <c r="P513" s="1"/>
      <c r="Q513" s="1" t="s">
        <v>70</v>
      </c>
      <c r="Z513" s="1" t="s">
        <v>71</v>
      </c>
      <c r="AE513" s="1" t="s">
        <v>1888</v>
      </c>
      <c r="AH513" s="1" t="s">
        <v>73</v>
      </c>
      <c r="AK513" s="1" t="s">
        <v>71</v>
      </c>
      <c r="AM513" s="1" t="s">
        <v>71</v>
      </c>
      <c r="AN513" s="1" t="s">
        <v>71</v>
      </c>
      <c r="AS513" s="1" t="s">
        <v>71</v>
      </c>
      <c r="AX513" s="1" t="s">
        <v>71</v>
      </c>
      <c r="BH513" s="1" t="s">
        <v>71</v>
      </c>
    </row>
    <row r="514" customFormat="false" ht="15" hidden="false" customHeight="false" outlineLevel="0" collapsed="false">
      <c r="A514" s="1" t="s">
        <v>1891</v>
      </c>
      <c r="B514" s="1" t="s">
        <v>1892</v>
      </c>
      <c r="C514" s="1" t="s">
        <v>601</v>
      </c>
      <c r="D514" s="1" t="s">
        <v>1887</v>
      </c>
      <c r="E514" s="1" t="s">
        <v>82</v>
      </c>
      <c r="F514" s="1" t="s">
        <v>391</v>
      </c>
      <c r="G514" s="1" t="s">
        <v>443</v>
      </c>
      <c r="H514" s="1" t="s">
        <v>444</v>
      </c>
      <c r="K514" s="1" t="s">
        <v>666</v>
      </c>
      <c r="L514" s="1" t="s">
        <v>667</v>
      </c>
      <c r="M514" s="1" t="s">
        <v>806</v>
      </c>
      <c r="N514" s="1" t="s">
        <v>1893</v>
      </c>
      <c r="O514" s="1" t="s">
        <v>1894</v>
      </c>
      <c r="P514" s="1"/>
      <c r="Q514" s="1" t="s">
        <v>70</v>
      </c>
      <c r="Z514" s="1" t="s">
        <v>71</v>
      </c>
      <c r="AE514" s="1" t="s">
        <v>1895</v>
      </c>
      <c r="AH514" s="1" t="s">
        <v>73</v>
      </c>
      <c r="AK514" s="1" t="s">
        <v>71</v>
      </c>
      <c r="AM514" s="1" t="s">
        <v>71</v>
      </c>
      <c r="AN514" s="1" t="s">
        <v>71</v>
      </c>
      <c r="AS514" s="1" t="s">
        <v>71</v>
      </c>
      <c r="AX514" s="1" t="s">
        <v>71</v>
      </c>
      <c r="BH514" s="1" t="s">
        <v>71</v>
      </c>
    </row>
    <row r="515" customFormat="false" ht="15" hidden="false" customHeight="false" outlineLevel="0" collapsed="false">
      <c r="A515" s="1" t="s">
        <v>1896</v>
      </c>
      <c r="B515" s="1" t="s">
        <v>1897</v>
      </c>
      <c r="C515" s="1" t="s">
        <v>346</v>
      </c>
      <c r="D515" s="1" t="s">
        <v>1898</v>
      </c>
      <c r="E515" s="1" t="s">
        <v>82</v>
      </c>
      <c r="F515" s="1" t="s">
        <v>391</v>
      </c>
      <c r="G515" s="1" t="s">
        <v>97</v>
      </c>
      <c r="H515" s="1" t="s">
        <v>406</v>
      </c>
      <c r="K515" s="1" t="s">
        <v>836</v>
      </c>
      <c r="L515" s="1" t="s">
        <v>837</v>
      </c>
      <c r="M515" s="1" t="s">
        <v>692</v>
      </c>
      <c r="N515" s="1" t="s">
        <v>1899</v>
      </c>
      <c r="O515" s="1" t="s">
        <v>447</v>
      </c>
      <c r="P515" s="1"/>
      <c r="Q515" s="1" t="s">
        <v>70</v>
      </c>
      <c r="Z515" s="1" t="s">
        <v>71</v>
      </c>
      <c r="AE515" s="1" t="s">
        <v>1900</v>
      </c>
      <c r="AH515" s="1" t="s">
        <v>73</v>
      </c>
      <c r="AK515" s="1" t="s">
        <v>71</v>
      </c>
      <c r="AM515" s="1" t="s">
        <v>71</v>
      </c>
      <c r="AN515" s="1" t="s">
        <v>71</v>
      </c>
      <c r="AS515" s="1" t="s">
        <v>71</v>
      </c>
      <c r="AX515" s="1" t="s">
        <v>71</v>
      </c>
      <c r="BH515" s="1" t="s">
        <v>71</v>
      </c>
    </row>
    <row r="516" customFormat="false" ht="15" hidden="false" customHeight="false" outlineLevel="0" collapsed="false">
      <c r="A516" s="1" t="s">
        <v>1901</v>
      </c>
      <c r="B516" s="1" t="s">
        <v>1902</v>
      </c>
      <c r="C516" s="1" t="s">
        <v>622</v>
      </c>
      <c r="D516" s="1" t="s">
        <v>1903</v>
      </c>
      <c r="E516" s="1" t="s">
        <v>82</v>
      </c>
      <c r="F516" s="1" t="s">
        <v>391</v>
      </c>
      <c r="G516" s="1" t="s">
        <v>213</v>
      </c>
      <c r="H516" s="1" t="s">
        <v>477</v>
      </c>
      <c r="K516" s="1" t="s">
        <v>1904</v>
      </c>
      <c r="L516" s="1" t="s">
        <v>1905</v>
      </c>
      <c r="M516" s="1" t="s">
        <v>496</v>
      </c>
      <c r="N516" s="1" t="s">
        <v>740</v>
      </c>
      <c r="O516" s="1" t="s">
        <v>741</v>
      </c>
      <c r="P516" s="1"/>
      <c r="Q516" s="1" t="s">
        <v>70</v>
      </c>
      <c r="Z516" s="1" t="s">
        <v>71</v>
      </c>
      <c r="AE516" s="1" t="s">
        <v>1900</v>
      </c>
      <c r="AH516" s="1" t="s">
        <v>73</v>
      </c>
      <c r="AK516" s="1" t="s">
        <v>71</v>
      </c>
      <c r="AM516" s="1" t="s">
        <v>71</v>
      </c>
      <c r="AN516" s="1" t="s">
        <v>71</v>
      </c>
      <c r="AS516" s="1" t="s">
        <v>71</v>
      </c>
      <c r="AX516" s="1" t="s">
        <v>71</v>
      </c>
      <c r="BH516" s="1" t="s">
        <v>71</v>
      </c>
    </row>
    <row r="517" customFormat="false" ht="15" hidden="false" customHeight="false" outlineLevel="0" collapsed="false">
      <c r="A517" s="1" t="s">
        <v>1906</v>
      </c>
      <c r="B517" s="1" t="s">
        <v>1907</v>
      </c>
      <c r="C517" s="1" t="s">
        <v>622</v>
      </c>
      <c r="D517" s="1" t="s">
        <v>1903</v>
      </c>
      <c r="E517" s="1" t="s">
        <v>82</v>
      </c>
      <c r="F517" s="1" t="s">
        <v>391</v>
      </c>
      <c r="G517" s="1" t="s">
        <v>213</v>
      </c>
      <c r="H517" s="1" t="s">
        <v>477</v>
      </c>
      <c r="K517" s="1" t="s">
        <v>1904</v>
      </c>
      <c r="L517" s="1" t="s">
        <v>1905</v>
      </c>
      <c r="M517" s="1" t="s">
        <v>496</v>
      </c>
      <c r="N517" s="1" t="s">
        <v>1751</v>
      </c>
      <c r="O517" s="1" t="s">
        <v>400</v>
      </c>
      <c r="P517" s="1"/>
      <c r="Q517" s="1" t="s">
        <v>70</v>
      </c>
      <c r="Z517" s="1" t="s">
        <v>71</v>
      </c>
      <c r="AE517" s="1" t="s">
        <v>1900</v>
      </c>
      <c r="AH517" s="1" t="s">
        <v>73</v>
      </c>
      <c r="AK517" s="1" t="s">
        <v>71</v>
      </c>
      <c r="AM517" s="1" t="s">
        <v>71</v>
      </c>
      <c r="AN517" s="1" t="s">
        <v>71</v>
      </c>
      <c r="AS517" s="1" t="s">
        <v>71</v>
      </c>
      <c r="AX517" s="1" t="s">
        <v>71</v>
      </c>
      <c r="BH517" s="1" t="s">
        <v>71</v>
      </c>
    </row>
    <row r="518" customFormat="false" ht="15" hidden="false" customHeight="false" outlineLevel="0" collapsed="false">
      <c r="A518" s="1" t="s">
        <v>1908</v>
      </c>
      <c r="B518" s="1" t="s">
        <v>1909</v>
      </c>
      <c r="C518" s="1" t="s">
        <v>622</v>
      </c>
      <c r="D518" s="1" t="s">
        <v>1903</v>
      </c>
      <c r="E518" s="1" t="s">
        <v>82</v>
      </c>
      <c r="F518" s="1" t="s">
        <v>391</v>
      </c>
      <c r="G518" s="1" t="s">
        <v>213</v>
      </c>
      <c r="H518" s="1" t="s">
        <v>477</v>
      </c>
      <c r="K518" s="1" t="s">
        <v>1904</v>
      </c>
      <c r="L518" s="1" t="s">
        <v>1905</v>
      </c>
      <c r="M518" s="1" t="s">
        <v>496</v>
      </c>
      <c r="N518" s="1" t="s">
        <v>1751</v>
      </c>
      <c r="O518" s="1" t="s">
        <v>400</v>
      </c>
      <c r="P518" s="1"/>
      <c r="Q518" s="1" t="s">
        <v>70</v>
      </c>
      <c r="Z518" s="1" t="s">
        <v>71</v>
      </c>
      <c r="AE518" s="1" t="s">
        <v>1900</v>
      </c>
      <c r="AH518" s="1" t="s">
        <v>73</v>
      </c>
      <c r="AK518" s="1" t="s">
        <v>71</v>
      </c>
      <c r="AM518" s="1" t="s">
        <v>71</v>
      </c>
      <c r="AN518" s="1" t="s">
        <v>71</v>
      </c>
      <c r="AS518" s="1" t="s">
        <v>71</v>
      </c>
      <c r="AX518" s="1" t="s">
        <v>71</v>
      </c>
      <c r="BH518" s="1" t="s">
        <v>71</v>
      </c>
    </row>
    <row r="519" customFormat="false" ht="15" hidden="false" customHeight="false" outlineLevel="0" collapsed="false">
      <c r="A519" s="1" t="s">
        <v>1910</v>
      </c>
      <c r="B519" s="1" t="s">
        <v>1911</v>
      </c>
      <c r="C519" s="1" t="s">
        <v>622</v>
      </c>
      <c r="D519" s="1" t="s">
        <v>1903</v>
      </c>
      <c r="E519" s="1" t="s">
        <v>82</v>
      </c>
      <c r="F519" s="1" t="s">
        <v>391</v>
      </c>
      <c r="G519" s="1" t="s">
        <v>213</v>
      </c>
      <c r="H519" s="1" t="s">
        <v>477</v>
      </c>
      <c r="K519" s="1" t="s">
        <v>1904</v>
      </c>
      <c r="L519" s="1" t="s">
        <v>1905</v>
      </c>
      <c r="M519" s="1" t="s">
        <v>496</v>
      </c>
      <c r="N519" s="1" t="s">
        <v>536</v>
      </c>
      <c r="O519" s="1" t="s">
        <v>537</v>
      </c>
      <c r="P519" s="1"/>
      <c r="Q519" s="1" t="s">
        <v>70</v>
      </c>
      <c r="Z519" s="1" t="s">
        <v>71</v>
      </c>
      <c r="AE519" s="1" t="s">
        <v>1900</v>
      </c>
      <c r="AH519" s="1" t="s">
        <v>73</v>
      </c>
      <c r="AK519" s="1" t="s">
        <v>71</v>
      </c>
      <c r="AM519" s="1" t="s">
        <v>71</v>
      </c>
      <c r="AN519" s="1" t="s">
        <v>71</v>
      </c>
      <c r="AS519" s="1" t="s">
        <v>71</v>
      </c>
      <c r="AX519" s="1" t="s">
        <v>71</v>
      </c>
      <c r="BH519" s="1" t="s">
        <v>71</v>
      </c>
    </row>
    <row r="520" customFormat="false" ht="15" hidden="false" customHeight="false" outlineLevel="0" collapsed="false">
      <c r="A520" s="1" t="s">
        <v>1912</v>
      </c>
      <c r="B520" s="1" t="s">
        <v>1913</v>
      </c>
      <c r="C520" s="1" t="s">
        <v>622</v>
      </c>
      <c r="D520" s="1" t="s">
        <v>1903</v>
      </c>
      <c r="E520" s="1" t="s">
        <v>82</v>
      </c>
      <c r="F520" s="1" t="s">
        <v>391</v>
      </c>
      <c r="G520" s="1" t="s">
        <v>213</v>
      </c>
      <c r="H520" s="1" t="s">
        <v>477</v>
      </c>
      <c r="K520" s="1" t="s">
        <v>1904</v>
      </c>
      <c r="L520" s="1" t="s">
        <v>1905</v>
      </c>
      <c r="M520" s="1" t="s">
        <v>496</v>
      </c>
      <c r="N520" s="1" t="s">
        <v>880</v>
      </c>
      <c r="O520" s="1" t="s">
        <v>881</v>
      </c>
      <c r="P520" s="1"/>
      <c r="Q520" s="1" t="s">
        <v>70</v>
      </c>
      <c r="Z520" s="1" t="s">
        <v>71</v>
      </c>
      <c r="AE520" s="1" t="s">
        <v>1900</v>
      </c>
      <c r="AH520" s="1" t="s">
        <v>73</v>
      </c>
      <c r="AK520" s="1" t="s">
        <v>71</v>
      </c>
      <c r="AM520" s="1" t="s">
        <v>71</v>
      </c>
      <c r="AN520" s="1" t="s">
        <v>71</v>
      </c>
      <c r="AS520" s="1" t="s">
        <v>71</v>
      </c>
      <c r="AX520" s="1" t="s">
        <v>71</v>
      </c>
      <c r="BH520" s="1" t="s">
        <v>71</v>
      </c>
    </row>
    <row r="521" customFormat="false" ht="15" hidden="false" customHeight="false" outlineLevel="0" collapsed="false">
      <c r="A521" s="1" t="s">
        <v>1914</v>
      </c>
      <c r="B521" s="1" t="s">
        <v>1915</v>
      </c>
      <c r="C521" s="1" t="s">
        <v>526</v>
      </c>
      <c r="D521" s="1" t="s">
        <v>527</v>
      </c>
      <c r="E521" s="1" t="s">
        <v>82</v>
      </c>
      <c r="F521" s="1" t="s">
        <v>391</v>
      </c>
      <c r="G521" s="1" t="s">
        <v>213</v>
      </c>
      <c r="H521" s="1" t="s">
        <v>477</v>
      </c>
      <c r="K521" s="1" t="s">
        <v>478</v>
      </c>
      <c r="L521" s="1" t="s">
        <v>479</v>
      </c>
      <c r="M521" s="1" t="s">
        <v>496</v>
      </c>
      <c r="N521" s="1" t="s">
        <v>894</v>
      </c>
      <c r="O521" s="1" t="s">
        <v>400</v>
      </c>
      <c r="P521" s="1"/>
      <c r="Q521" s="1" t="s">
        <v>70</v>
      </c>
      <c r="Z521" s="1" t="s">
        <v>71</v>
      </c>
      <c r="AE521" s="1" t="s">
        <v>1900</v>
      </c>
      <c r="AH521" s="1" t="s">
        <v>73</v>
      </c>
      <c r="AK521" s="1" t="s">
        <v>71</v>
      </c>
      <c r="AM521" s="1" t="s">
        <v>71</v>
      </c>
      <c r="AN521" s="1" t="s">
        <v>71</v>
      </c>
      <c r="AS521" s="1" t="s">
        <v>71</v>
      </c>
      <c r="AX521" s="1" t="s">
        <v>71</v>
      </c>
      <c r="BH521" s="1" t="s">
        <v>71</v>
      </c>
    </row>
    <row r="522" customFormat="false" ht="15" hidden="false" customHeight="false" outlineLevel="0" collapsed="false">
      <c r="A522" s="1" t="s">
        <v>1916</v>
      </c>
      <c r="B522" s="1" t="s">
        <v>1917</v>
      </c>
      <c r="C522" s="1" t="s">
        <v>509</v>
      </c>
      <c r="D522" s="1" t="s">
        <v>1664</v>
      </c>
      <c r="E522" s="1" t="s">
        <v>82</v>
      </c>
      <c r="F522" s="1" t="s">
        <v>391</v>
      </c>
      <c r="G522" s="1" t="s">
        <v>1356</v>
      </c>
      <c r="H522" s="1" t="s">
        <v>1825</v>
      </c>
      <c r="K522" s="1" t="s">
        <v>706</v>
      </c>
      <c r="L522" s="1" t="s">
        <v>1918</v>
      </c>
      <c r="M522" s="1" t="s">
        <v>496</v>
      </c>
      <c r="N522" s="1" t="s">
        <v>1919</v>
      </c>
      <c r="O522" s="1" t="s">
        <v>1920</v>
      </c>
      <c r="P522" s="1"/>
      <c r="Q522" s="1" t="s">
        <v>70</v>
      </c>
      <c r="Z522" s="1" t="s">
        <v>71</v>
      </c>
      <c r="AE522" s="1" t="s">
        <v>1900</v>
      </c>
      <c r="AH522" s="1" t="s">
        <v>73</v>
      </c>
      <c r="AK522" s="1" t="s">
        <v>71</v>
      </c>
      <c r="AM522" s="1" t="s">
        <v>71</v>
      </c>
      <c r="AN522" s="1" t="s">
        <v>71</v>
      </c>
      <c r="AS522" s="1" t="s">
        <v>71</v>
      </c>
      <c r="AX522" s="1" t="s">
        <v>71</v>
      </c>
      <c r="BH522" s="1" t="s">
        <v>71</v>
      </c>
    </row>
    <row r="523" customFormat="false" ht="15" hidden="false" customHeight="false" outlineLevel="0" collapsed="false">
      <c r="A523" s="1" t="s">
        <v>1921</v>
      </c>
      <c r="B523" s="1" t="s">
        <v>1922</v>
      </c>
      <c r="C523" s="1" t="s">
        <v>509</v>
      </c>
      <c r="D523" s="1" t="s">
        <v>1664</v>
      </c>
      <c r="E523" s="1" t="s">
        <v>82</v>
      </c>
      <c r="F523" s="1" t="s">
        <v>391</v>
      </c>
      <c r="G523" s="1" t="s">
        <v>1356</v>
      </c>
      <c r="H523" s="1" t="s">
        <v>1825</v>
      </c>
      <c r="K523" s="1" t="s">
        <v>706</v>
      </c>
      <c r="L523" s="1" t="s">
        <v>1918</v>
      </c>
      <c r="M523" s="1" t="s">
        <v>496</v>
      </c>
      <c r="N523" s="1" t="s">
        <v>1923</v>
      </c>
      <c r="O523" s="1" t="s">
        <v>1924</v>
      </c>
      <c r="P523" s="1"/>
      <c r="Q523" s="1" t="s">
        <v>70</v>
      </c>
      <c r="Z523" s="1" t="s">
        <v>71</v>
      </c>
      <c r="AE523" s="1" t="s">
        <v>1900</v>
      </c>
      <c r="AH523" s="1" t="s">
        <v>73</v>
      </c>
      <c r="AK523" s="1" t="s">
        <v>71</v>
      </c>
      <c r="AM523" s="1" t="s">
        <v>71</v>
      </c>
      <c r="AN523" s="1" t="s">
        <v>71</v>
      </c>
      <c r="AS523" s="1" t="s">
        <v>71</v>
      </c>
      <c r="AX523" s="1" t="s">
        <v>71</v>
      </c>
      <c r="BH523" s="1" t="s">
        <v>71</v>
      </c>
    </row>
    <row r="524" customFormat="false" ht="15" hidden="false" customHeight="false" outlineLevel="0" collapsed="false">
      <c r="A524" s="1" t="s">
        <v>1925</v>
      </c>
      <c r="B524" s="1" t="s">
        <v>1926</v>
      </c>
      <c r="C524" s="1" t="s">
        <v>524</v>
      </c>
      <c r="D524" s="1" t="s">
        <v>841</v>
      </c>
      <c r="E524" s="1" t="s">
        <v>82</v>
      </c>
      <c r="F524" s="1" t="s">
        <v>391</v>
      </c>
      <c r="G524" s="1" t="s">
        <v>443</v>
      </c>
      <c r="H524" s="1" t="s">
        <v>444</v>
      </c>
      <c r="K524" s="1" t="s">
        <v>1927</v>
      </c>
      <c r="L524" s="1" t="s">
        <v>1928</v>
      </c>
      <c r="M524" s="1" t="s">
        <v>1716</v>
      </c>
      <c r="N524" s="1" t="s">
        <v>1929</v>
      </c>
      <c r="O524" s="1" t="s">
        <v>1930</v>
      </c>
      <c r="P524" s="1"/>
      <c r="Q524" s="1" t="s">
        <v>70</v>
      </c>
      <c r="Z524" s="1" t="s">
        <v>71</v>
      </c>
      <c r="AE524" s="1" t="s">
        <v>1900</v>
      </c>
      <c r="AH524" s="1" t="s">
        <v>73</v>
      </c>
      <c r="AK524" s="1" t="s">
        <v>71</v>
      </c>
      <c r="AM524" s="1" t="s">
        <v>71</v>
      </c>
      <c r="AN524" s="1" t="s">
        <v>71</v>
      </c>
      <c r="AS524" s="1" t="s">
        <v>71</v>
      </c>
      <c r="AX524" s="1" t="s">
        <v>71</v>
      </c>
      <c r="BH524" s="1" t="s">
        <v>71</v>
      </c>
    </row>
    <row r="525" customFormat="false" ht="15" hidden="false" customHeight="false" outlineLevel="0" collapsed="false">
      <c r="A525" s="1" t="s">
        <v>1931</v>
      </c>
      <c r="B525" s="1" t="s">
        <v>1932</v>
      </c>
      <c r="C525" s="1" t="s">
        <v>524</v>
      </c>
      <c r="D525" s="1" t="s">
        <v>841</v>
      </c>
      <c r="E525" s="1" t="s">
        <v>82</v>
      </c>
      <c r="F525" s="1" t="s">
        <v>391</v>
      </c>
      <c r="G525" s="1" t="s">
        <v>443</v>
      </c>
      <c r="H525" s="1" t="s">
        <v>444</v>
      </c>
      <c r="K525" s="1" t="s">
        <v>1927</v>
      </c>
      <c r="L525" s="1" t="s">
        <v>1928</v>
      </c>
      <c r="M525" s="1" t="s">
        <v>1716</v>
      </c>
      <c r="N525" s="1" t="s">
        <v>1933</v>
      </c>
      <c r="O525" s="1" t="s">
        <v>1934</v>
      </c>
      <c r="P525" s="1"/>
      <c r="Q525" s="1" t="s">
        <v>70</v>
      </c>
      <c r="Z525" s="1" t="s">
        <v>71</v>
      </c>
      <c r="AE525" s="1" t="s">
        <v>1900</v>
      </c>
      <c r="AH525" s="1" t="s">
        <v>73</v>
      </c>
      <c r="AK525" s="1" t="s">
        <v>71</v>
      </c>
      <c r="AM525" s="1" t="s">
        <v>71</v>
      </c>
      <c r="AN525" s="1" t="s">
        <v>71</v>
      </c>
      <c r="AS525" s="1" t="s">
        <v>71</v>
      </c>
      <c r="AX525" s="1" t="s">
        <v>71</v>
      </c>
      <c r="BH525" s="1" t="s">
        <v>71</v>
      </c>
    </row>
    <row r="526" customFormat="false" ht="15" hidden="false" customHeight="false" outlineLevel="0" collapsed="false">
      <c r="A526" s="1" t="s">
        <v>1935</v>
      </c>
      <c r="B526" s="1" t="s">
        <v>1936</v>
      </c>
      <c r="C526" s="1" t="s">
        <v>524</v>
      </c>
      <c r="D526" s="1" t="s">
        <v>841</v>
      </c>
      <c r="E526" s="1" t="s">
        <v>82</v>
      </c>
      <c r="F526" s="1" t="s">
        <v>391</v>
      </c>
      <c r="G526" s="1" t="s">
        <v>443</v>
      </c>
      <c r="H526" s="1" t="s">
        <v>444</v>
      </c>
      <c r="K526" s="1" t="s">
        <v>261</v>
      </c>
      <c r="L526" s="1" t="s">
        <v>1937</v>
      </c>
      <c r="M526" s="1" t="s">
        <v>1938</v>
      </c>
      <c r="N526" s="1" t="s">
        <v>1939</v>
      </c>
      <c r="O526" s="1" t="s">
        <v>1940</v>
      </c>
      <c r="P526" s="1"/>
      <c r="Q526" s="1" t="s">
        <v>70</v>
      </c>
      <c r="Z526" s="1" t="s">
        <v>71</v>
      </c>
      <c r="AE526" s="1" t="s">
        <v>1900</v>
      </c>
      <c r="AH526" s="1" t="s">
        <v>73</v>
      </c>
      <c r="AK526" s="1" t="s">
        <v>71</v>
      </c>
      <c r="AM526" s="1" t="s">
        <v>71</v>
      </c>
      <c r="AN526" s="1" t="s">
        <v>71</v>
      </c>
      <c r="AS526" s="1" t="s">
        <v>71</v>
      </c>
      <c r="AX526" s="1" t="s">
        <v>71</v>
      </c>
      <c r="BH526" s="1" t="s">
        <v>71</v>
      </c>
    </row>
    <row r="527" customFormat="false" ht="15" hidden="false" customHeight="false" outlineLevel="0" collapsed="false">
      <c r="A527" s="1" t="s">
        <v>1941</v>
      </c>
      <c r="B527" s="1" t="s">
        <v>1942</v>
      </c>
      <c r="C527" s="1" t="s">
        <v>524</v>
      </c>
      <c r="D527" s="1" t="s">
        <v>841</v>
      </c>
      <c r="E527" s="1" t="s">
        <v>82</v>
      </c>
      <c r="F527" s="1" t="s">
        <v>391</v>
      </c>
      <c r="G527" s="1" t="s">
        <v>443</v>
      </c>
      <c r="H527" s="1" t="s">
        <v>444</v>
      </c>
      <c r="K527" s="1" t="s">
        <v>760</v>
      </c>
      <c r="L527" s="1" t="s">
        <v>1943</v>
      </c>
      <c r="M527" s="1" t="s">
        <v>496</v>
      </c>
      <c r="N527" s="1" t="s">
        <v>1944</v>
      </c>
      <c r="O527" s="1" t="s">
        <v>1945</v>
      </c>
      <c r="P527" s="1"/>
      <c r="Q527" s="1" t="s">
        <v>70</v>
      </c>
      <c r="Z527" s="1" t="s">
        <v>71</v>
      </c>
      <c r="AE527" s="1" t="s">
        <v>1900</v>
      </c>
      <c r="AH527" s="1" t="s">
        <v>73</v>
      </c>
      <c r="AK527" s="1" t="s">
        <v>71</v>
      </c>
      <c r="AM527" s="1" t="s">
        <v>71</v>
      </c>
      <c r="AN527" s="1" t="s">
        <v>71</v>
      </c>
      <c r="AS527" s="1" t="s">
        <v>71</v>
      </c>
      <c r="AX527" s="1" t="s">
        <v>71</v>
      </c>
      <c r="BH527" s="1" t="s">
        <v>71</v>
      </c>
    </row>
    <row r="528" customFormat="false" ht="15" hidden="false" customHeight="false" outlineLevel="0" collapsed="false">
      <c r="A528" s="1" t="s">
        <v>1946</v>
      </c>
      <c r="B528" s="1" t="s">
        <v>1947</v>
      </c>
      <c r="C528" s="1" t="s">
        <v>524</v>
      </c>
      <c r="D528" s="1" t="s">
        <v>841</v>
      </c>
      <c r="E528" s="1" t="s">
        <v>82</v>
      </c>
      <c r="F528" s="1" t="s">
        <v>391</v>
      </c>
      <c r="G528" s="1" t="s">
        <v>443</v>
      </c>
      <c r="H528" s="1" t="s">
        <v>444</v>
      </c>
      <c r="K528" s="1" t="s">
        <v>265</v>
      </c>
      <c r="L528" s="1" t="s">
        <v>1948</v>
      </c>
      <c r="M528" s="1" t="s">
        <v>550</v>
      </c>
      <c r="N528" s="1" t="s">
        <v>1949</v>
      </c>
      <c r="O528" s="1" t="s">
        <v>1950</v>
      </c>
      <c r="P528" s="1"/>
      <c r="Q528" s="1" t="s">
        <v>70</v>
      </c>
      <c r="Z528" s="1" t="s">
        <v>71</v>
      </c>
      <c r="AE528" s="1" t="s">
        <v>1900</v>
      </c>
      <c r="AH528" s="1" t="s">
        <v>73</v>
      </c>
      <c r="AK528" s="1" t="s">
        <v>71</v>
      </c>
      <c r="AM528" s="1" t="s">
        <v>71</v>
      </c>
      <c r="AN528" s="1" t="s">
        <v>71</v>
      </c>
      <c r="AS528" s="1" t="s">
        <v>71</v>
      </c>
      <c r="AX528" s="1" t="s">
        <v>71</v>
      </c>
      <c r="BH528" s="1" t="s">
        <v>71</v>
      </c>
    </row>
    <row r="529" customFormat="false" ht="15" hidden="false" customHeight="false" outlineLevel="0" collapsed="false">
      <c r="A529" s="1" t="s">
        <v>1951</v>
      </c>
      <c r="B529" s="1" t="s">
        <v>1952</v>
      </c>
      <c r="C529" s="1" t="s">
        <v>524</v>
      </c>
      <c r="D529" s="1" t="s">
        <v>841</v>
      </c>
      <c r="E529" s="1" t="s">
        <v>82</v>
      </c>
      <c r="F529" s="1" t="s">
        <v>391</v>
      </c>
      <c r="G529" s="1" t="s">
        <v>443</v>
      </c>
      <c r="H529" s="1" t="s">
        <v>444</v>
      </c>
      <c r="K529" s="1" t="s">
        <v>831</v>
      </c>
      <c r="L529" s="1" t="s">
        <v>1952</v>
      </c>
      <c r="M529" s="1" t="s">
        <v>496</v>
      </c>
      <c r="N529" s="1" t="s">
        <v>1953</v>
      </c>
      <c r="O529" s="1" t="s">
        <v>1954</v>
      </c>
      <c r="P529" s="1"/>
      <c r="Q529" s="1" t="s">
        <v>70</v>
      </c>
      <c r="Z529" s="1" t="s">
        <v>71</v>
      </c>
      <c r="AE529" s="1" t="s">
        <v>1900</v>
      </c>
      <c r="AH529" s="1" t="s">
        <v>73</v>
      </c>
      <c r="AK529" s="1" t="s">
        <v>71</v>
      </c>
      <c r="AM529" s="1" t="s">
        <v>71</v>
      </c>
      <c r="AN529" s="1" t="s">
        <v>71</v>
      </c>
      <c r="AS529" s="1" t="s">
        <v>71</v>
      </c>
      <c r="AX529" s="1" t="s">
        <v>71</v>
      </c>
      <c r="BH529" s="1" t="s">
        <v>71</v>
      </c>
    </row>
    <row r="530" customFormat="false" ht="15" hidden="false" customHeight="false" outlineLevel="0" collapsed="false">
      <c r="A530" s="1" t="s">
        <v>1955</v>
      </c>
      <c r="B530" s="1" t="s">
        <v>1956</v>
      </c>
      <c r="C530" s="1" t="s">
        <v>524</v>
      </c>
      <c r="D530" s="1" t="s">
        <v>841</v>
      </c>
      <c r="E530" s="1" t="s">
        <v>82</v>
      </c>
      <c r="F530" s="1" t="s">
        <v>391</v>
      </c>
      <c r="G530" s="1" t="s">
        <v>443</v>
      </c>
      <c r="H530" s="1" t="s">
        <v>444</v>
      </c>
      <c r="K530" s="1" t="s">
        <v>988</v>
      </c>
      <c r="L530" s="1" t="s">
        <v>989</v>
      </c>
      <c r="M530" s="1" t="s">
        <v>550</v>
      </c>
      <c r="N530" s="1" t="s">
        <v>1949</v>
      </c>
      <c r="O530" s="1" t="s">
        <v>1950</v>
      </c>
      <c r="P530" s="1"/>
      <c r="Q530" s="1" t="s">
        <v>70</v>
      </c>
      <c r="Z530" s="1" t="s">
        <v>71</v>
      </c>
      <c r="AE530" s="1" t="s">
        <v>1900</v>
      </c>
      <c r="AH530" s="1" t="s">
        <v>73</v>
      </c>
      <c r="AK530" s="1" t="s">
        <v>71</v>
      </c>
      <c r="AM530" s="1" t="s">
        <v>71</v>
      </c>
      <c r="AN530" s="1" t="s">
        <v>71</v>
      </c>
      <c r="AS530" s="1" t="s">
        <v>71</v>
      </c>
      <c r="AX530" s="1" t="s">
        <v>71</v>
      </c>
      <c r="BH530" s="1" t="s">
        <v>71</v>
      </c>
    </row>
    <row r="531" customFormat="false" ht="15" hidden="false" customHeight="false" outlineLevel="0" collapsed="false">
      <c r="A531" s="1" t="s">
        <v>1957</v>
      </c>
      <c r="B531" s="1" t="s">
        <v>1958</v>
      </c>
      <c r="C531" s="1" t="s">
        <v>353</v>
      </c>
      <c r="D531" s="1" t="s">
        <v>1771</v>
      </c>
      <c r="E531" s="1" t="s">
        <v>82</v>
      </c>
      <c r="F531" s="1" t="s">
        <v>391</v>
      </c>
      <c r="G531" s="1" t="s">
        <v>213</v>
      </c>
      <c r="H531" s="1" t="s">
        <v>477</v>
      </c>
      <c r="K531" s="1" t="s">
        <v>478</v>
      </c>
      <c r="L531" s="1" t="s">
        <v>479</v>
      </c>
      <c r="M531" s="1" t="s">
        <v>496</v>
      </c>
      <c r="N531" s="1" t="s">
        <v>1068</v>
      </c>
      <c r="O531" s="1" t="s">
        <v>400</v>
      </c>
      <c r="P531" s="1"/>
      <c r="Q531" s="1" t="s">
        <v>70</v>
      </c>
      <c r="Z531" s="1" t="s">
        <v>71</v>
      </c>
      <c r="AE531" s="1" t="s">
        <v>1959</v>
      </c>
      <c r="AH531" s="1" t="s">
        <v>73</v>
      </c>
      <c r="AK531" s="1" t="s">
        <v>71</v>
      </c>
      <c r="AM531" s="1" t="s">
        <v>71</v>
      </c>
      <c r="AN531" s="1" t="s">
        <v>71</v>
      </c>
      <c r="AS531" s="1" t="s">
        <v>71</v>
      </c>
      <c r="AX531" s="1" t="s">
        <v>71</v>
      </c>
      <c r="BH531" s="1" t="s">
        <v>71</v>
      </c>
    </row>
    <row r="532" customFormat="false" ht="15" hidden="false" customHeight="false" outlineLevel="0" collapsed="false">
      <c r="A532" s="1" t="s">
        <v>1960</v>
      </c>
      <c r="B532" s="1" t="s">
        <v>1961</v>
      </c>
      <c r="C532" s="1" t="s">
        <v>288</v>
      </c>
      <c r="D532" s="1" t="s">
        <v>289</v>
      </c>
      <c r="E532" s="1" t="s">
        <v>61</v>
      </c>
      <c r="F532" s="1" t="s">
        <v>101</v>
      </c>
      <c r="G532" s="1" t="s">
        <v>93</v>
      </c>
      <c r="H532" s="1" t="s">
        <v>64</v>
      </c>
      <c r="K532" s="1" t="s">
        <v>126</v>
      </c>
      <c r="L532" s="1" t="s">
        <v>335</v>
      </c>
      <c r="M532" s="1" t="s">
        <v>104</v>
      </c>
      <c r="N532" s="1" t="s">
        <v>105</v>
      </c>
      <c r="O532" s="1" t="s">
        <v>106</v>
      </c>
      <c r="P532" s="1"/>
      <c r="Q532" s="1" t="s">
        <v>70</v>
      </c>
      <c r="U532" s="1" t="s">
        <v>1960</v>
      </c>
      <c r="Z532" s="1" t="s">
        <v>71</v>
      </c>
      <c r="AE532" s="1" t="s">
        <v>1959</v>
      </c>
      <c r="AH532" s="1" t="s">
        <v>73</v>
      </c>
      <c r="AK532" s="1" t="s">
        <v>71</v>
      </c>
      <c r="AM532" s="1" t="s">
        <v>71</v>
      </c>
      <c r="AN532" s="1" t="s">
        <v>71</v>
      </c>
      <c r="AS532" s="1" t="s">
        <v>71</v>
      </c>
      <c r="AX532" s="1" t="s">
        <v>71</v>
      </c>
      <c r="AY532" s="1" t="s">
        <v>59</v>
      </c>
      <c r="AZ532" s="1" t="s">
        <v>74</v>
      </c>
      <c r="BH532" s="1" t="s">
        <v>71</v>
      </c>
    </row>
    <row r="533" customFormat="false" ht="15" hidden="false" customHeight="false" outlineLevel="0" collapsed="false">
      <c r="A533" s="1" t="s">
        <v>1962</v>
      </c>
      <c r="B533" s="1" t="s">
        <v>1963</v>
      </c>
      <c r="C533" s="1" t="s">
        <v>161</v>
      </c>
      <c r="D533" s="1" t="s">
        <v>162</v>
      </c>
      <c r="E533" s="1" t="s">
        <v>61</v>
      </c>
      <c r="F533" s="1" t="s">
        <v>101</v>
      </c>
      <c r="G533" s="1" t="s">
        <v>93</v>
      </c>
      <c r="H533" s="1" t="s">
        <v>64</v>
      </c>
      <c r="K533" s="1" t="s">
        <v>430</v>
      </c>
      <c r="L533" s="1" t="s">
        <v>1964</v>
      </c>
      <c r="M533" s="1" t="s">
        <v>104</v>
      </c>
      <c r="N533" s="1" t="s">
        <v>1965</v>
      </c>
      <c r="O533" s="1" t="s">
        <v>1966</v>
      </c>
      <c r="P533" s="1"/>
      <c r="Q533" s="1" t="s">
        <v>70</v>
      </c>
      <c r="U533" s="1" t="s">
        <v>1962</v>
      </c>
      <c r="Z533" s="1" t="s">
        <v>71</v>
      </c>
      <c r="AE533" s="1" t="s">
        <v>1967</v>
      </c>
      <c r="AH533" s="1" t="s">
        <v>73</v>
      </c>
      <c r="AK533" s="1" t="s">
        <v>71</v>
      </c>
      <c r="AM533" s="1" t="s">
        <v>71</v>
      </c>
      <c r="AN533" s="1" t="s">
        <v>71</v>
      </c>
      <c r="AS533" s="1" t="s">
        <v>71</v>
      </c>
      <c r="AX533" s="1" t="s">
        <v>71</v>
      </c>
      <c r="AY533" s="1" t="s">
        <v>59</v>
      </c>
      <c r="AZ533" s="1" t="s">
        <v>74</v>
      </c>
      <c r="BH533" s="1" t="s">
        <v>71</v>
      </c>
    </row>
    <row r="534" customFormat="false" ht="15" hidden="false" customHeight="false" outlineLevel="0" collapsed="false">
      <c r="A534" s="1" t="s">
        <v>1968</v>
      </c>
      <c r="B534" s="1" t="s">
        <v>1969</v>
      </c>
      <c r="C534" s="1" t="s">
        <v>526</v>
      </c>
      <c r="D534" s="1" t="s">
        <v>527</v>
      </c>
      <c r="E534" s="1" t="s">
        <v>82</v>
      </c>
      <c r="F534" s="1" t="s">
        <v>391</v>
      </c>
      <c r="G534" s="1" t="s">
        <v>213</v>
      </c>
      <c r="H534" s="1" t="s">
        <v>477</v>
      </c>
      <c r="K534" s="1" t="s">
        <v>478</v>
      </c>
      <c r="L534" s="1" t="s">
        <v>479</v>
      </c>
      <c r="M534" s="1" t="s">
        <v>496</v>
      </c>
      <c r="N534" s="1" t="s">
        <v>1970</v>
      </c>
      <c r="O534" s="1" t="s">
        <v>1971</v>
      </c>
      <c r="P534" s="1"/>
      <c r="Q534" s="1" t="s">
        <v>70</v>
      </c>
      <c r="Z534" s="1" t="s">
        <v>71</v>
      </c>
      <c r="AE534" s="1" t="s">
        <v>1972</v>
      </c>
      <c r="AH534" s="1" t="s">
        <v>73</v>
      </c>
      <c r="AK534" s="1" t="s">
        <v>71</v>
      </c>
      <c r="AM534" s="1" t="s">
        <v>71</v>
      </c>
      <c r="AN534" s="1" t="s">
        <v>71</v>
      </c>
      <c r="AS534" s="1" t="s">
        <v>71</v>
      </c>
      <c r="AX534" s="1" t="s">
        <v>71</v>
      </c>
      <c r="BH534" s="1" t="s">
        <v>71</v>
      </c>
    </row>
    <row r="535" customFormat="false" ht="15" hidden="false" customHeight="false" outlineLevel="0" collapsed="false">
      <c r="A535" s="1" t="s">
        <v>1973</v>
      </c>
      <c r="B535" s="1" t="s">
        <v>1974</v>
      </c>
      <c r="C535" s="1" t="s">
        <v>526</v>
      </c>
      <c r="D535" s="1" t="s">
        <v>527</v>
      </c>
      <c r="E535" s="1" t="s">
        <v>82</v>
      </c>
      <c r="F535" s="1" t="s">
        <v>391</v>
      </c>
      <c r="G535" s="1" t="s">
        <v>213</v>
      </c>
      <c r="H535" s="1" t="s">
        <v>477</v>
      </c>
      <c r="K535" s="1" t="s">
        <v>478</v>
      </c>
      <c r="L535" s="1" t="s">
        <v>479</v>
      </c>
      <c r="M535" s="1" t="s">
        <v>496</v>
      </c>
      <c r="N535" s="1" t="s">
        <v>608</v>
      </c>
      <c r="O535" s="1" t="s">
        <v>609</v>
      </c>
      <c r="P535" s="1"/>
      <c r="Q535" s="1" t="s">
        <v>70</v>
      </c>
      <c r="Z535" s="1" t="s">
        <v>71</v>
      </c>
      <c r="AE535" s="1" t="s">
        <v>1972</v>
      </c>
      <c r="AH535" s="1" t="s">
        <v>73</v>
      </c>
      <c r="AK535" s="1" t="s">
        <v>71</v>
      </c>
      <c r="AM535" s="1" t="s">
        <v>71</v>
      </c>
      <c r="AN535" s="1" t="s">
        <v>71</v>
      </c>
      <c r="AS535" s="1" t="s">
        <v>71</v>
      </c>
      <c r="AX535" s="1" t="s">
        <v>71</v>
      </c>
      <c r="BH535" s="1" t="s">
        <v>71</v>
      </c>
    </row>
    <row r="536" customFormat="false" ht="15" hidden="false" customHeight="false" outlineLevel="0" collapsed="false">
      <c r="A536" s="1" t="s">
        <v>1975</v>
      </c>
      <c r="B536" s="1" t="s">
        <v>1976</v>
      </c>
      <c r="C536" s="1" t="s">
        <v>742</v>
      </c>
      <c r="D536" s="1" t="s">
        <v>1977</v>
      </c>
      <c r="E536" s="1" t="s">
        <v>82</v>
      </c>
      <c r="F536" s="1" t="s">
        <v>391</v>
      </c>
      <c r="G536" s="1" t="s">
        <v>213</v>
      </c>
      <c r="H536" s="1" t="s">
        <v>477</v>
      </c>
      <c r="K536" s="1" t="s">
        <v>478</v>
      </c>
      <c r="L536" s="1" t="s">
        <v>479</v>
      </c>
      <c r="M536" s="1" t="s">
        <v>496</v>
      </c>
      <c r="N536" s="1" t="s">
        <v>1978</v>
      </c>
      <c r="O536" s="1" t="s">
        <v>1979</v>
      </c>
      <c r="P536" s="1"/>
      <c r="Q536" s="1" t="s">
        <v>70</v>
      </c>
      <c r="Z536" s="1" t="s">
        <v>71</v>
      </c>
      <c r="AE536" s="1" t="s">
        <v>1972</v>
      </c>
      <c r="AH536" s="1" t="s">
        <v>73</v>
      </c>
      <c r="AK536" s="1" t="s">
        <v>71</v>
      </c>
      <c r="AM536" s="1" t="s">
        <v>71</v>
      </c>
      <c r="AN536" s="1" t="s">
        <v>71</v>
      </c>
      <c r="AS536" s="1" t="s">
        <v>71</v>
      </c>
      <c r="AX536" s="1" t="s">
        <v>71</v>
      </c>
      <c r="BH536" s="1" t="s">
        <v>71</v>
      </c>
    </row>
    <row r="537" customFormat="false" ht="15" hidden="false" customHeight="false" outlineLevel="0" collapsed="false">
      <c r="A537" s="1" t="s">
        <v>1980</v>
      </c>
      <c r="B537" s="1" t="s">
        <v>1981</v>
      </c>
      <c r="C537" s="1" t="s">
        <v>526</v>
      </c>
      <c r="D537" s="1" t="s">
        <v>527</v>
      </c>
      <c r="E537" s="1" t="s">
        <v>82</v>
      </c>
      <c r="F537" s="1" t="s">
        <v>391</v>
      </c>
      <c r="G537" s="1" t="s">
        <v>213</v>
      </c>
      <c r="H537" s="1" t="s">
        <v>477</v>
      </c>
      <c r="K537" s="1" t="s">
        <v>478</v>
      </c>
      <c r="L537" s="1" t="s">
        <v>479</v>
      </c>
      <c r="M537" s="1" t="s">
        <v>496</v>
      </c>
      <c r="N537" s="1" t="s">
        <v>536</v>
      </c>
      <c r="O537" s="1" t="s">
        <v>537</v>
      </c>
      <c r="P537" s="1"/>
      <c r="Q537" s="1" t="s">
        <v>70</v>
      </c>
      <c r="Z537" s="1" t="s">
        <v>71</v>
      </c>
      <c r="AE537" s="1" t="s">
        <v>1972</v>
      </c>
      <c r="AH537" s="1" t="s">
        <v>73</v>
      </c>
      <c r="AK537" s="1" t="s">
        <v>71</v>
      </c>
      <c r="AM537" s="1" t="s">
        <v>71</v>
      </c>
      <c r="AN537" s="1" t="s">
        <v>71</v>
      </c>
      <c r="AS537" s="1" t="s">
        <v>71</v>
      </c>
      <c r="AX537" s="1" t="s">
        <v>71</v>
      </c>
      <c r="BH537" s="1" t="s">
        <v>71</v>
      </c>
    </row>
    <row r="538" customFormat="false" ht="15" hidden="false" customHeight="false" outlineLevel="0" collapsed="false">
      <c r="A538" s="1" t="s">
        <v>1982</v>
      </c>
      <c r="B538" s="1" t="s">
        <v>1983</v>
      </c>
      <c r="C538" s="1" t="s">
        <v>526</v>
      </c>
      <c r="D538" s="1" t="s">
        <v>527</v>
      </c>
      <c r="E538" s="1" t="s">
        <v>82</v>
      </c>
      <c r="F538" s="1" t="s">
        <v>391</v>
      </c>
      <c r="G538" s="1" t="s">
        <v>213</v>
      </c>
      <c r="H538" s="1" t="s">
        <v>477</v>
      </c>
      <c r="K538" s="1" t="s">
        <v>478</v>
      </c>
      <c r="L538" s="1" t="s">
        <v>479</v>
      </c>
      <c r="M538" s="1" t="s">
        <v>496</v>
      </c>
      <c r="N538" s="1" t="s">
        <v>740</v>
      </c>
      <c r="O538" s="1" t="s">
        <v>741</v>
      </c>
      <c r="P538" s="1"/>
      <c r="Q538" s="1" t="s">
        <v>70</v>
      </c>
      <c r="Z538" s="1" t="s">
        <v>71</v>
      </c>
      <c r="AE538" s="1" t="s">
        <v>1972</v>
      </c>
      <c r="AH538" s="1" t="s">
        <v>73</v>
      </c>
      <c r="AK538" s="1" t="s">
        <v>71</v>
      </c>
      <c r="AM538" s="1" t="s">
        <v>71</v>
      </c>
      <c r="AN538" s="1" t="s">
        <v>71</v>
      </c>
      <c r="AS538" s="1" t="s">
        <v>71</v>
      </c>
      <c r="AX538" s="1" t="s">
        <v>71</v>
      </c>
      <c r="BH538" s="1" t="s">
        <v>71</v>
      </c>
    </row>
    <row r="539" customFormat="false" ht="15" hidden="false" customHeight="false" outlineLevel="0" collapsed="false">
      <c r="A539" s="1" t="s">
        <v>1984</v>
      </c>
      <c r="B539" s="1" t="s">
        <v>1985</v>
      </c>
      <c r="C539" s="1" t="s">
        <v>526</v>
      </c>
      <c r="D539" s="1" t="s">
        <v>527</v>
      </c>
      <c r="E539" s="1" t="s">
        <v>82</v>
      </c>
      <c r="F539" s="1" t="s">
        <v>391</v>
      </c>
      <c r="G539" s="1" t="s">
        <v>213</v>
      </c>
      <c r="H539" s="1" t="s">
        <v>477</v>
      </c>
      <c r="K539" s="1" t="s">
        <v>478</v>
      </c>
      <c r="L539" s="1" t="s">
        <v>479</v>
      </c>
      <c r="M539" s="1" t="s">
        <v>496</v>
      </c>
      <c r="N539" s="1" t="s">
        <v>518</v>
      </c>
      <c r="O539" s="1" t="s">
        <v>519</v>
      </c>
      <c r="P539" s="1"/>
      <c r="Q539" s="1" t="s">
        <v>70</v>
      </c>
      <c r="Z539" s="1" t="s">
        <v>71</v>
      </c>
      <c r="AE539" s="1" t="s">
        <v>1972</v>
      </c>
      <c r="AH539" s="1" t="s">
        <v>73</v>
      </c>
      <c r="AK539" s="1" t="s">
        <v>71</v>
      </c>
      <c r="AM539" s="1" t="s">
        <v>71</v>
      </c>
      <c r="AN539" s="1" t="s">
        <v>71</v>
      </c>
      <c r="AS539" s="1" t="s">
        <v>71</v>
      </c>
      <c r="AX539" s="1" t="s">
        <v>71</v>
      </c>
      <c r="BH539" s="1" t="s">
        <v>71</v>
      </c>
    </row>
    <row r="540" customFormat="false" ht="15" hidden="false" customHeight="false" outlineLevel="0" collapsed="false">
      <c r="A540" s="1" t="s">
        <v>1986</v>
      </c>
      <c r="B540" s="1" t="s">
        <v>1987</v>
      </c>
      <c r="C540" s="1" t="s">
        <v>526</v>
      </c>
      <c r="D540" s="1" t="s">
        <v>527</v>
      </c>
      <c r="E540" s="1" t="s">
        <v>82</v>
      </c>
      <c r="F540" s="1" t="s">
        <v>391</v>
      </c>
      <c r="G540" s="1" t="s">
        <v>213</v>
      </c>
      <c r="H540" s="1" t="s">
        <v>477</v>
      </c>
      <c r="K540" s="1" t="s">
        <v>478</v>
      </c>
      <c r="L540" s="1" t="s">
        <v>479</v>
      </c>
      <c r="M540" s="1" t="s">
        <v>496</v>
      </c>
      <c r="N540" s="1" t="s">
        <v>650</v>
      </c>
      <c r="O540" s="1" t="s">
        <v>447</v>
      </c>
      <c r="P540" s="1"/>
      <c r="Q540" s="1" t="s">
        <v>70</v>
      </c>
      <c r="Z540" s="1" t="s">
        <v>71</v>
      </c>
      <c r="AE540" s="1" t="s">
        <v>1972</v>
      </c>
      <c r="AH540" s="1" t="s">
        <v>73</v>
      </c>
      <c r="AK540" s="1" t="s">
        <v>71</v>
      </c>
      <c r="AM540" s="1" t="s">
        <v>71</v>
      </c>
      <c r="AN540" s="1" t="s">
        <v>71</v>
      </c>
      <c r="AS540" s="1" t="s">
        <v>71</v>
      </c>
      <c r="AX540" s="1" t="s">
        <v>71</v>
      </c>
      <c r="BH540" s="1" t="s">
        <v>71</v>
      </c>
    </row>
    <row r="541" customFormat="false" ht="15" hidden="false" customHeight="false" outlineLevel="0" collapsed="false">
      <c r="A541" s="1" t="s">
        <v>1988</v>
      </c>
      <c r="B541" s="1" t="s">
        <v>1989</v>
      </c>
      <c r="C541" s="1" t="s">
        <v>526</v>
      </c>
      <c r="D541" s="1" t="s">
        <v>527</v>
      </c>
      <c r="E541" s="1" t="s">
        <v>82</v>
      </c>
      <c r="F541" s="1" t="s">
        <v>391</v>
      </c>
      <c r="G541" s="1" t="s">
        <v>213</v>
      </c>
      <c r="H541" s="1" t="s">
        <v>477</v>
      </c>
      <c r="K541" s="1" t="s">
        <v>478</v>
      </c>
      <c r="L541" s="1" t="s">
        <v>479</v>
      </c>
      <c r="M541" s="1" t="s">
        <v>496</v>
      </c>
      <c r="N541" s="1" t="s">
        <v>486</v>
      </c>
      <c r="O541" s="1" t="s">
        <v>447</v>
      </c>
      <c r="P541" s="1"/>
      <c r="Q541" s="1" t="s">
        <v>70</v>
      </c>
      <c r="Z541" s="1" t="s">
        <v>71</v>
      </c>
      <c r="AE541" s="1" t="s">
        <v>1972</v>
      </c>
      <c r="AH541" s="1" t="s">
        <v>73</v>
      </c>
      <c r="AK541" s="1" t="s">
        <v>71</v>
      </c>
      <c r="AM541" s="1" t="s">
        <v>71</v>
      </c>
      <c r="AN541" s="1" t="s">
        <v>71</v>
      </c>
      <c r="AS541" s="1" t="s">
        <v>71</v>
      </c>
      <c r="AX541" s="1" t="s">
        <v>71</v>
      </c>
      <c r="BH541" s="1" t="s">
        <v>71</v>
      </c>
    </row>
    <row r="542" customFormat="false" ht="15" hidden="false" customHeight="false" outlineLevel="0" collapsed="false">
      <c r="A542" s="1" t="s">
        <v>1990</v>
      </c>
      <c r="B542" s="1" t="s">
        <v>1991</v>
      </c>
      <c r="C542" s="1" t="s">
        <v>526</v>
      </c>
      <c r="D542" s="1" t="s">
        <v>527</v>
      </c>
      <c r="E542" s="1" t="s">
        <v>82</v>
      </c>
      <c r="F542" s="1" t="s">
        <v>391</v>
      </c>
      <c r="G542" s="1" t="s">
        <v>213</v>
      </c>
      <c r="H542" s="1" t="s">
        <v>477</v>
      </c>
      <c r="K542" s="1" t="s">
        <v>478</v>
      </c>
      <c r="L542" s="1" t="s">
        <v>479</v>
      </c>
      <c r="M542" s="1" t="s">
        <v>496</v>
      </c>
      <c r="N542" s="1" t="s">
        <v>1287</v>
      </c>
      <c r="O542" s="1" t="s">
        <v>673</v>
      </c>
      <c r="P542" s="1"/>
      <c r="Q542" s="1" t="s">
        <v>70</v>
      </c>
      <c r="Z542" s="1" t="s">
        <v>71</v>
      </c>
      <c r="AE542" s="1" t="s">
        <v>1972</v>
      </c>
      <c r="AH542" s="1" t="s">
        <v>73</v>
      </c>
      <c r="AK542" s="1" t="s">
        <v>71</v>
      </c>
      <c r="AM542" s="1" t="s">
        <v>71</v>
      </c>
      <c r="AN542" s="1" t="s">
        <v>71</v>
      </c>
      <c r="AS542" s="1" t="s">
        <v>71</v>
      </c>
      <c r="AX542" s="1" t="s">
        <v>71</v>
      </c>
      <c r="BH542" s="1" t="s">
        <v>71</v>
      </c>
    </row>
    <row r="543" customFormat="false" ht="15" hidden="false" customHeight="false" outlineLevel="0" collapsed="false">
      <c r="A543" s="1" t="s">
        <v>1992</v>
      </c>
      <c r="B543" s="1" t="s">
        <v>1993</v>
      </c>
      <c r="C543" s="1" t="s">
        <v>526</v>
      </c>
      <c r="D543" s="1" t="s">
        <v>527</v>
      </c>
      <c r="E543" s="1" t="s">
        <v>82</v>
      </c>
      <c r="F543" s="1" t="s">
        <v>391</v>
      </c>
      <c r="G543" s="1" t="s">
        <v>213</v>
      </c>
      <c r="H543" s="1" t="s">
        <v>477</v>
      </c>
      <c r="K543" s="1" t="s">
        <v>478</v>
      </c>
      <c r="L543" s="1" t="s">
        <v>479</v>
      </c>
      <c r="M543" s="1" t="s">
        <v>496</v>
      </c>
      <c r="N543" s="1" t="s">
        <v>518</v>
      </c>
      <c r="O543" s="1" t="s">
        <v>519</v>
      </c>
      <c r="P543" s="1"/>
      <c r="Q543" s="1" t="s">
        <v>70</v>
      </c>
      <c r="Z543" s="1" t="s">
        <v>71</v>
      </c>
      <c r="AE543" s="1" t="s">
        <v>1972</v>
      </c>
      <c r="AH543" s="1" t="s">
        <v>73</v>
      </c>
      <c r="AK543" s="1" t="s">
        <v>71</v>
      </c>
      <c r="AM543" s="1" t="s">
        <v>71</v>
      </c>
      <c r="AN543" s="1" t="s">
        <v>71</v>
      </c>
      <c r="AS543" s="1" t="s">
        <v>71</v>
      </c>
      <c r="AX543" s="1" t="s">
        <v>71</v>
      </c>
      <c r="BH543" s="1" t="s">
        <v>71</v>
      </c>
    </row>
    <row r="544" customFormat="false" ht="15" hidden="false" customHeight="false" outlineLevel="0" collapsed="false">
      <c r="A544" s="1" t="s">
        <v>1994</v>
      </c>
      <c r="B544" s="1" t="s">
        <v>1995</v>
      </c>
      <c r="C544" s="1" t="s">
        <v>526</v>
      </c>
      <c r="D544" s="1" t="s">
        <v>527</v>
      </c>
      <c r="E544" s="1" t="s">
        <v>82</v>
      </c>
      <c r="F544" s="1" t="s">
        <v>391</v>
      </c>
      <c r="G544" s="1" t="s">
        <v>213</v>
      </c>
      <c r="H544" s="1" t="s">
        <v>477</v>
      </c>
      <c r="K544" s="1" t="s">
        <v>478</v>
      </c>
      <c r="L544" s="1" t="s">
        <v>479</v>
      </c>
      <c r="M544" s="1" t="s">
        <v>496</v>
      </c>
      <c r="N544" s="1" t="s">
        <v>1287</v>
      </c>
      <c r="O544" s="1" t="s">
        <v>673</v>
      </c>
      <c r="P544" s="1"/>
      <c r="Q544" s="1" t="s">
        <v>70</v>
      </c>
      <c r="Z544" s="1" t="s">
        <v>71</v>
      </c>
      <c r="AE544" s="1" t="s">
        <v>1972</v>
      </c>
      <c r="AH544" s="1" t="s">
        <v>73</v>
      </c>
      <c r="AK544" s="1" t="s">
        <v>71</v>
      </c>
      <c r="AM544" s="1" t="s">
        <v>71</v>
      </c>
      <c r="AN544" s="1" t="s">
        <v>71</v>
      </c>
      <c r="AS544" s="1" t="s">
        <v>71</v>
      </c>
      <c r="AX544" s="1" t="s">
        <v>71</v>
      </c>
      <c r="BH544" s="1" t="s">
        <v>71</v>
      </c>
    </row>
    <row r="545" customFormat="false" ht="15" hidden="false" customHeight="false" outlineLevel="0" collapsed="false">
      <c r="A545" s="1" t="s">
        <v>1440</v>
      </c>
      <c r="B545" s="1" t="s">
        <v>1996</v>
      </c>
      <c r="C545" s="1" t="s">
        <v>526</v>
      </c>
      <c r="D545" s="1" t="s">
        <v>527</v>
      </c>
      <c r="E545" s="1" t="s">
        <v>82</v>
      </c>
      <c r="F545" s="1" t="s">
        <v>391</v>
      </c>
      <c r="G545" s="1" t="s">
        <v>213</v>
      </c>
      <c r="H545" s="1" t="s">
        <v>477</v>
      </c>
      <c r="K545" s="1" t="s">
        <v>478</v>
      </c>
      <c r="L545" s="1" t="s">
        <v>479</v>
      </c>
      <c r="M545" s="1" t="s">
        <v>496</v>
      </c>
      <c r="N545" s="1" t="s">
        <v>536</v>
      </c>
      <c r="O545" s="1" t="s">
        <v>537</v>
      </c>
      <c r="P545" s="1"/>
      <c r="Q545" s="1" t="s">
        <v>70</v>
      </c>
      <c r="Z545" s="1" t="s">
        <v>71</v>
      </c>
      <c r="AE545" s="1" t="s">
        <v>1972</v>
      </c>
      <c r="AH545" s="1" t="s">
        <v>73</v>
      </c>
      <c r="AK545" s="1" t="s">
        <v>71</v>
      </c>
      <c r="AM545" s="1" t="s">
        <v>71</v>
      </c>
      <c r="AN545" s="1" t="s">
        <v>71</v>
      </c>
      <c r="AS545" s="1" t="s">
        <v>71</v>
      </c>
      <c r="AX545" s="1" t="s">
        <v>71</v>
      </c>
      <c r="BH545" s="1" t="s">
        <v>71</v>
      </c>
    </row>
    <row r="546" customFormat="false" ht="15" hidden="false" customHeight="false" outlineLevel="0" collapsed="false">
      <c r="A546" s="1" t="s">
        <v>1997</v>
      </c>
      <c r="B546" s="1" t="s">
        <v>1998</v>
      </c>
      <c r="C546" s="1" t="s">
        <v>526</v>
      </c>
      <c r="D546" s="1" t="s">
        <v>527</v>
      </c>
      <c r="E546" s="1" t="s">
        <v>82</v>
      </c>
      <c r="F546" s="1" t="s">
        <v>391</v>
      </c>
      <c r="G546" s="1" t="s">
        <v>213</v>
      </c>
      <c r="H546" s="1" t="s">
        <v>477</v>
      </c>
      <c r="K546" s="1" t="s">
        <v>478</v>
      </c>
      <c r="L546" s="1" t="s">
        <v>479</v>
      </c>
      <c r="M546" s="1" t="s">
        <v>496</v>
      </c>
      <c r="N546" s="1" t="s">
        <v>779</v>
      </c>
      <c r="O546" s="1" t="s">
        <v>400</v>
      </c>
      <c r="P546" s="1"/>
      <c r="Q546" s="1" t="s">
        <v>70</v>
      </c>
      <c r="Z546" s="1" t="s">
        <v>71</v>
      </c>
      <c r="AE546" s="1" t="s">
        <v>1972</v>
      </c>
      <c r="AH546" s="1" t="s">
        <v>73</v>
      </c>
      <c r="AK546" s="1" t="s">
        <v>71</v>
      </c>
      <c r="AM546" s="1" t="s">
        <v>71</v>
      </c>
      <c r="AN546" s="1" t="s">
        <v>71</v>
      </c>
      <c r="AS546" s="1" t="s">
        <v>71</v>
      </c>
      <c r="AX546" s="1" t="s">
        <v>71</v>
      </c>
      <c r="BH546" s="1" t="s">
        <v>71</v>
      </c>
    </row>
    <row r="547" customFormat="false" ht="15" hidden="false" customHeight="false" outlineLevel="0" collapsed="false">
      <c r="A547" s="1" t="s">
        <v>1999</v>
      </c>
      <c r="B547" s="1" t="s">
        <v>2000</v>
      </c>
      <c r="C547" s="1" t="s">
        <v>758</v>
      </c>
      <c r="D547" s="1" t="s">
        <v>1112</v>
      </c>
      <c r="E547" s="1" t="s">
        <v>82</v>
      </c>
      <c r="F547" s="1" t="s">
        <v>391</v>
      </c>
      <c r="G547" s="1" t="s">
        <v>443</v>
      </c>
      <c r="H547" s="1" t="s">
        <v>444</v>
      </c>
      <c r="K547" s="1" t="s">
        <v>988</v>
      </c>
      <c r="L547" s="1" t="s">
        <v>989</v>
      </c>
      <c r="M547" s="1" t="s">
        <v>496</v>
      </c>
      <c r="N547" s="1" t="s">
        <v>915</v>
      </c>
      <c r="O547" s="1" t="s">
        <v>400</v>
      </c>
      <c r="P547" s="1"/>
      <c r="Q547" s="1" t="s">
        <v>70</v>
      </c>
      <c r="Z547" s="1" t="s">
        <v>71</v>
      </c>
      <c r="AE547" s="1" t="s">
        <v>1972</v>
      </c>
      <c r="AH547" s="1" t="s">
        <v>73</v>
      </c>
      <c r="AK547" s="1" t="s">
        <v>71</v>
      </c>
      <c r="AM547" s="1" t="s">
        <v>71</v>
      </c>
      <c r="AN547" s="1" t="s">
        <v>71</v>
      </c>
      <c r="AS547" s="1" t="s">
        <v>71</v>
      </c>
      <c r="AX547" s="1" t="s">
        <v>71</v>
      </c>
      <c r="BH547" s="1" t="s">
        <v>71</v>
      </c>
    </row>
    <row r="548" customFormat="false" ht="15" hidden="false" customHeight="false" outlineLevel="0" collapsed="false">
      <c r="A548" s="1" t="s">
        <v>2001</v>
      </c>
      <c r="B548" s="1" t="s">
        <v>2002</v>
      </c>
      <c r="C548" s="1" t="s">
        <v>633</v>
      </c>
      <c r="D548" s="1" t="s">
        <v>2003</v>
      </c>
      <c r="E548" s="1" t="s">
        <v>82</v>
      </c>
      <c r="F548" s="1" t="s">
        <v>391</v>
      </c>
      <c r="G548" s="1" t="s">
        <v>443</v>
      </c>
      <c r="H548" s="1" t="s">
        <v>444</v>
      </c>
      <c r="K548" s="1" t="s">
        <v>988</v>
      </c>
      <c r="L548" s="1" t="s">
        <v>989</v>
      </c>
      <c r="M548" s="1" t="s">
        <v>496</v>
      </c>
      <c r="N548" s="1" t="s">
        <v>1000</v>
      </c>
      <c r="O548" s="1" t="s">
        <v>1001</v>
      </c>
      <c r="P548" s="1"/>
      <c r="Q548" s="1" t="s">
        <v>70</v>
      </c>
      <c r="Z548" s="1" t="s">
        <v>71</v>
      </c>
      <c r="AE548" s="1" t="s">
        <v>1972</v>
      </c>
      <c r="AH548" s="1" t="s">
        <v>73</v>
      </c>
      <c r="AK548" s="1" t="s">
        <v>71</v>
      </c>
      <c r="AM548" s="1" t="s">
        <v>71</v>
      </c>
      <c r="AN548" s="1" t="s">
        <v>71</v>
      </c>
      <c r="AS548" s="1" t="s">
        <v>71</v>
      </c>
      <c r="AX548" s="1" t="s">
        <v>71</v>
      </c>
      <c r="BH548" s="1" t="s">
        <v>71</v>
      </c>
    </row>
    <row r="549" customFormat="false" ht="15" hidden="false" customHeight="false" outlineLevel="0" collapsed="false">
      <c r="A549" s="1" t="s">
        <v>2004</v>
      </c>
      <c r="B549" s="1" t="s">
        <v>2005</v>
      </c>
      <c r="C549" s="1" t="s">
        <v>633</v>
      </c>
      <c r="D549" s="1" t="s">
        <v>2003</v>
      </c>
      <c r="E549" s="1" t="s">
        <v>82</v>
      </c>
      <c r="F549" s="1" t="s">
        <v>391</v>
      </c>
      <c r="G549" s="1" t="s">
        <v>443</v>
      </c>
      <c r="H549" s="1" t="s">
        <v>444</v>
      </c>
      <c r="K549" s="1" t="s">
        <v>988</v>
      </c>
      <c r="L549" s="1" t="s">
        <v>989</v>
      </c>
      <c r="M549" s="1" t="s">
        <v>496</v>
      </c>
      <c r="N549" s="1" t="s">
        <v>915</v>
      </c>
      <c r="O549" s="1" t="s">
        <v>400</v>
      </c>
      <c r="P549" s="1"/>
      <c r="Q549" s="1" t="s">
        <v>70</v>
      </c>
      <c r="Z549" s="1" t="s">
        <v>71</v>
      </c>
      <c r="AE549" s="1" t="s">
        <v>1972</v>
      </c>
      <c r="AH549" s="1" t="s">
        <v>73</v>
      </c>
      <c r="AK549" s="1" t="s">
        <v>71</v>
      </c>
      <c r="AM549" s="1" t="s">
        <v>71</v>
      </c>
      <c r="AN549" s="1" t="s">
        <v>71</v>
      </c>
      <c r="AS549" s="1" t="s">
        <v>71</v>
      </c>
      <c r="AX549" s="1" t="s">
        <v>71</v>
      </c>
      <c r="BH549" s="1" t="s">
        <v>71</v>
      </c>
    </row>
    <row r="550" customFormat="false" ht="15" hidden="false" customHeight="false" outlineLevel="0" collapsed="false">
      <c r="A550" s="1" t="s">
        <v>2006</v>
      </c>
      <c r="B550" s="1" t="s">
        <v>2007</v>
      </c>
      <c r="C550" s="1" t="s">
        <v>453</v>
      </c>
      <c r="D550" s="1" t="s">
        <v>2008</v>
      </c>
      <c r="E550" s="1" t="s">
        <v>82</v>
      </c>
      <c r="F550" s="1" t="s">
        <v>391</v>
      </c>
      <c r="G550" s="1" t="s">
        <v>443</v>
      </c>
      <c r="H550" s="1" t="s">
        <v>444</v>
      </c>
      <c r="K550" s="1" t="s">
        <v>666</v>
      </c>
      <c r="L550" s="1" t="s">
        <v>667</v>
      </c>
      <c r="M550" s="1" t="s">
        <v>806</v>
      </c>
      <c r="N550" s="1" t="s">
        <v>2009</v>
      </c>
      <c r="O550" s="1" t="s">
        <v>2010</v>
      </c>
      <c r="P550" s="1"/>
      <c r="Q550" s="1" t="s">
        <v>70</v>
      </c>
      <c r="Z550" s="1" t="s">
        <v>71</v>
      </c>
      <c r="AE550" s="1" t="s">
        <v>1972</v>
      </c>
      <c r="AH550" s="1" t="s">
        <v>73</v>
      </c>
      <c r="AK550" s="1" t="s">
        <v>71</v>
      </c>
      <c r="AM550" s="1" t="s">
        <v>71</v>
      </c>
      <c r="AN550" s="1" t="s">
        <v>71</v>
      </c>
      <c r="AS550" s="1" t="s">
        <v>71</v>
      </c>
      <c r="AX550" s="1" t="s">
        <v>71</v>
      </c>
      <c r="BH550" s="1" t="s">
        <v>71</v>
      </c>
    </row>
    <row r="551" customFormat="false" ht="15" hidden="false" customHeight="false" outlineLevel="0" collapsed="false">
      <c r="A551" s="1" t="s">
        <v>2011</v>
      </c>
      <c r="B551" s="1" t="s">
        <v>2007</v>
      </c>
      <c r="C551" s="1" t="s">
        <v>453</v>
      </c>
      <c r="D551" s="1" t="s">
        <v>2008</v>
      </c>
      <c r="E551" s="1" t="s">
        <v>82</v>
      </c>
      <c r="F551" s="1" t="s">
        <v>391</v>
      </c>
      <c r="G551" s="1" t="s">
        <v>443</v>
      </c>
      <c r="H551" s="1" t="s">
        <v>444</v>
      </c>
      <c r="K551" s="1" t="s">
        <v>666</v>
      </c>
      <c r="L551" s="1" t="s">
        <v>667</v>
      </c>
      <c r="M551" s="1" t="s">
        <v>806</v>
      </c>
      <c r="N551" s="1" t="s">
        <v>2009</v>
      </c>
      <c r="O551" s="1" t="s">
        <v>2010</v>
      </c>
      <c r="P551" s="1"/>
      <c r="Q551" s="1" t="s">
        <v>70</v>
      </c>
      <c r="Z551" s="1" t="s">
        <v>71</v>
      </c>
      <c r="AE551" s="1" t="s">
        <v>1972</v>
      </c>
      <c r="AH551" s="1" t="s">
        <v>73</v>
      </c>
      <c r="AK551" s="1" t="s">
        <v>71</v>
      </c>
      <c r="AM551" s="1" t="s">
        <v>71</v>
      </c>
      <c r="AN551" s="1" t="s">
        <v>71</v>
      </c>
      <c r="AS551" s="1" t="s">
        <v>71</v>
      </c>
      <c r="AX551" s="1" t="s">
        <v>71</v>
      </c>
      <c r="BH551" s="1" t="s">
        <v>71</v>
      </c>
    </row>
    <row r="552" customFormat="false" ht="15" hidden="false" customHeight="false" outlineLevel="0" collapsed="false">
      <c r="A552" s="1" t="s">
        <v>2012</v>
      </c>
      <c r="B552" s="1" t="s">
        <v>2013</v>
      </c>
      <c r="C552" s="1" t="s">
        <v>453</v>
      </c>
      <c r="D552" s="1" t="s">
        <v>2008</v>
      </c>
      <c r="E552" s="1" t="s">
        <v>82</v>
      </c>
      <c r="F552" s="1" t="s">
        <v>391</v>
      </c>
      <c r="G552" s="1" t="s">
        <v>443</v>
      </c>
      <c r="H552" s="1" t="s">
        <v>444</v>
      </c>
      <c r="K552" s="1" t="s">
        <v>666</v>
      </c>
      <c r="L552" s="1" t="s">
        <v>667</v>
      </c>
      <c r="M552" s="1" t="s">
        <v>806</v>
      </c>
      <c r="N552" s="1" t="s">
        <v>2014</v>
      </c>
      <c r="O552" s="1" t="s">
        <v>2015</v>
      </c>
      <c r="P552" s="1"/>
      <c r="Q552" s="1" t="s">
        <v>70</v>
      </c>
      <c r="Z552" s="1" t="s">
        <v>71</v>
      </c>
      <c r="AE552" s="1" t="s">
        <v>1972</v>
      </c>
      <c r="AH552" s="1" t="s">
        <v>73</v>
      </c>
      <c r="AK552" s="1" t="s">
        <v>71</v>
      </c>
      <c r="AM552" s="1" t="s">
        <v>71</v>
      </c>
      <c r="AN552" s="1" t="s">
        <v>71</v>
      </c>
      <c r="AS552" s="1" t="s">
        <v>71</v>
      </c>
      <c r="AX552" s="1" t="s">
        <v>71</v>
      </c>
      <c r="BH552" s="1" t="s">
        <v>71</v>
      </c>
    </row>
    <row r="553" customFormat="false" ht="15" hidden="false" customHeight="false" outlineLevel="0" collapsed="false">
      <c r="A553" s="1" t="s">
        <v>2016</v>
      </c>
      <c r="B553" s="1" t="s">
        <v>2017</v>
      </c>
      <c r="C553" s="1" t="s">
        <v>637</v>
      </c>
      <c r="D553" s="1" t="s">
        <v>1887</v>
      </c>
      <c r="E553" s="1" t="s">
        <v>82</v>
      </c>
      <c r="F553" s="1" t="s">
        <v>391</v>
      </c>
      <c r="G553" s="1" t="s">
        <v>443</v>
      </c>
      <c r="H553" s="1" t="s">
        <v>444</v>
      </c>
      <c r="K553" s="1" t="s">
        <v>2018</v>
      </c>
      <c r="L553" s="1" t="s">
        <v>2019</v>
      </c>
      <c r="M553" s="1" t="s">
        <v>2020</v>
      </c>
      <c r="N553" s="1" t="s">
        <v>2021</v>
      </c>
      <c r="O553" s="1" t="s">
        <v>400</v>
      </c>
      <c r="P553" s="1"/>
      <c r="Q553" s="1" t="s">
        <v>70</v>
      </c>
      <c r="Z553" s="1" t="s">
        <v>71</v>
      </c>
      <c r="AE553" s="1" t="s">
        <v>2022</v>
      </c>
      <c r="AH553" s="1" t="s">
        <v>73</v>
      </c>
      <c r="AK553" s="1" t="s">
        <v>71</v>
      </c>
      <c r="AM553" s="1" t="s">
        <v>71</v>
      </c>
      <c r="AN553" s="1" t="s">
        <v>71</v>
      </c>
      <c r="AS553" s="1" t="s">
        <v>71</v>
      </c>
      <c r="AX553" s="1" t="s">
        <v>71</v>
      </c>
      <c r="BH553" s="1" t="s">
        <v>71</v>
      </c>
    </row>
    <row r="554" customFormat="false" ht="15" hidden="false" customHeight="false" outlineLevel="0" collapsed="false">
      <c r="A554" s="1" t="s">
        <v>2023</v>
      </c>
      <c r="B554" s="1" t="s">
        <v>2024</v>
      </c>
      <c r="C554" s="1" t="s">
        <v>641</v>
      </c>
      <c r="D554" s="1" t="s">
        <v>2025</v>
      </c>
      <c r="E554" s="1" t="s">
        <v>82</v>
      </c>
      <c r="F554" s="1" t="s">
        <v>391</v>
      </c>
      <c r="G554" s="1" t="s">
        <v>1356</v>
      </c>
      <c r="H554" s="1" t="s">
        <v>1825</v>
      </c>
      <c r="K554" s="1" t="s">
        <v>2026</v>
      </c>
      <c r="L554" s="1" t="s">
        <v>2027</v>
      </c>
      <c r="M554" s="1" t="s">
        <v>496</v>
      </c>
      <c r="N554" s="1" t="s">
        <v>2028</v>
      </c>
      <c r="O554" s="1" t="s">
        <v>2029</v>
      </c>
      <c r="P554" s="1"/>
      <c r="Q554" s="1" t="s">
        <v>70</v>
      </c>
      <c r="Z554" s="1" t="s">
        <v>71</v>
      </c>
      <c r="AE554" s="1" t="s">
        <v>2022</v>
      </c>
      <c r="AH554" s="1" t="s">
        <v>73</v>
      </c>
      <c r="AK554" s="1" t="s">
        <v>71</v>
      </c>
      <c r="AM554" s="1" t="s">
        <v>71</v>
      </c>
      <c r="AN554" s="1" t="s">
        <v>71</v>
      </c>
      <c r="AS554" s="1" t="s">
        <v>71</v>
      </c>
      <c r="AX554" s="1" t="s">
        <v>71</v>
      </c>
      <c r="BH554" s="1" t="s">
        <v>71</v>
      </c>
    </row>
    <row r="555" customFormat="false" ht="15" hidden="false" customHeight="false" outlineLevel="0" collapsed="false">
      <c r="A555" s="1" t="s">
        <v>2030</v>
      </c>
      <c r="B555" s="1" t="s">
        <v>2031</v>
      </c>
      <c r="C555" s="1" t="s">
        <v>1744</v>
      </c>
      <c r="D555" s="1" t="s">
        <v>1745</v>
      </c>
      <c r="E555" s="1" t="s">
        <v>82</v>
      </c>
      <c r="F555" s="1" t="s">
        <v>391</v>
      </c>
      <c r="G555" s="1" t="s">
        <v>213</v>
      </c>
      <c r="H555" s="1" t="s">
        <v>477</v>
      </c>
      <c r="K555" s="1" t="s">
        <v>1904</v>
      </c>
      <c r="L555" s="1" t="s">
        <v>1905</v>
      </c>
      <c r="M555" s="1" t="s">
        <v>465</v>
      </c>
      <c r="N555" s="1" t="s">
        <v>2032</v>
      </c>
      <c r="O555" s="1" t="s">
        <v>447</v>
      </c>
      <c r="P555" s="1"/>
      <c r="Q555" s="1" t="s">
        <v>70</v>
      </c>
      <c r="Z555" s="1" t="s">
        <v>71</v>
      </c>
      <c r="AE555" s="1" t="s">
        <v>2022</v>
      </c>
      <c r="AH555" s="1" t="s">
        <v>73</v>
      </c>
      <c r="AK555" s="1" t="s">
        <v>71</v>
      </c>
      <c r="AM555" s="1" t="s">
        <v>71</v>
      </c>
      <c r="AN555" s="1" t="s">
        <v>71</v>
      </c>
      <c r="AS555" s="1" t="s">
        <v>71</v>
      </c>
      <c r="AX555" s="1" t="s">
        <v>71</v>
      </c>
      <c r="BH555" s="1" t="s">
        <v>71</v>
      </c>
    </row>
    <row r="556" customFormat="false" ht="15" hidden="false" customHeight="false" outlineLevel="0" collapsed="false">
      <c r="A556" s="1" t="s">
        <v>2033</v>
      </c>
      <c r="B556" s="1" t="s">
        <v>2034</v>
      </c>
      <c r="C556" s="1" t="s">
        <v>1744</v>
      </c>
      <c r="D556" s="1" t="s">
        <v>1745</v>
      </c>
      <c r="E556" s="1" t="s">
        <v>82</v>
      </c>
      <c r="F556" s="1" t="s">
        <v>391</v>
      </c>
      <c r="G556" s="1" t="s">
        <v>213</v>
      </c>
      <c r="H556" s="1" t="s">
        <v>477</v>
      </c>
      <c r="K556" s="1" t="s">
        <v>1904</v>
      </c>
      <c r="L556" s="1" t="s">
        <v>1905</v>
      </c>
      <c r="M556" s="1" t="s">
        <v>465</v>
      </c>
      <c r="N556" s="1" t="s">
        <v>894</v>
      </c>
      <c r="O556" s="1" t="s">
        <v>400</v>
      </c>
      <c r="P556" s="1"/>
      <c r="Q556" s="1" t="s">
        <v>70</v>
      </c>
      <c r="Z556" s="1" t="s">
        <v>71</v>
      </c>
      <c r="AE556" s="1" t="s">
        <v>2022</v>
      </c>
      <c r="AH556" s="1" t="s">
        <v>73</v>
      </c>
      <c r="AK556" s="1" t="s">
        <v>71</v>
      </c>
      <c r="AM556" s="1" t="s">
        <v>71</v>
      </c>
      <c r="AN556" s="1" t="s">
        <v>71</v>
      </c>
      <c r="AS556" s="1" t="s">
        <v>71</v>
      </c>
      <c r="AX556" s="1" t="s">
        <v>71</v>
      </c>
      <c r="BH556" s="1" t="s">
        <v>71</v>
      </c>
    </row>
    <row r="557" customFormat="false" ht="15" hidden="false" customHeight="false" outlineLevel="0" collapsed="false">
      <c r="A557" s="1" t="s">
        <v>2035</v>
      </c>
      <c r="B557" s="1" t="s">
        <v>2036</v>
      </c>
      <c r="C557" s="1" t="s">
        <v>1744</v>
      </c>
      <c r="D557" s="1" t="s">
        <v>1745</v>
      </c>
      <c r="E557" s="1" t="s">
        <v>82</v>
      </c>
      <c r="F557" s="1" t="s">
        <v>391</v>
      </c>
      <c r="G557" s="1" t="s">
        <v>213</v>
      </c>
      <c r="H557" s="1" t="s">
        <v>477</v>
      </c>
      <c r="K557" s="1" t="s">
        <v>1904</v>
      </c>
      <c r="L557" s="1" t="s">
        <v>1905</v>
      </c>
      <c r="M557" s="1" t="s">
        <v>465</v>
      </c>
      <c r="N557" s="1" t="s">
        <v>884</v>
      </c>
      <c r="O557" s="1" t="s">
        <v>447</v>
      </c>
      <c r="P557" s="1"/>
      <c r="Q557" s="1" t="s">
        <v>70</v>
      </c>
      <c r="Z557" s="1" t="s">
        <v>71</v>
      </c>
      <c r="AE557" s="1" t="s">
        <v>2022</v>
      </c>
      <c r="AH557" s="1" t="s">
        <v>73</v>
      </c>
      <c r="AK557" s="1" t="s">
        <v>71</v>
      </c>
      <c r="AM557" s="1" t="s">
        <v>71</v>
      </c>
      <c r="AN557" s="1" t="s">
        <v>71</v>
      </c>
      <c r="AS557" s="1" t="s">
        <v>71</v>
      </c>
      <c r="AX557" s="1" t="s">
        <v>71</v>
      </c>
      <c r="BH557" s="1" t="s">
        <v>71</v>
      </c>
    </row>
    <row r="558" customFormat="false" ht="15" hidden="false" customHeight="false" outlineLevel="0" collapsed="false">
      <c r="A558" s="1" t="s">
        <v>2037</v>
      </c>
      <c r="B558" s="1" t="s">
        <v>2038</v>
      </c>
      <c r="C558" s="1" t="s">
        <v>1744</v>
      </c>
      <c r="D558" s="1" t="s">
        <v>1745</v>
      </c>
      <c r="E558" s="1" t="s">
        <v>82</v>
      </c>
      <c r="F558" s="1" t="s">
        <v>391</v>
      </c>
      <c r="G558" s="1" t="s">
        <v>213</v>
      </c>
      <c r="H558" s="1" t="s">
        <v>477</v>
      </c>
      <c r="K558" s="1" t="s">
        <v>1904</v>
      </c>
      <c r="L558" s="1" t="s">
        <v>1905</v>
      </c>
      <c r="M558" s="1" t="s">
        <v>465</v>
      </c>
      <c r="N558" s="1" t="s">
        <v>446</v>
      </c>
      <c r="O558" s="1" t="s">
        <v>447</v>
      </c>
      <c r="P558" s="1"/>
      <c r="Q558" s="1" t="s">
        <v>70</v>
      </c>
      <c r="Z558" s="1" t="s">
        <v>71</v>
      </c>
      <c r="AE558" s="1" t="s">
        <v>2022</v>
      </c>
      <c r="AH558" s="1" t="s">
        <v>73</v>
      </c>
      <c r="AK558" s="1" t="s">
        <v>71</v>
      </c>
      <c r="AM558" s="1" t="s">
        <v>71</v>
      </c>
      <c r="AN558" s="1" t="s">
        <v>71</v>
      </c>
      <c r="AS558" s="1" t="s">
        <v>71</v>
      </c>
      <c r="AX558" s="1" t="s">
        <v>71</v>
      </c>
      <c r="BH558" s="1" t="s">
        <v>71</v>
      </c>
    </row>
    <row r="559" customFormat="false" ht="15" hidden="false" customHeight="false" outlineLevel="0" collapsed="false">
      <c r="A559" s="1" t="s">
        <v>2039</v>
      </c>
      <c r="B559" s="1" t="s">
        <v>2040</v>
      </c>
      <c r="C559" s="1" t="s">
        <v>1744</v>
      </c>
      <c r="D559" s="1" t="s">
        <v>1745</v>
      </c>
      <c r="E559" s="1" t="s">
        <v>82</v>
      </c>
      <c r="F559" s="1" t="s">
        <v>391</v>
      </c>
      <c r="G559" s="1" t="s">
        <v>213</v>
      </c>
      <c r="H559" s="1" t="s">
        <v>477</v>
      </c>
      <c r="K559" s="1" t="s">
        <v>1904</v>
      </c>
      <c r="L559" s="1" t="s">
        <v>1905</v>
      </c>
      <c r="M559" s="1" t="s">
        <v>465</v>
      </c>
      <c r="N559" s="1" t="s">
        <v>2041</v>
      </c>
      <c r="O559" s="1" t="s">
        <v>447</v>
      </c>
      <c r="P559" s="1"/>
      <c r="Q559" s="1" t="s">
        <v>70</v>
      </c>
      <c r="Z559" s="1" t="s">
        <v>71</v>
      </c>
      <c r="AE559" s="1" t="s">
        <v>2022</v>
      </c>
      <c r="AH559" s="1" t="s">
        <v>73</v>
      </c>
      <c r="AK559" s="1" t="s">
        <v>71</v>
      </c>
      <c r="AM559" s="1" t="s">
        <v>71</v>
      </c>
      <c r="AN559" s="1" t="s">
        <v>71</v>
      </c>
      <c r="AS559" s="1" t="s">
        <v>71</v>
      </c>
      <c r="AX559" s="1" t="s">
        <v>71</v>
      </c>
      <c r="BH559" s="1" t="s">
        <v>71</v>
      </c>
    </row>
    <row r="560" customFormat="false" ht="15" hidden="false" customHeight="false" outlineLevel="0" collapsed="false">
      <c r="A560" s="1" t="s">
        <v>2042</v>
      </c>
      <c r="B560" s="1" t="s">
        <v>2043</v>
      </c>
      <c r="C560" s="1" t="s">
        <v>1744</v>
      </c>
      <c r="D560" s="1" t="s">
        <v>1745</v>
      </c>
      <c r="E560" s="1" t="s">
        <v>82</v>
      </c>
      <c r="F560" s="1" t="s">
        <v>391</v>
      </c>
      <c r="G560" s="1" t="s">
        <v>213</v>
      </c>
      <c r="H560" s="1" t="s">
        <v>477</v>
      </c>
      <c r="K560" s="1" t="s">
        <v>1904</v>
      </c>
      <c r="L560" s="1" t="s">
        <v>1905</v>
      </c>
      <c r="M560" s="1" t="s">
        <v>465</v>
      </c>
      <c r="N560" s="1" t="s">
        <v>894</v>
      </c>
      <c r="O560" s="1" t="s">
        <v>400</v>
      </c>
      <c r="P560" s="1"/>
      <c r="Q560" s="1" t="s">
        <v>70</v>
      </c>
      <c r="Z560" s="1" t="s">
        <v>71</v>
      </c>
      <c r="AE560" s="1" t="s">
        <v>2022</v>
      </c>
      <c r="AH560" s="1" t="s">
        <v>73</v>
      </c>
      <c r="AK560" s="1" t="s">
        <v>71</v>
      </c>
      <c r="AM560" s="1" t="s">
        <v>71</v>
      </c>
      <c r="AN560" s="1" t="s">
        <v>71</v>
      </c>
      <c r="AS560" s="1" t="s">
        <v>71</v>
      </c>
      <c r="AX560" s="1" t="s">
        <v>71</v>
      </c>
      <c r="BH560" s="1" t="s">
        <v>71</v>
      </c>
    </row>
    <row r="561" customFormat="false" ht="15" hidden="false" customHeight="false" outlineLevel="0" collapsed="false">
      <c r="A561" s="1" t="s">
        <v>2044</v>
      </c>
      <c r="B561" s="1" t="s">
        <v>2045</v>
      </c>
      <c r="C561" s="1" t="s">
        <v>1744</v>
      </c>
      <c r="D561" s="1" t="s">
        <v>1745</v>
      </c>
      <c r="E561" s="1" t="s">
        <v>82</v>
      </c>
      <c r="F561" s="1" t="s">
        <v>391</v>
      </c>
      <c r="G561" s="1" t="s">
        <v>213</v>
      </c>
      <c r="H561" s="1" t="s">
        <v>477</v>
      </c>
      <c r="K561" s="1" t="s">
        <v>1904</v>
      </c>
      <c r="L561" s="1" t="s">
        <v>1905</v>
      </c>
      <c r="M561" s="1" t="s">
        <v>692</v>
      </c>
      <c r="N561" s="1" t="s">
        <v>536</v>
      </c>
      <c r="O561" s="1" t="s">
        <v>537</v>
      </c>
      <c r="P561" s="1"/>
      <c r="Q561" s="1" t="s">
        <v>70</v>
      </c>
      <c r="Z561" s="1" t="s">
        <v>71</v>
      </c>
      <c r="AE561" s="1" t="s">
        <v>2022</v>
      </c>
      <c r="AH561" s="1" t="s">
        <v>73</v>
      </c>
      <c r="AK561" s="1" t="s">
        <v>71</v>
      </c>
      <c r="AM561" s="1" t="s">
        <v>71</v>
      </c>
      <c r="AN561" s="1" t="s">
        <v>71</v>
      </c>
      <c r="AS561" s="1" t="s">
        <v>71</v>
      </c>
      <c r="AX561" s="1" t="s">
        <v>71</v>
      </c>
      <c r="BH561" s="1" t="s">
        <v>71</v>
      </c>
    </row>
    <row r="562" customFormat="false" ht="15" hidden="false" customHeight="false" outlineLevel="0" collapsed="false">
      <c r="A562" s="1" t="s">
        <v>2046</v>
      </c>
      <c r="B562" s="1" t="s">
        <v>2047</v>
      </c>
      <c r="C562" s="1" t="s">
        <v>1744</v>
      </c>
      <c r="D562" s="1" t="s">
        <v>1745</v>
      </c>
      <c r="E562" s="1" t="s">
        <v>82</v>
      </c>
      <c r="F562" s="1" t="s">
        <v>391</v>
      </c>
      <c r="G562" s="1" t="s">
        <v>213</v>
      </c>
      <c r="H562" s="1" t="s">
        <v>477</v>
      </c>
      <c r="K562" s="1" t="s">
        <v>1904</v>
      </c>
      <c r="L562" s="1" t="s">
        <v>1905</v>
      </c>
      <c r="M562" s="1" t="s">
        <v>692</v>
      </c>
      <c r="N562" s="1" t="s">
        <v>536</v>
      </c>
      <c r="O562" s="1" t="s">
        <v>537</v>
      </c>
      <c r="P562" s="1"/>
      <c r="Q562" s="1" t="s">
        <v>70</v>
      </c>
      <c r="Z562" s="1" t="s">
        <v>71</v>
      </c>
      <c r="AE562" s="1" t="s">
        <v>2022</v>
      </c>
      <c r="AH562" s="1" t="s">
        <v>73</v>
      </c>
      <c r="AK562" s="1" t="s">
        <v>71</v>
      </c>
      <c r="AM562" s="1" t="s">
        <v>71</v>
      </c>
      <c r="AN562" s="1" t="s">
        <v>71</v>
      </c>
      <c r="AS562" s="1" t="s">
        <v>71</v>
      </c>
      <c r="AX562" s="1" t="s">
        <v>71</v>
      </c>
      <c r="BH562" s="1" t="s">
        <v>71</v>
      </c>
    </row>
    <row r="563" customFormat="false" ht="15" hidden="false" customHeight="false" outlineLevel="0" collapsed="false">
      <c r="A563" s="1" t="s">
        <v>117</v>
      </c>
      <c r="B563" s="1" t="s">
        <v>2048</v>
      </c>
      <c r="C563" s="1" t="s">
        <v>1744</v>
      </c>
      <c r="D563" s="1" t="s">
        <v>1745</v>
      </c>
      <c r="E563" s="1" t="s">
        <v>82</v>
      </c>
      <c r="F563" s="1" t="s">
        <v>391</v>
      </c>
      <c r="G563" s="1" t="s">
        <v>213</v>
      </c>
      <c r="H563" s="1" t="s">
        <v>477</v>
      </c>
      <c r="K563" s="1" t="s">
        <v>1904</v>
      </c>
      <c r="L563" s="1" t="s">
        <v>1905</v>
      </c>
      <c r="M563" s="1" t="s">
        <v>692</v>
      </c>
      <c r="N563" s="1" t="s">
        <v>2049</v>
      </c>
      <c r="O563" s="1" t="s">
        <v>2050</v>
      </c>
      <c r="P563" s="1"/>
      <c r="Q563" s="1" t="s">
        <v>70</v>
      </c>
      <c r="Z563" s="1" t="s">
        <v>71</v>
      </c>
      <c r="AE563" s="1" t="s">
        <v>2022</v>
      </c>
      <c r="AH563" s="1" t="s">
        <v>73</v>
      </c>
      <c r="AK563" s="1" t="s">
        <v>71</v>
      </c>
      <c r="AM563" s="1" t="s">
        <v>71</v>
      </c>
      <c r="AN563" s="1" t="s">
        <v>71</v>
      </c>
      <c r="AS563" s="1" t="s">
        <v>71</v>
      </c>
      <c r="AX563" s="1" t="s">
        <v>71</v>
      </c>
      <c r="BH563" s="1" t="s">
        <v>71</v>
      </c>
    </row>
    <row r="564" customFormat="false" ht="15" hidden="false" customHeight="false" outlineLevel="0" collapsed="false">
      <c r="A564" s="1" t="s">
        <v>2051</v>
      </c>
      <c r="B564" s="1" t="s">
        <v>2052</v>
      </c>
      <c r="C564" s="1" t="s">
        <v>1744</v>
      </c>
      <c r="D564" s="1" t="s">
        <v>1745</v>
      </c>
      <c r="E564" s="1" t="s">
        <v>82</v>
      </c>
      <c r="F564" s="1" t="s">
        <v>391</v>
      </c>
      <c r="G564" s="1" t="s">
        <v>213</v>
      </c>
      <c r="H564" s="1" t="s">
        <v>477</v>
      </c>
      <c r="K564" s="1" t="s">
        <v>1904</v>
      </c>
      <c r="L564" s="1" t="s">
        <v>1905</v>
      </c>
      <c r="M564" s="1" t="s">
        <v>465</v>
      </c>
      <c r="N564" s="1" t="s">
        <v>2053</v>
      </c>
      <c r="O564" s="1" t="s">
        <v>400</v>
      </c>
      <c r="P564" s="1"/>
      <c r="Q564" s="1" t="s">
        <v>70</v>
      </c>
      <c r="Z564" s="1" t="s">
        <v>71</v>
      </c>
      <c r="AE564" s="1" t="s">
        <v>2022</v>
      </c>
      <c r="AH564" s="1" t="s">
        <v>73</v>
      </c>
      <c r="AK564" s="1" t="s">
        <v>71</v>
      </c>
      <c r="AM564" s="1" t="s">
        <v>71</v>
      </c>
      <c r="AN564" s="1" t="s">
        <v>71</v>
      </c>
      <c r="AS564" s="1" t="s">
        <v>71</v>
      </c>
      <c r="AX564" s="1" t="s">
        <v>71</v>
      </c>
      <c r="BH564" s="1" t="s">
        <v>71</v>
      </c>
    </row>
    <row r="565" customFormat="false" ht="15" hidden="false" customHeight="false" outlineLevel="0" collapsed="false">
      <c r="A565" s="1" t="s">
        <v>2054</v>
      </c>
      <c r="B565" s="1" t="s">
        <v>2055</v>
      </c>
      <c r="C565" s="1" t="s">
        <v>647</v>
      </c>
      <c r="D565" s="1" t="s">
        <v>2056</v>
      </c>
      <c r="E565" s="1" t="s">
        <v>82</v>
      </c>
      <c r="F565" s="1" t="s">
        <v>391</v>
      </c>
      <c r="G565" s="1" t="s">
        <v>213</v>
      </c>
      <c r="H565" s="1" t="s">
        <v>477</v>
      </c>
      <c r="K565" s="1" t="s">
        <v>1904</v>
      </c>
      <c r="L565" s="1" t="s">
        <v>1905</v>
      </c>
      <c r="M565" s="1" t="s">
        <v>692</v>
      </c>
      <c r="N565" s="1" t="s">
        <v>536</v>
      </c>
      <c r="O565" s="1" t="s">
        <v>537</v>
      </c>
      <c r="P565" s="1"/>
      <c r="Q565" s="1" t="s">
        <v>70</v>
      </c>
      <c r="Z565" s="1" t="s">
        <v>71</v>
      </c>
      <c r="AE565" s="1" t="s">
        <v>2057</v>
      </c>
      <c r="AH565" s="1" t="s">
        <v>73</v>
      </c>
      <c r="AK565" s="1" t="s">
        <v>71</v>
      </c>
      <c r="AM565" s="1" t="s">
        <v>71</v>
      </c>
      <c r="AN565" s="1" t="s">
        <v>71</v>
      </c>
      <c r="AS565" s="1" t="s">
        <v>71</v>
      </c>
      <c r="AX565" s="1" t="s">
        <v>71</v>
      </c>
      <c r="BH565" s="1" t="s">
        <v>71</v>
      </c>
    </row>
    <row r="566" customFormat="false" ht="15" hidden="false" customHeight="false" outlineLevel="0" collapsed="false">
      <c r="A566" s="1" t="s">
        <v>2058</v>
      </c>
      <c r="B566" s="1" t="s">
        <v>2059</v>
      </c>
      <c r="C566" s="1" t="s">
        <v>647</v>
      </c>
      <c r="D566" s="1" t="s">
        <v>2056</v>
      </c>
      <c r="E566" s="1" t="s">
        <v>82</v>
      </c>
      <c r="F566" s="1" t="s">
        <v>391</v>
      </c>
      <c r="G566" s="1" t="s">
        <v>213</v>
      </c>
      <c r="H566" s="1" t="s">
        <v>477</v>
      </c>
      <c r="K566" s="1" t="s">
        <v>1904</v>
      </c>
      <c r="L566" s="1" t="s">
        <v>1905</v>
      </c>
      <c r="M566" s="1" t="s">
        <v>692</v>
      </c>
      <c r="N566" s="1" t="s">
        <v>536</v>
      </c>
      <c r="O566" s="1" t="s">
        <v>537</v>
      </c>
      <c r="P566" s="1"/>
      <c r="Q566" s="1" t="s">
        <v>70</v>
      </c>
      <c r="Z566" s="1" t="s">
        <v>71</v>
      </c>
      <c r="AE566" s="1" t="s">
        <v>2057</v>
      </c>
      <c r="AH566" s="1" t="s">
        <v>73</v>
      </c>
      <c r="AK566" s="1" t="s">
        <v>71</v>
      </c>
      <c r="AM566" s="1" t="s">
        <v>71</v>
      </c>
      <c r="AN566" s="1" t="s">
        <v>71</v>
      </c>
      <c r="AS566" s="1" t="s">
        <v>71</v>
      </c>
      <c r="AX566" s="1" t="s">
        <v>71</v>
      </c>
      <c r="BH566" s="1" t="s">
        <v>71</v>
      </c>
    </row>
    <row r="567" customFormat="false" ht="15" hidden="false" customHeight="false" outlineLevel="0" collapsed="false">
      <c r="A567" s="1" t="s">
        <v>2060</v>
      </c>
      <c r="B567" s="1" t="s">
        <v>2061</v>
      </c>
      <c r="C567" s="1" t="s">
        <v>649</v>
      </c>
      <c r="D567" s="1" t="s">
        <v>2062</v>
      </c>
      <c r="E567" s="1" t="s">
        <v>82</v>
      </c>
      <c r="F567" s="1" t="s">
        <v>391</v>
      </c>
      <c r="G567" s="1" t="s">
        <v>443</v>
      </c>
      <c r="H567" s="1" t="s">
        <v>444</v>
      </c>
      <c r="K567" s="1" t="s">
        <v>666</v>
      </c>
      <c r="L567" s="1" t="s">
        <v>667</v>
      </c>
      <c r="M567" s="1" t="s">
        <v>806</v>
      </c>
      <c r="N567" s="1" t="s">
        <v>2063</v>
      </c>
      <c r="O567" s="1" t="s">
        <v>2064</v>
      </c>
      <c r="P567" s="1"/>
      <c r="Q567" s="1" t="s">
        <v>70</v>
      </c>
      <c r="Z567" s="1" t="s">
        <v>71</v>
      </c>
      <c r="AE567" s="1" t="s">
        <v>2057</v>
      </c>
      <c r="AH567" s="1" t="s">
        <v>73</v>
      </c>
      <c r="AK567" s="1" t="s">
        <v>71</v>
      </c>
      <c r="AM567" s="1" t="s">
        <v>71</v>
      </c>
      <c r="AN567" s="1" t="s">
        <v>71</v>
      </c>
      <c r="AS567" s="1" t="s">
        <v>71</v>
      </c>
      <c r="AX567" s="1" t="s">
        <v>71</v>
      </c>
      <c r="BH567" s="1" t="s">
        <v>71</v>
      </c>
    </row>
    <row r="568" customFormat="false" ht="15" hidden="false" customHeight="false" outlineLevel="0" collapsed="false">
      <c r="A568" s="1" t="s">
        <v>2065</v>
      </c>
      <c r="B568" s="1" t="s">
        <v>2066</v>
      </c>
      <c r="C568" s="1" t="s">
        <v>649</v>
      </c>
      <c r="D568" s="1" t="s">
        <v>2062</v>
      </c>
      <c r="E568" s="1" t="s">
        <v>82</v>
      </c>
      <c r="F568" s="1" t="s">
        <v>391</v>
      </c>
      <c r="G568" s="1" t="s">
        <v>443</v>
      </c>
      <c r="H568" s="1" t="s">
        <v>444</v>
      </c>
      <c r="K568" s="1" t="s">
        <v>666</v>
      </c>
      <c r="L568" s="1" t="s">
        <v>667</v>
      </c>
      <c r="M568" s="1" t="s">
        <v>806</v>
      </c>
      <c r="N568" s="1" t="s">
        <v>2067</v>
      </c>
      <c r="O568" s="1" t="s">
        <v>2068</v>
      </c>
      <c r="P568" s="1"/>
      <c r="Q568" s="1" t="s">
        <v>70</v>
      </c>
      <c r="Z568" s="1" t="s">
        <v>71</v>
      </c>
      <c r="AE568" s="1" t="s">
        <v>2057</v>
      </c>
      <c r="AH568" s="1" t="s">
        <v>73</v>
      </c>
      <c r="AK568" s="1" t="s">
        <v>71</v>
      </c>
      <c r="AM568" s="1" t="s">
        <v>71</v>
      </c>
      <c r="AN568" s="1" t="s">
        <v>71</v>
      </c>
      <c r="AS568" s="1" t="s">
        <v>71</v>
      </c>
      <c r="AX568" s="1" t="s">
        <v>71</v>
      </c>
      <c r="BH568" s="1" t="s">
        <v>71</v>
      </c>
    </row>
    <row r="569" customFormat="false" ht="15" hidden="false" customHeight="false" outlineLevel="0" collapsed="false">
      <c r="A569" s="1" t="s">
        <v>2069</v>
      </c>
      <c r="B569" s="1" t="s">
        <v>2070</v>
      </c>
      <c r="C569" s="1" t="s">
        <v>229</v>
      </c>
      <c r="D569" s="1" t="s">
        <v>230</v>
      </c>
      <c r="E569" s="1" t="s">
        <v>61</v>
      </c>
      <c r="F569" s="1" t="s">
        <v>101</v>
      </c>
      <c r="G569" s="1" t="s">
        <v>148</v>
      </c>
      <c r="H569" s="1" t="s">
        <v>231</v>
      </c>
      <c r="K569" s="1" t="s">
        <v>308</v>
      </c>
      <c r="L569" s="1" t="s">
        <v>309</v>
      </c>
      <c r="M569" s="1" t="s">
        <v>1326</v>
      </c>
      <c r="N569" s="1" t="s">
        <v>243</v>
      </c>
      <c r="O569" s="1" t="s">
        <v>244</v>
      </c>
      <c r="P569" s="1"/>
      <c r="Q569" s="1" t="s">
        <v>70</v>
      </c>
      <c r="U569" s="1" t="s">
        <v>2069</v>
      </c>
      <c r="Z569" s="1" t="s">
        <v>71</v>
      </c>
      <c r="AE569" s="1" t="s">
        <v>2057</v>
      </c>
      <c r="AH569" s="1" t="s">
        <v>73</v>
      </c>
      <c r="AK569" s="1" t="s">
        <v>71</v>
      </c>
      <c r="AM569" s="1" t="s">
        <v>71</v>
      </c>
      <c r="AN569" s="1" t="s">
        <v>71</v>
      </c>
      <c r="AS569" s="1" t="s">
        <v>71</v>
      </c>
      <c r="AX569" s="1" t="s">
        <v>71</v>
      </c>
      <c r="AY569" s="1" t="s">
        <v>59</v>
      </c>
      <c r="AZ569" s="1" t="s">
        <v>74</v>
      </c>
      <c r="BH569" s="1" t="s">
        <v>71</v>
      </c>
    </row>
    <row r="570" customFormat="false" ht="15" hidden="false" customHeight="false" outlineLevel="0" collapsed="false">
      <c r="A570" s="1" t="s">
        <v>2071</v>
      </c>
      <c r="B570" s="1" t="s">
        <v>2072</v>
      </c>
      <c r="C570" s="1" t="s">
        <v>312</v>
      </c>
      <c r="D570" s="1" t="s">
        <v>2073</v>
      </c>
      <c r="E570" s="1" t="s">
        <v>82</v>
      </c>
      <c r="F570" s="1" t="s">
        <v>391</v>
      </c>
      <c r="G570" s="1" t="s">
        <v>443</v>
      </c>
      <c r="H570" s="1" t="s">
        <v>444</v>
      </c>
      <c r="K570" s="1" t="s">
        <v>2074</v>
      </c>
      <c r="L570" s="1" t="s">
        <v>2075</v>
      </c>
      <c r="M570" s="1" t="s">
        <v>2020</v>
      </c>
      <c r="N570" s="1" t="s">
        <v>792</v>
      </c>
      <c r="O570" s="1" t="s">
        <v>447</v>
      </c>
      <c r="P570" s="1"/>
      <c r="Q570" s="1" t="s">
        <v>70</v>
      </c>
      <c r="Z570" s="1" t="s">
        <v>71</v>
      </c>
      <c r="AE570" s="1" t="s">
        <v>2076</v>
      </c>
      <c r="AH570" s="1" t="s">
        <v>73</v>
      </c>
      <c r="AK570" s="1" t="s">
        <v>71</v>
      </c>
      <c r="AM570" s="1" t="s">
        <v>71</v>
      </c>
      <c r="AN570" s="1" t="s">
        <v>71</v>
      </c>
      <c r="AS570" s="1" t="s">
        <v>71</v>
      </c>
      <c r="AX570" s="1" t="s">
        <v>71</v>
      </c>
      <c r="BH570" s="1" t="s">
        <v>71</v>
      </c>
    </row>
    <row r="571" customFormat="false" ht="15" hidden="false" customHeight="false" outlineLevel="0" collapsed="false">
      <c r="A571" s="1" t="s">
        <v>2077</v>
      </c>
      <c r="B571" s="1" t="s">
        <v>2078</v>
      </c>
      <c r="C571" s="1" t="s">
        <v>526</v>
      </c>
      <c r="D571" s="1" t="s">
        <v>527</v>
      </c>
      <c r="E571" s="1" t="s">
        <v>82</v>
      </c>
      <c r="F571" s="1" t="s">
        <v>391</v>
      </c>
      <c r="G571" s="1" t="s">
        <v>213</v>
      </c>
      <c r="H571" s="1" t="s">
        <v>477</v>
      </c>
      <c r="K571" s="1" t="s">
        <v>478</v>
      </c>
      <c r="L571" s="1" t="s">
        <v>479</v>
      </c>
      <c r="M571" s="1" t="s">
        <v>496</v>
      </c>
      <c r="N571" s="1" t="s">
        <v>1139</v>
      </c>
      <c r="O571" s="1" t="s">
        <v>1140</v>
      </c>
      <c r="P571" s="1"/>
      <c r="Q571" s="1" t="s">
        <v>70</v>
      </c>
      <c r="Z571" s="1" t="s">
        <v>71</v>
      </c>
      <c r="AE571" s="1" t="s">
        <v>2079</v>
      </c>
      <c r="AH571" s="1" t="s">
        <v>73</v>
      </c>
      <c r="AK571" s="1" t="s">
        <v>71</v>
      </c>
      <c r="AM571" s="1" t="s">
        <v>71</v>
      </c>
      <c r="AN571" s="1" t="s">
        <v>71</v>
      </c>
      <c r="AS571" s="1" t="s">
        <v>71</v>
      </c>
      <c r="AX571" s="1" t="s">
        <v>71</v>
      </c>
      <c r="BH571" s="1" t="s">
        <v>71</v>
      </c>
    </row>
    <row r="572" customFormat="false" ht="15" hidden="false" customHeight="false" outlineLevel="0" collapsed="false">
      <c r="A572" s="1" t="s">
        <v>2080</v>
      </c>
      <c r="B572" s="1" t="s">
        <v>2081</v>
      </c>
      <c r="C572" s="1" t="s">
        <v>526</v>
      </c>
      <c r="D572" s="1" t="s">
        <v>527</v>
      </c>
      <c r="E572" s="1" t="s">
        <v>82</v>
      </c>
      <c r="F572" s="1" t="s">
        <v>391</v>
      </c>
      <c r="G572" s="1" t="s">
        <v>213</v>
      </c>
      <c r="H572" s="1" t="s">
        <v>477</v>
      </c>
      <c r="K572" s="1" t="s">
        <v>478</v>
      </c>
      <c r="L572" s="1" t="s">
        <v>479</v>
      </c>
      <c r="M572" s="1" t="s">
        <v>496</v>
      </c>
      <c r="N572" s="1" t="s">
        <v>551</v>
      </c>
      <c r="O572" s="1" t="s">
        <v>447</v>
      </c>
      <c r="P572" s="1"/>
      <c r="Q572" s="1" t="s">
        <v>70</v>
      </c>
      <c r="Z572" s="1" t="s">
        <v>71</v>
      </c>
      <c r="AE572" s="1" t="s">
        <v>2079</v>
      </c>
      <c r="AH572" s="1" t="s">
        <v>73</v>
      </c>
      <c r="AK572" s="1" t="s">
        <v>71</v>
      </c>
      <c r="AM572" s="1" t="s">
        <v>71</v>
      </c>
      <c r="AN572" s="1" t="s">
        <v>71</v>
      </c>
      <c r="AS572" s="1" t="s">
        <v>71</v>
      </c>
      <c r="AX572" s="1" t="s">
        <v>71</v>
      </c>
      <c r="BH572" s="1" t="s">
        <v>71</v>
      </c>
    </row>
    <row r="573" customFormat="false" ht="15" hidden="false" customHeight="false" outlineLevel="0" collapsed="false">
      <c r="A573" s="1" t="s">
        <v>2082</v>
      </c>
      <c r="B573" s="1" t="s">
        <v>2083</v>
      </c>
      <c r="C573" s="1" t="s">
        <v>526</v>
      </c>
      <c r="D573" s="1" t="s">
        <v>527</v>
      </c>
      <c r="E573" s="1" t="s">
        <v>82</v>
      </c>
      <c r="F573" s="1" t="s">
        <v>391</v>
      </c>
      <c r="G573" s="1" t="s">
        <v>213</v>
      </c>
      <c r="H573" s="1" t="s">
        <v>477</v>
      </c>
      <c r="K573" s="1" t="s">
        <v>478</v>
      </c>
      <c r="L573" s="1" t="s">
        <v>479</v>
      </c>
      <c r="M573" s="1" t="s">
        <v>496</v>
      </c>
      <c r="N573" s="1" t="s">
        <v>1877</v>
      </c>
      <c r="O573" s="1" t="s">
        <v>1878</v>
      </c>
      <c r="P573" s="1"/>
      <c r="Q573" s="1" t="s">
        <v>70</v>
      </c>
      <c r="Z573" s="1" t="s">
        <v>71</v>
      </c>
      <c r="AE573" s="1" t="s">
        <v>2079</v>
      </c>
      <c r="AH573" s="1" t="s">
        <v>73</v>
      </c>
      <c r="AK573" s="1" t="s">
        <v>71</v>
      </c>
      <c r="AM573" s="1" t="s">
        <v>71</v>
      </c>
      <c r="AN573" s="1" t="s">
        <v>71</v>
      </c>
      <c r="AS573" s="1" t="s">
        <v>71</v>
      </c>
      <c r="AX573" s="1" t="s">
        <v>71</v>
      </c>
      <c r="BH573" s="1" t="s">
        <v>71</v>
      </c>
    </row>
    <row r="574" customFormat="false" ht="15" hidden="false" customHeight="false" outlineLevel="0" collapsed="false">
      <c r="A574" s="1" t="s">
        <v>2084</v>
      </c>
      <c r="B574" s="1" t="s">
        <v>2085</v>
      </c>
      <c r="C574" s="1" t="s">
        <v>526</v>
      </c>
      <c r="D574" s="1" t="s">
        <v>527</v>
      </c>
      <c r="E574" s="1" t="s">
        <v>82</v>
      </c>
      <c r="F574" s="1" t="s">
        <v>391</v>
      </c>
      <c r="G574" s="1" t="s">
        <v>213</v>
      </c>
      <c r="H574" s="1" t="s">
        <v>477</v>
      </c>
      <c r="K574" s="1" t="s">
        <v>478</v>
      </c>
      <c r="L574" s="1" t="s">
        <v>479</v>
      </c>
      <c r="M574" s="1" t="s">
        <v>496</v>
      </c>
      <c r="N574" s="1" t="s">
        <v>2086</v>
      </c>
      <c r="O574" s="1" t="s">
        <v>2087</v>
      </c>
      <c r="P574" s="1"/>
      <c r="Q574" s="1" t="s">
        <v>70</v>
      </c>
      <c r="Z574" s="1" t="s">
        <v>71</v>
      </c>
      <c r="AE574" s="1" t="s">
        <v>2079</v>
      </c>
      <c r="AH574" s="1" t="s">
        <v>73</v>
      </c>
      <c r="AK574" s="1" t="s">
        <v>71</v>
      </c>
      <c r="AM574" s="1" t="s">
        <v>71</v>
      </c>
      <c r="AN574" s="1" t="s">
        <v>71</v>
      </c>
      <c r="AS574" s="1" t="s">
        <v>71</v>
      </c>
      <c r="AX574" s="1" t="s">
        <v>71</v>
      </c>
      <c r="BH574" s="1" t="s">
        <v>71</v>
      </c>
    </row>
    <row r="575" customFormat="false" ht="15" hidden="false" customHeight="false" outlineLevel="0" collapsed="false">
      <c r="A575" s="1" t="s">
        <v>2088</v>
      </c>
      <c r="B575" s="1" t="s">
        <v>2089</v>
      </c>
      <c r="C575" s="1" t="s">
        <v>526</v>
      </c>
      <c r="D575" s="1" t="s">
        <v>527</v>
      </c>
      <c r="E575" s="1" t="s">
        <v>82</v>
      </c>
      <c r="F575" s="1" t="s">
        <v>391</v>
      </c>
      <c r="G575" s="1" t="s">
        <v>213</v>
      </c>
      <c r="H575" s="1" t="s">
        <v>477</v>
      </c>
      <c r="K575" s="1" t="s">
        <v>478</v>
      </c>
      <c r="L575" s="1" t="s">
        <v>479</v>
      </c>
      <c r="M575" s="1" t="s">
        <v>496</v>
      </c>
      <c r="N575" s="1" t="s">
        <v>1923</v>
      </c>
      <c r="O575" s="1" t="s">
        <v>1924</v>
      </c>
      <c r="P575" s="1"/>
      <c r="Q575" s="1" t="s">
        <v>70</v>
      </c>
      <c r="Z575" s="1" t="s">
        <v>71</v>
      </c>
      <c r="AE575" s="1" t="s">
        <v>2079</v>
      </c>
      <c r="AH575" s="1" t="s">
        <v>73</v>
      </c>
      <c r="AK575" s="1" t="s">
        <v>71</v>
      </c>
      <c r="AM575" s="1" t="s">
        <v>71</v>
      </c>
      <c r="AN575" s="1" t="s">
        <v>71</v>
      </c>
      <c r="AS575" s="1" t="s">
        <v>71</v>
      </c>
      <c r="AX575" s="1" t="s">
        <v>71</v>
      </c>
      <c r="BH575" s="1" t="s">
        <v>71</v>
      </c>
    </row>
    <row r="576" customFormat="false" ht="15" hidden="false" customHeight="false" outlineLevel="0" collapsed="false">
      <c r="A576" s="1" t="s">
        <v>2090</v>
      </c>
      <c r="B576" s="1" t="s">
        <v>2091</v>
      </c>
      <c r="C576" s="1" t="s">
        <v>526</v>
      </c>
      <c r="D576" s="1" t="s">
        <v>527</v>
      </c>
      <c r="E576" s="1" t="s">
        <v>82</v>
      </c>
      <c r="F576" s="1" t="s">
        <v>391</v>
      </c>
      <c r="G576" s="1" t="s">
        <v>213</v>
      </c>
      <c r="H576" s="1" t="s">
        <v>477</v>
      </c>
      <c r="K576" s="1" t="s">
        <v>478</v>
      </c>
      <c r="L576" s="1" t="s">
        <v>479</v>
      </c>
      <c r="M576" s="1" t="s">
        <v>496</v>
      </c>
      <c r="N576" s="1" t="s">
        <v>2086</v>
      </c>
      <c r="O576" s="1" t="s">
        <v>2087</v>
      </c>
      <c r="P576" s="1"/>
      <c r="Q576" s="1" t="s">
        <v>70</v>
      </c>
      <c r="Z576" s="1" t="s">
        <v>71</v>
      </c>
      <c r="AE576" s="1" t="s">
        <v>2079</v>
      </c>
      <c r="AH576" s="1" t="s">
        <v>73</v>
      </c>
      <c r="AK576" s="1" t="s">
        <v>71</v>
      </c>
      <c r="AM576" s="1" t="s">
        <v>71</v>
      </c>
      <c r="AN576" s="1" t="s">
        <v>71</v>
      </c>
      <c r="AS576" s="1" t="s">
        <v>71</v>
      </c>
      <c r="AX576" s="1" t="s">
        <v>71</v>
      </c>
      <c r="BH576" s="1" t="s">
        <v>71</v>
      </c>
    </row>
    <row r="577" customFormat="false" ht="15" hidden="false" customHeight="false" outlineLevel="0" collapsed="false">
      <c r="A577" s="1" t="s">
        <v>2092</v>
      </c>
      <c r="B577" s="1" t="s">
        <v>2093</v>
      </c>
      <c r="C577" s="1" t="s">
        <v>524</v>
      </c>
      <c r="D577" s="1" t="s">
        <v>841</v>
      </c>
      <c r="E577" s="1" t="s">
        <v>82</v>
      </c>
      <c r="F577" s="1" t="s">
        <v>391</v>
      </c>
      <c r="G577" s="1" t="s">
        <v>443</v>
      </c>
      <c r="H577" s="1" t="s">
        <v>444</v>
      </c>
      <c r="K577" s="1" t="s">
        <v>192</v>
      </c>
      <c r="L577" s="1" t="s">
        <v>2094</v>
      </c>
      <c r="M577" s="1" t="s">
        <v>496</v>
      </c>
      <c r="N577" s="1" t="s">
        <v>466</v>
      </c>
      <c r="O577" s="1" t="s">
        <v>467</v>
      </c>
      <c r="P577" s="1"/>
      <c r="Q577" s="1" t="s">
        <v>70</v>
      </c>
      <c r="Z577" s="1" t="s">
        <v>71</v>
      </c>
      <c r="AE577" s="1" t="s">
        <v>2095</v>
      </c>
      <c r="AH577" s="1" t="s">
        <v>73</v>
      </c>
      <c r="AK577" s="1" t="s">
        <v>71</v>
      </c>
      <c r="AM577" s="1" t="s">
        <v>71</v>
      </c>
      <c r="AN577" s="1" t="s">
        <v>71</v>
      </c>
      <c r="AS577" s="1" t="s">
        <v>71</v>
      </c>
      <c r="AX577" s="1" t="s">
        <v>71</v>
      </c>
      <c r="BH577" s="1" t="s">
        <v>71</v>
      </c>
    </row>
    <row r="578" customFormat="false" ht="15" hidden="false" customHeight="false" outlineLevel="0" collapsed="false">
      <c r="A578" s="1" t="s">
        <v>2096</v>
      </c>
      <c r="B578" s="1" t="s">
        <v>2097</v>
      </c>
      <c r="C578" s="1" t="s">
        <v>524</v>
      </c>
      <c r="D578" s="1" t="s">
        <v>841</v>
      </c>
      <c r="E578" s="1" t="s">
        <v>82</v>
      </c>
      <c r="F578" s="1" t="s">
        <v>391</v>
      </c>
      <c r="G578" s="1" t="s">
        <v>182</v>
      </c>
      <c r="H578" s="1" t="s">
        <v>392</v>
      </c>
      <c r="K578" s="1" t="s">
        <v>65</v>
      </c>
      <c r="L578" s="1" t="s">
        <v>517</v>
      </c>
      <c r="M578" s="1" t="s">
        <v>496</v>
      </c>
      <c r="N578" s="1" t="s">
        <v>1133</v>
      </c>
      <c r="O578" s="1" t="s">
        <v>1134</v>
      </c>
      <c r="P578" s="1"/>
      <c r="Q578" s="1" t="s">
        <v>70</v>
      </c>
      <c r="Z578" s="1" t="s">
        <v>71</v>
      </c>
      <c r="AE578" s="1" t="s">
        <v>2095</v>
      </c>
      <c r="AH578" s="1" t="s">
        <v>73</v>
      </c>
      <c r="AK578" s="1" t="s">
        <v>71</v>
      </c>
      <c r="AM578" s="1" t="s">
        <v>71</v>
      </c>
      <c r="AN578" s="1" t="s">
        <v>71</v>
      </c>
      <c r="AS578" s="1" t="s">
        <v>71</v>
      </c>
      <c r="AX578" s="1" t="s">
        <v>71</v>
      </c>
      <c r="BH578" s="1" t="s">
        <v>71</v>
      </c>
    </row>
    <row r="579" customFormat="false" ht="15" hidden="false" customHeight="false" outlineLevel="0" collapsed="false">
      <c r="A579" s="1" t="s">
        <v>2098</v>
      </c>
      <c r="B579" s="1" t="s">
        <v>2099</v>
      </c>
      <c r="C579" s="1" t="s">
        <v>524</v>
      </c>
      <c r="D579" s="1" t="s">
        <v>841</v>
      </c>
      <c r="E579" s="1" t="s">
        <v>82</v>
      </c>
      <c r="F579" s="1" t="s">
        <v>391</v>
      </c>
      <c r="G579" s="1" t="s">
        <v>443</v>
      </c>
      <c r="H579" s="1" t="s">
        <v>444</v>
      </c>
      <c r="K579" s="1" t="s">
        <v>2100</v>
      </c>
      <c r="L579" s="1" t="s">
        <v>2101</v>
      </c>
      <c r="M579" s="1" t="s">
        <v>806</v>
      </c>
      <c r="N579" s="1" t="s">
        <v>466</v>
      </c>
      <c r="O579" s="1" t="s">
        <v>467</v>
      </c>
      <c r="P579" s="1"/>
      <c r="Q579" s="1" t="s">
        <v>70</v>
      </c>
      <c r="Z579" s="1" t="s">
        <v>71</v>
      </c>
      <c r="AE579" s="1" t="s">
        <v>2095</v>
      </c>
      <c r="AH579" s="1" t="s">
        <v>73</v>
      </c>
      <c r="AK579" s="1" t="s">
        <v>71</v>
      </c>
      <c r="AM579" s="1" t="s">
        <v>71</v>
      </c>
      <c r="AN579" s="1" t="s">
        <v>71</v>
      </c>
      <c r="AS579" s="1" t="s">
        <v>71</v>
      </c>
      <c r="AX579" s="1" t="s">
        <v>71</v>
      </c>
      <c r="BH579" s="1" t="s">
        <v>71</v>
      </c>
    </row>
    <row r="580" customFormat="false" ht="15" hidden="false" customHeight="false" outlineLevel="0" collapsed="false">
      <c r="A580" s="1" t="s">
        <v>2102</v>
      </c>
      <c r="B580" s="1" t="s">
        <v>2103</v>
      </c>
      <c r="C580" s="1" t="s">
        <v>524</v>
      </c>
      <c r="D580" s="1" t="s">
        <v>841</v>
      </c>
      <c r="E580" s="1" t="s">
        <v>82</v>
      </c>
      <c r="F580" s="1" t="s">
        <v>391</v>
      </c>
      <c r="G580" s="1" t="s">
        <v>443</v>
      </c>
      <c r="H580" s="1" t="s">
        <v>444</v>
      </c>
      <c r="K580" s="1" t="s">
        <v>1006</v>
      </c>
      <c r="L580" s="1" t="s">
        <v>2103</v>
      </c>
      <c r="M580" s="1" t="s">
        <v>806</v>
      </c>
      <c r="N580" s="1" t="s">
        <v>2104</v>
      </c>
      <c r="O580" s="1" t="s">
        <v>400</v>
      </c>
      <c r="P580" s="1"/>
      <c r="Q580" s="1" t="s">
        <v>70</v>
      </c>
      <c r="Z580" s="1" t="s">
        <v>71</v>
      </c>
      <c r="AE580" s="1" t="s">
        <v>2095</v>
      </c>
      <c r="AH580" s="1" t="s">
        <v>73</v>
      </c>
      <c r="AK580" s="1" t="s">
        <v>71</v>
      </c>
      <c r="AM580" s="1" t="s">
        <v>71</v>
      </c>
      <c r="AN580" s="1" t="s">
        <v>71</v>
      </c>
      <c r="AS580" s="1" t="s">
        <v>71</v>
      </c>
      <c r="AX580" s="1" t="s">
        <v>71</v>
      </c>
      <c r="BH580" s="1" t="s">
        <v>71</v>
      </c>
    </row>
    <row r="581" customFormat="false" ht="15" hidden="false" customHeight="false" outlineLevel="0" collapsed="false">
      <c r="A581" s="1" t="s">
        <v>2105</v>
      </c>
      <c r="B581" s="1" t="s">
        <v>2106</v>
      </c>
      <c r="C581" s="1" t="s">
        <v>2107</v>
      </c>
      <c r="D581" s="1" t="s">
        <v>2108</v>
      </c>
      <c r="E581" s="1" t="s">
        <v>82</v>
      </c>
      <c r="F581" s="1" t="s">
        <v>391</v>
      </c>
      <c r="G581" s="1" t="s">
        <v>443</v>
      </c>
      <c r="H581" s="1" t="s">
        <v>444</v>
      </c>
      <c r="K581" s="1" t="s">
        <v>188</v>
      </c>
      <c r="L581" s="1" t="s">
        <v>2109</v>
      </c>
      <c r="M581" s="1" t="s">
        <v>2020</v>
      </c>
      <c r="N581" s="1" t="s">
        <v>2110</v>
      </c>
      <c r="O581" s="1" t="s">
        <v>2111</v>
      </c>
      <c r="P581" s="1"/>
      <c r="Q581" s="1" t="s">
        <v>70</v>
      </c>
      <c r="Z581" s="1" t="s">
        <v>71</v>
      </c>
      <c r="AE581" s="1" t="s">
        <v>2095</v>
      </c>
      <c r="AH581" s="1" t="s">
        <v>73</v>
      </c>
      <c r="AK581" s="1" t="s">
        <v>71</v>
      </c>
      <c r="AM581" s="1" t="s">
        <v>71</v>
      </c>
      <c r="AN581" s="1" t="s">
        <v>71</v>
      </c>
      <c r="AS581" s="1" t="s">
        <v>71</v>
      </c>
      <c r="AX581" s="1" t="s">
        <v>71</v>
      </c>
      <c r="BH581" s="1" t="s">
        <v>71</v>
      </c>
    </row>
    <row r="582" customFormat="false" ht="15" hidden="false" customHeight="false" outlineLevel="0" collapsed="false">
      <c r="A582" s="1" t="s">
        <v>222</v>
      </c>
      <c r="B582" s="1" t="s">
        <v>2112</v>
      </c>
      <c r="C582" s="1" t="s">
        <v>2107</v>
      </c>
      <c r="D582" s="1" t="s">
        <v>2108</v>
      </c>
      <c r="E582" s="1" t="s">
        <v>82</v>
      </c>
      <c r="F582" s="1" t="s">
        <v>391</v>
      </c>
      <c r="G582" s="1" t="s">
        <v>443</v>
      </c>
      <c r="H582" s="1" t="s">
        <v>444</v>
      </c>
      <c r="K582" s="1" t="s">
        <v>2113</v>
      </c>
      <c r="L582" s="1" t="s">
        <v>2112</v>
      </c>
      <c r="M582" s="1" t="s">
        <v>806</v>
      </c>
      <c r="N582" s="1" t="s">
        <v>2114</v>
      </c>
      <c r="O582" s="1" t="s">
        <v>2115</v>
      </c>
      <c r="P582" s="1"/>
      <c r="Q582" s="1" t="s">
        <v>70</v>
      </c>
      <c r="Z582" s="1" t="s">
        <v>71</v>
      </c>
      <c r="AE582" s="1" t="s">
        <v>2095</v>
      </c>
      <c r="AH582" s="1" t="s">
        <v>73</v>
      </c>
      <c r="AK582" s="1" t="s">
        <v>71</v>
      </c>
      <c r="AM582" s="1" t="s">
        <v>71</v>
      </c>
      <c r="AN582" s="1" t="s">
        <v>71</v>
      </c>
      <c r="AS582" s="1" t="s">
        <v>71</v>
      </c>
      <c r="AX582" s="1" t="s">
        <v>71</v>
      </c>
      <c r="BH582" s="1" t="s">
        <v>71</v>
      </c>
    </row>
    <row r="583" customFormat="false" ht="15" hidden="false" customHeight="false" outlineLevel="0" collapsed="false">
      <c r="A583" s="1" t="s">
        <v>2116</v>
      </c>
      <c r="B583" s="1" t="s">
        <v>2117</v>
      </c>
      <c r="C583" s="1" t="s">
        <v>2107</v>
      </c>
      <c r="D583" s="1" t="s">
        <v>2108</v>
      </c>
      <c r="E583" s="1" t="s">
        <v>82</v>
      </c>
      <c r="F583" s="1" t="s">
        <v>391</v>
      </c>
      <c r="G583" s="1" t="s">
        <v>443</v>
      </c>
      <c r="H583" s="1" t="s">
        <v>444</v>
      </c>
      <c r="K583" s="1" t="s">
        <v>2113</v>
      </c>
      <c r="L583" s="1" t="s">
        <v>2112</v>
      </c>
      <c r="M583" s="1" t="s">
        <v>806</v>
      </c>
      <c r="N583" s="1" t="s">
        <v>2118</v>
      </c>
      <c r="O583" s="1" t="s">
        <v>2119</v>
      </c>
      <c r="P583" s="1"/>
      <c r="Q583" s="1" t="s">
        <v>70</v>
      </c>
      <c r="Z583" s="1" t="s">
        <v>71</v>
      </c>
      <c r="AE583" s="1" t="s">
        <v>2095</v>
      </c>
      <c r="AH583" s="1" t="s">
        <v>73</v>
      </c>
      <c r="AK583" s="1" t="s">
        <v>71</v>
      </c>
      <c r="AM583" s="1" t="s">
        <v>71</v>
      </c>
      <c r="AN583" s="1" t="s">
        <v>71</v>
      </c>
      <c r="AS583" s="1" t="s">
        <v>71</v>
      </c>
      <c r="AX583" s="1" t="s">
        <v>71</v>
      </c>
      <c r="BH583" s="1" t="s">
        <v>71</v>
      </c>
    </row>
    <row r="584" customFormat="false" ht="15" hidden="false" customHeight="false" outlineLevel="0" collapsed="false">
      <c r="A584" s="1" t="s">
        <v>2120</v>
      </c>
      <c r="B584" s="1" t="s">
        <v>2121</v>
      </c>
      <c r="C584" s="1" t="s">
        <v>2107</v>
      </c>
      <c r="D584" s="1" t="s">
        <v>2108</v>
      </c>
      <c r="E584" s="1" t="s">
        <v>82</v>
      </c>
      <c r="F584" s="1" t="s">
        <v>391</v>
      </c>
      <c r="G584" s="1" t="s">
        <v>443</v>
      </c>
      <c r="H584" s="1" t="s">
        <v>444</v>
      </c>
      <c r="K584" s="1" t="s">
        <v>2113</v>
      </c>
      <c r="L584" s="1" t="s">
        <v>2112</v>
      </c>
      <c r="M584" s="1" t="s">
        <v>806</v>
      </c>
      <c r="N584" s="1" t="s">
        <v>2122</v>
      </c>
      <c r="O584" s="1" t="s">
        <v>400</v>
      </c>
      <c r="P584" s="1"/>
      <c r="Q584" s="1" t="s">
        <v>70</v>
      </c>
      <c r="Z584" s="1" t="s">
        <v>71</v>
      </c>
      <c r="AE584" s="1" t="s">
        <v>2095</v>
      </c>
      <c r="AH584" s="1" t="s">
        <v>73</v>
      </c>
      <c r="AK584" s="1" t="s">
        <v>71</v>
      </c>
      <c r="AM584" s="1" t="s">
        <v>71</v>
      </c>
      <c r="AN584" s="1" t="s">
        <v>71</v>
      </c>
      <c r="AS584" s="1" t="s">
        <v>71</v>
      </c>
      <c r="AX584" s="1" t="s">
        <v>71</v>
      </c>
      <c r="BH584" s="1" t="s">
        <v>71</v>
      </c>
    </row>
    <row r="585" customFormat="false" ht="15" hidden="false" customHeight="false" outlineLevel="0" collapsed="false">
      <c r="A585" s="1" t="s">
        <v>2123</v>
      </c>
      <c r="B585" s="1" t="s">
        <v>2124</v>
      </c>
      <c r="C585" s="1" t="s">
        <v>213</v>
      </c>
      <c r="D585" s="1" t="s">
        <v>214</v>
      </c>
      <c r="E585" s="1" t="s">
        <v>61</v>
      </c>
      <c r="F585" s="1" t="s">
        <v>101</v>
      </c>
      <c r="G585" s="1" t="s">
        <v>93</v>
      </c>
      <c r="H585" s="1" t="s">
        <v>64</v>
      </c>
      <c r="K585" s="1" t="s">
        <v>302</v>
      </c>
      <c r="L585" s="1" t="s">
        <v>303</v>
      </c>
      <c r="M585" s="1" t="s">
        <v>122</v>
      </c>
      <c r="N585" s="1" t="s">
        <v>105</v>
      </c>
      <c r="O585" s="1" t="s">
        <v>106</v>
      </c>
      <c r="P585" s="1"/>
      <c r="Q585" s="1" t="s">
        <v>70</v>
      </c>
      <c r="U585" s="1" t="s">
        <v>2123</v>
      </c>
      <c r="Z585" s="1" t="s">
        <v>71</v>
      </c>
      <c r="AE585" s="1" t="s">
        <v>2125</v>
      </c>
      <c r="AH585" s="1" t="s">
        <v>73</v>
      </c>
      <c r="AK585" s="1" t="s">
        <v>71</v>
      </c>
      <c r="AM585" s="1" t="s">
        <v>71</v>
      </c>
      <c r="AN585" s="1" t="s">
        <v>71</v>
      </c>
      <c r="AS585" s="1" t="s">
        <v>71</v>
      </c>
      <c r="AX585" s="1" t="s">
        <v>71</v>
      </c>
      <c r="AY585" s="1" t="s">
        <v>59</v>
      </c>
      <c r="AZ585" s="1" t="s">
        <v>74</v>
      </c>
      <c r="BH585" s="1" t="s">
        <v>71</v>
      </c>
    </row>
    <row r="586" customFormat="false" ht="15" hidden="false" customHeight="false" outlineLevel="0" collapsed="false">
      <c r="A586" s="1" t="s">
        <v>2126</v>
      </c>
      <c r="B586" s="1" t="s">
        <v>2127</v>
      </c>
      <c r="C586" s="1" t="s">
        <v>526</v>
      </c>
      <c r="D586" s="1" t="s">
        <v>527</v>
      </c>
      <c r="E586" s="1" t="s">
        <v>82</v>
      </c>
      <c r="F586" s="1" t="s">
        <v>391</v>
      </c>
      <c r="G586" s="1" t="s">
        <v>213</v>
      </c>
      <c r="H586" s="1" t="s">
        <v>477</v>
      </c>
      <c r="K586" s="1" t="s">
        <v>478</v>
      </c>
      <c r="L586" s="1" t="s">
        <v>479</v>
      </c>
      <c r="M586" s="1" t="s">
        <v>496</v>
      </c>
      <c r="N586" s="1" t="s">
        <v>672</v>
      </c>
      <c r="O586" s="1" t="s">
        <v>673</v>
      </c>
      <c r="P586" s="1"/>
      <c r="Q586" s="1" t="s">
        <v>70</v>
      </c>
      <c r="Z586" s="1" t="s">
        <v>71</v>
      </c>
      <c r="AE586" s="1" t="s">
        <v>2128</v>
      </c>
      <c r="AH586" s="1" t="s">
        <v>73</v>
      </c>
      <c r="AK586" s="1" t="s">
        <v>71</v>
      </c>
      <c r="AM586" s="1" t="s">
        <v>71</v>
      </c>
      <c r="AN586" s="1" t="s">
        <v>71</v>
      </c>
      <c r="AS586" s="1" t="s">
        <v>71</v>
      </c>
      <c r="AX586" s="1" t="s">
        <v>71</v>
      </c>
      <c r="BH586" s="1" t="s">
        <v>71</v>
      </c>
    </row>
    <row r="587" customFormat="false" ht="15" hidden="false" customHeight="false" outlineLevel="0" collapsed="false">
      <c r="A587" s="1" t="s">
        <v>2129</v>
      </c>
      <c r="B587" s="1" t="s">
        <v>2130</v>
      </c>
      <c r="C587" s="1" t="s">
        <v>526</v>
      </c>
      <c r="D587" s="1" t="s">
        <v>527</v>
      </c>
      <c r="E587" s="1" t="s">
        <v>82</v>
      </c>
      <c r="F587" s="1" t="s">
        <v>391</v>
      </c>
      <c r="G587" s="1" t="s">
        <v>213</v>
      </c>
      <c r="H587" s="1" t="s">
        <v>477</v>
      </c>
      <c r="K587" s="1" t="s">
        <v>478</v>
      </c>
      <c r="L587" s="1" t="s">
        <v>479</v>
      </c>
      <c r="M587" s="1" t="s">
        <v>496</v>
      </c>
      <c r="N587" s="1" t="s">
        <v>1287</v>
      </c>
      <c r="O587" s="1" t="s">
        <v>673</v>
      </c>
      <c r="P587" s="1"/>
      <c r="Q587" s="1" t="s">
        <v>70</v>
      </c>
      <c r="Z587" s="1" t="s">
        <v>71</v>
      </c>
      <c r="AE587" s="1" t="s">
        <v>2128</v>
      </c>
      <c r="AH587" s="1" t="s">
        <v>73</v>
      </c>
      <c r="AK587" s="1" t="s">
        <v>71</v>
      </c>
      <c r="AM587" s="1" t="s">
        <v>71</v>
      </c>
      <c r="AN587" s="1" t="s">
        <v>71</v>
      </c>
      <c r="AS587" s="1" t="s">
        <v>71</v>
      </c>
      <c r="AX587" s="1" t="s">
        <v>71</v>
      </c>
      <c r="BH587" s="1" t="s">
        <v>71</v>
      </c>
    </row>
    <row r="588" customFormat="false" ht="15" hidden="false" customHeight="false" outlineLevel="0" collapsed="false">
      <c r="A588" s="1" t="s">
        <v>2131</v>
      </c>
      <c r="B588" s="1" t="s">
        <v>2132</v>
      </c>
      <c r="C588" s="1" t="s">
        <v>526</v>
      </c>
      <c r="D588" s="1" t="s">
        <v>527</v>
      </c>
      <c r="E588" s="1" t="s">
        <v>82</v>
      </c>
      <c r="F588" s="1" t="s">
        <v>391</v>
      </c>
      <c r="G588" s="1" t="s">
        <v>213</v>
      </c>
      <c r="H588" s="1" t="s">
        <v>477</v>
      </c>
      <c r="K588" s="1" t="s">
        <v>478</v>
      </c>
      <c r="L588" s="1" t="s">
        <v>479</v>
      </c>
      <c r="M588" s="1" t="s">
        <v>496</v>
      </c>
      <c r="N588" s="1" t="s">
        <v>740</v>
      </c>
      <c r="O588" s="1" t="s">
        <v>741</v>
      </c>
      <c r="P588" s="1"/>
      <c r="Q588" s="1" t="s">
        <v>70</v>
      </c>
      <c r="Z588" s="1" t="s">
        <v>71</v>
      </c>
      <c r="AE588" s="1" t="s">
        <v>2128</v>
      </c>
      <c r="AH588" s="1" t="s">
        <v>73</v>
      </c>
      <c r="AK588" s="1" t="s">
        <v>71</v>
      </c>
      <c r="AM588" s="1" t="s">
        <v>71</v>
      </c>
      <c r="AN588" s="1" t="s">
        <v>71</v>
      </c>
      <c r="AS588" s="1" t="s">
        <v>71</v>
      </c>
      <c r="AX588" s="1" t="s">
        <v>71</v>
      </c>
      <c r="BH588" s="1" t="s">
        <v>71</v>
      </c>
    </row>
    <row r="589" customFormat="false" ht="15" hidden="false" customHeight="false" outlineLevel="0" collapsed="false">
      <c r="A589" s="1" t="s">
        <v>2133</v>
      </c>
      <c r="B589" s="1" t="s">
        <v>2134</v>
      </c>
      <c r="C589" s="1" t="s">
        <v>526</v>
      </c>
      <c r="D589" s="1" t="s">
        <v>527</v>
      </c>
      <c r="E589" s="1" t="s">
        <v>82</v>
      </c>
      <c r="F589" s="1" t="s">
        <v>391</v>
      </c>
      <c r="G589" s="1" t="s">
        <v>213</v>
      </c>
      <c r="H589" s="1" t="s">
        <v>477</v>
      </c>
      <c r="K589" s="1" t="s">
        <v>478</v>
      </c>
      <c r="L589" s="1" t="s">
        <v>479</v>
      </c>
      <c r="M589" s="1" t="s">
        <v>496</v>
      </c>
      <c r="N589" s="1" t="s">
        <v>740</v>
      </c>
      <c r="O589" s="1" t="s">
        <v>741</v>
      </c>
      <c r="P589" s="1"/>
      <c r="Q589" s="1" t="s">
        <v>70</v>
      </c>
      <c r="Z589" s="1" t="s">
        <v>71</v>
      </c>
      <c r="AE589" s="1" t="s">
        <v>2128</v>
      </c>
      <c r="AH589" s="1" t="s">
        <v>73</v>
      </c>
      <c r="AK589" s="1" t="s">
        <v>71</v>
      </c>
      <c r="AM589" s="1" t="s">
        <v>71</v>
      </c>
      <c r="AN589" s="1" t="s">
        <v>71</v>
      </c>
      <c r="AS589" s="1" t="s">
        <v>71</v>
      </c>
      <c r="AX589" s="1" t="s">
        <v>71</v>
      </c>
      <c r="BH589" s="1" t="s">
        <v>71</v>
      </c>
    </row>
    <row r="590" customFormat="false" ht="15" hidden="false" customHeight="false" outlineLevel="0" collapsed="false">
      <c r="A590" s="1" t="s">
        <v>2135</v>
      </c>
      <c r="B590" s="1" t="s">
        <v>2136</v>
      </c>
      <c r="C590" s="1" t="s">
        <v>526</v>
      </c>
      <c r="D590" s="1" t="s">
        <v>527</v>
      </c>
      <c r="E590" s="1" t="s">
        <v>82</v>
      </c>
      <c r="F590" s="1" t="s">
        <v>391</v>
      </c>
      <c r="G590" s="1" t="s">
        <v>213</v>
      </c>
      <c r="H590" s="1" t="s">
        <v>477</v>
      </c>
      <c r="K590" s="1" t="s">
        <v>478</v>
      </c>
      <c r="L590" s="1" t="s">
        <v>479</v>
      </c>
      <c r="M590" s="1" t="s">
        <v>496</v>
      </c>
      <c r="N590" s="1" t="s">
        <v>740</v>
      </c>
      <c r="O590" s="1" t="s">
        <v>741</v>
      </c>
      <c r="P590" s="1"/>
      <c r="Q590" s="1" t="s">
        <v>70</v>
      </c>
      <c r="Z590" s="1" t="s">
        <v>71</v>
      </c>
      <c r="AE590" s="1" t="s">
        <v>2128</v>
      </c>
      <c r="AH590" s="1" t="s">
        <v>73</v>
      </c>
      <c r="AK590" s="1" t="s">
        <v>71</v>
      </c>
      <c r="AM590" s="1" t="s">
        <v>71</v>
      </c>
      <c r="AN590" s="1" t="s">
        <v>71</v>
      </c>
      <c r="AS590" s="1" t="s">
        <v>71</v>
      </c>
      <c r="AX590" s="1" t="s">
        <v>71</v>
      </c>
      <c r="BH590" s="1" t="s">
        <v>71</v>
      </c>
    </row>
    <row r="591" customFormat="false" ht="15" hidden="false" customHeight="false" outlineLevel="0" collapsed="false">
      <c r="A591" s="1" t="s">
        <v>2137</v>
      </c>
      <c r="B591" s="1" t="s">
        <v>2138</v>
      </c>
      <c r="C591" s="1" t="s">
        <v>526</v>
      </c>
      <c r="D591" s="1" t="s">
        <v>527</v>
      </c>
      <c r="E591" s="1" t="s">
        <v>82</v>
      </c>
      <c r="F591" s="1" t="s">
        <v>391</v>
      </c>
      <c r="G591" s="1" t="s">
        <v>213</v>
      </c>
      <c r="H591" s="1" t="s">
        <v>477</v>
      </c>
      <c r="K591" s="1" t="s">
        <v>478</v>
      </c>
      <c r="L591" s="1" t="s">
        <v>479</v>
      </c>
      <c r="M591" s="1" t="s">
        <v>496</v>
      </c>
      <c r="N591" s="1" t="s">
        <v>600</v>
      </c>
      <c r="O591" s="1" t="s">
        <v>447</v>
      </c>
      <c r="P591" s="1"/>
      <c r="Q591" s="1" t="s">
        <v>70</v>
      </c>
      <c r="Z591" s="1" t="s">
        <v>71</v>
      </c>
      <c r="AE591" s="1" t="s">
        <v>2128</v>
      </c>
      <c r="AH591" s="1" t="s">
        <v>73</v>
      </c>
      <c r="AK591" s="1" t="s">
        <v>71</v>
      </c>
      <c r="AM591" s="1" t="s">
        <v>71</v>
      </c>
      <c r="AN591" s="1" t="s">
        <v>71</v>
      </c>
      <c r="AS591" s="1" t="s">
        <v>71</v>
      </c>
      <c r="AX591" s="1" t="s">
        <v>71</v>
      </c>
      <c r="BH591" s="1" t="s">
        <v>71</v>
      </c>
    </row>
    <row r="592" customFormat="false" ht="15" hidden="false" customHeight="false" outlineLevel="0" collapsed="false">
      <c r="A592" s="1" t="s">
        <v>2139</v>
      </c>
      <c r="B592" s="1" t="s">
        <v>2140</v>
      </c>
      <c r="C592" s="1" t="s">
        <v>526</v>
      </c>
      <c r="D592" s="1" t="s">
        <v>527</v>
      </c>
      <c r="E592" s="1" t="s">
        <v>82</v>
      </c>
      <c r="F592" s="1" t="s">
        <v>391</v>
      </c>
      <c r="G592" s="1" t="s">
        <v>213</v>
      </c>
      <c r="H592" s="1" t="s">
        <v>477</v>
      </c>
      <c r="K592" s="1" t="s">
        <v>478</v>
      </c>
      <c r="L592" s="1" t="s">
        <v>479</v>
      </c>
      <c r="M592" s="1" t="s">
        <v>496</v>
      </c>
      <c r="N592" s="1" t="s">
        <v>645</v>
      </c>
      <c r="O592" s="1" t="s">
        <v>646</v>
      </c>
      <c r="P592" s="1"/>
      <c r="Q592" s="1" t="s">
        <v>70</v>
      </c>
      <c r="Z592" s="1" t="s">
        <v>71</v>
      </c>
      <c r="AE592" s="1" t="s">
        <v>2128</v>
      </c>
      <c r="AH592" s="1" t="s">
        <v>73</v>
      </c>
      <c r="AK592" s="1" t="s">
        <v>71</v>
      </c>
      <c r="AM592" s="1" t="s">
        <v>71</v>
      </c>
      <c r="AN592" s="1" t="s">
        <v>71</v>
      </c>
      <c r="AS592" s="1" t="s">
        <v>71</v>
      </c>
      <c r="AX592" s="1" t="s">
        <v>71</v>
      </c>
      <c r="BH592" s="1" t="s">
        <v>71</v>
      </c>
    </row>
    <row r="593" customFormat="false" ht="15" hidden="false" customHeight="false" outlineLevel="0" collapsed="false">
      <c r="A593" s="1" t="s">
        <v>2141</v>
      </c>
      <c r="B593" s="1" t="s">
        <v>2142</v>
      </c>
      <c r="C593" s="1" t="s">
        <v>752</v>
      </c>
      <c r="D593" s="1" t="s">
        <v>2143</v>
      </c>
      <c r="E593" s="1" t="s">
        <v>82</v>
      </c>
      <c r="F593" s="1" t="s">
        <v>391</v>
      </c>
      <c r="G593" s="1" t="s">
        <v>97</v>
      </c>
      <c r="H593" s="1" t="s">
        <v>406</v>
      </c>
      <c r="K593" s="1" t="s">
        <v>2144</v>
      </c>
      <c r="L593" s="1" t="s">
        <v>2145</v>
      </c>
      <c r="M593" s="1" t="s">
        <v>496</v>
      </c>
      <c r="N593" s="1" t="s">
        <v>551</v>
      </c>
      <c r="O593" s="1" t="s">
        <v>447</v>
      </c>
      <c r="P593" s="1"/>
      <c r="Q593" s="1" t="s">
        <v>70</v>
      </c>
      <c r="Z593" s="1" t="s">
        <v>71</v>
      </c>
      <c r="AE593" s="1" t="s">
        <v>2128</v>
      </c>
      <c r="AH593" s="1" t="s">
        <v>73</v>
      </c>
      <c r="AK593" s="1" t="s">
        <v>71</v>
      </c>
      <c r="AM593" s="1" t="s">
        <v>71</v>
      </c>
      <c r="AN593" s="1" t="s">
        <v>71</v>
      </c>
      <c r="AS593" s="1" t="s">
        <v>71</v>
      </c>
      <c r="AX593" s="1" t="s">
        <v>71</v>
      </c>
      <c r="BH593" s="1" t="s">
        <v>71</v>
      </c>
    </row>
    <row r="594" customFormat="false" ht="15" hidden="false" customHeight="false" outlineLevel="0" collapsed="false">
      <c r="A594" s="1" t="s">
        <v>2146</v>
      </c>
      <c r="B594" s="1" t="s">
        <v>2147</v>
      </c>
      <c r="C594" s="1" t="s">
        <v>526</v>
      </c>
      <c r="D594" s="1" t="s">
        <v>527</v>
      </c>
      <c r="E594" s="1" t="s">
        <v>82</v>
      </c>
      <c r="F594" s="1" t="s">
        <v>391</v>
      </c>
      <c r="G594" s="1" t="s">
        <v>213</v>
      </c>
      <c r="H594" s="1" t="s">
        <v>477</v>
      </c>
      <c r="K594" s="1" t="s">
        <v>478</v>
      </c>
      <c r="L594" s="1" t="s">
        <v>479</v>
      </c>
      <c r="M594" s="1" t="s">
        <v>496</v>
      </c>
      <c r="N594" s="1" t="s">
        <v>1805</v>
      </c>
      <c r="O594" s="1" t="s">
        <v>1806</v>
      </c>
      <c r="P594" s="1"/>
      <c r="Q594" s="1" t="s">
        <v>70</v>
      </c>
      <c r="Z594" s="1" t="s">
        <v>71</v>
      </c>
      <c r="AE594" s="1" t="s">
        <v>2128</v>
      </c>
      <c r="AH594" s="1" t="s">
        <v>73</v>
      </c>
      <c r="AK594" s="1" t="s">
        <v>71</v>
      </c>
      <c r="AM594" s="1" t="s">
        <v>71</v>
      </c>
      <c r="AN594" s="1" t="s">
        <v>71</v>
      </c>
      <c r="AS594" s="1" t="s">
        <v>71</v>
      </c>
      <c r="AX594" s="1" t="s">
        <v>71</v>
      </c>
      <c r="BH594" s="1" t="s">
        <v>71</v>
      </c>
    </row>
    <row r="595" customFormat="false" ht="15" hidden="false" customHeight="false" outlineLevel="0" collapsed="false">
      <c r="A595" s="1" t="s">
        <v>2148</v>
      </c>
      <c r="B595" s="1" t="s">
        <v>2149</v>
      </c>
      <c r="C595" s="1" t="s">
        <v>526</v>
      </c>
      <c r="D595" s="1" t="s">
        <v>527</v>
      </c>
      <c r="E595" s="1" t="s">
        <v>82</v>
      </c>
      <c r="F595" s="1" t="s">
        <v>391</v>
      </c>
      <c r="G595" s="1" t="s">
        <v>213</v>
      </c>
      <c r="H595" s="1" t="s">
        <v>477</v>
      </c>
      <c r="K595" s="1" t="s">
        <v>478</v>
      </c>
      <c r="L595" s="1" t="s">
        <v>479</v>
      </c>
      <c r="M595" s="1" t="s">
        <v>496</v>
      </c>
      <c r="N595" s="1" t="s">
        <v>486</v>
      </c>
      <c r="O595" s="1" t="s">
        <v>447</v>
      </c>
      <c r="P595" s="1"/>
      <c r="Q595" s="1" t="s">
        <v>70</v>
      </c>
      <c r="Z595" s="1" t="s">
        <v>71</v>
      </c>
      <c r="AE595" s="1" t="s">
        <v>2128</v>
      </c>
      <c r="AH595" s="1" t="s">
        <v>73</v>
      </c>
      <c r="AK595" s="1" t="s">
        <v>71</v>
      </c>
      <c r="AM595" s="1" t="s">
        <v>71</v>
      </c>
      <c r="AN595" s="1" t="s">
        <v>71</v>
      </c>
      <c r="AS595" s="1" t="s">
        <v>71</v>
      </c>
      <c r="AX595" s="1" t="s">
        <v>71</v>
      </c>
      <c r="BH595" s="1" t="s">
        <v>71</v>
      </c>
    </row>
    <row r="596" customFormat="false" ht="15" hidden="false" customHeight="false" outlineLevel="0" collapsed="false">
      <c r="A596" s="1" t="s">
        <v>2150</v>
      </c>
      <c r="B596" s="1" t="s">
        <v>2151</v>
      </c>
      <c r="C596" s="1" t="s">
        <v>1823</v>
      </c>
      <c r="D596" s="1" t="s">
        <v>1824</v>
      </c>
      <c r="E596" s="1" t="s">
        <v>82</v>
      </c>
      <c r="F596" s="1" t="s">
        <v>391</v>
      </c>
      <c r="G596" s="1" t="s">
        <v>1356</v>
      </c>
      <c r="H596" s="1" t="s">
        <v>1825</v>
      </c>
      <c r="K596" s="1" t="s">
        <v>1826</v>
      </c>
      <c r="L596" s="1" t="s">
        <v>1827</v>
      </c>
      <c r="M596" s="1" t="s">
        <v>496</v>
      </c>
      <c r="N596" s="1" t="s">
        <v>1832</v>
      </c>
      <c r="O596" s="1" t="s">
        <v>400</v>
      </c>
      <c r="P596" s="1"/>
      <c r="Q596" s="1" t="s">
        <v>70</v>
      </c>
      <c r="Z596" s="1" t="s">
        <v>71</v>
      </c>
      <c r="AE596" s="1" t="s">
        <v>2128</v>
      </c>
      <c r="AH596" s="1" t="s">
        <v>73</v>
      </c>
      <c r="AK596" s="1" t="s">
        <v>71</v>
      </c>
      <c r="AM596" s="1" t="s">
        <v>71</v>
      </c>
      <c r="AN596" s="1" t="s">
        <v>71</v>
      </c>
      <c r="AS596" s="1" t="s">
        <v>71</v>
      </c>
      <c r="AX596" s="1" t="s">
        <v>71</v>
      </c>
      <c r="BH596" s="1" t="s">
        <v>71</v>
      </c>
    </row>
    <row r="597" customFormat="false" ht="15" hidden="false" customHeight="false" outlineLevel="0" collapsed="false">
      <c r="A597" s="1" t="s">
        <v>2152</v>
      </c>
      <c r="B597" s="1" t="s">
        <v>2153</v>
      </c>
      <c r="C597" s="1" t="s">
        <v>1823</v>
      </c>
      <c r="D597" s="1" t="s">
        <v>1824</v>
      </c>
      <c r="E597" s="1" t="s">
        <v>82</v>
      </c>
      <c r="F597" s="1" t="s">
        <v>391</v>
      </c>
      <c r="G597" s="1" t="s">
        <v>1356</v>
      </c>
      <c r="H597" s="1" t="s">
        <v>1825</v>
      </c>
      <c r="K597" s="1" t="s">
        <v>1826</v>
      </c>
      <c r="L597" s="1" t="s">
        <v>1827</v>
      </c>
      <c r="M597" s="1" t="s">
        <v>496</v>
      </c>
      <c r="N597" s="1" t="s">
        <v>1832</v>
      </c>
      <c r="O597" s="1" t="s">
        <v>400</v>
      </c>
      <c r="P597" s="1"/>
      <c r="Q597" s="1" t="s">
        <v>70</v>
      </c>
      <c r="Z597" s="1" t="s">
        <v>71</v>
      </c>
      <c r="AE597" s="1" t="s">
        <v>2128</v>
      </c>
      <c r="AH597" s="1" t="s">
        <v>73</v>
      </c>
      <c r="AK597" s="1" t="s">
        <v>71</v>
      </c>
      <c r="AM597" s="1" t="s">
        <v>71</v>
      </c>
      <c r="AN597" s="1" t="s">
        <v>71</v>
      </c>
      <c r="AS597" s="1" t="s">
        <v>71</v>
      </c>
      <c r="AX597" s="1" t="s">
        <v>71</v>
      </c>
      <c r="BH597" s="1" t="s">
        <v>71</v>
      </c>
    </row>
    <row r="598" customFormat="false" ht="15" hidden="false" customHeight="false" outlineLevel="0" collapsed="false">
      <c r="A598" s="1" t="s">
        <v>2154</v>
      </c>
      <c r="B598" s="1" t="s">
        <v>2155</v>
      </c>
      <c r="C598" s="1" t="s">
        <v>368</v>
      </c>
      <c r="D598" s="1" t="s">
        <v>1629</v>
      </c>
      <c r="E598" s="1" t="s">
        <v>82</v>
      </c>
      <c r="F598" s="1" t="s">
        <v>391</v>
      </c>
      <c r="G598" s="1" t="s">
        <v>213</v>
      </c>
      <c r="H598" s="1" t="s">
        <v>477</v>
      </c>
      <c r="K598" s="1" t="s">
        <v>478</v>
      </c>
      <c r="L598" s="1" t="s">
        <v>479</v>
      </c>
      <c r="M598" s="1" t="s">
        <v>496</v>
      </c>
      <c r="N598" s="1" t="s">
        <v>518</v>
      </c>
      <c r="O598" s="1" t="s">
        <v>519</v>
      </c>
      <c r="P598" s="1"/>
      <c r="Q598" s="1" t="s">
        <v>70</v>
      </c>
      <c r="Z598" s="1" t="s">
        <v>71</v>
      </c>
      <c r="AE598" s="1" t="s">
        <v>2156</v>
      </c>
      <c r="AH598" s="1" t="s">
        <v>73</v>
      </c>
      <c r="AK598" s="1" t="s">
        <v>71</v>
      </c>
      <c r="AM598" s="1" t="s">
        <v>71</v>
      </c>
      <c r="AN598" s="1" t="s">
        <v>71</v>
      </c>
      <c r="AS598" s="1" t="s">
        <v>71</v>
      </c>
      <c r="AX598" s="1" t="s">
        <v>71</v>
      </c>
      <c r="BH598" s="1" t="s">
        <v>71</v>
      </c>
    </row>
    <row r="599" customFormat="false" ht="15" hidden="false" customHeight="false" outlineLevel="0" collapsed="false">
      <c r="A599" s="1" t="s">
        <v>2157</v>
      </c>
      <c r="B599" s="1" t="s">
        <v>2158</v>
      </c>
      <c r="C599" s="1" t="s">
        <v>720</v>
      </c>
      <c r="D599" s="1" t="s">
        <v>2159</v>
      </c>
      <c r="E599" s="1" t="s">
        <v>82</v>
      </c>
      <c r="F599" s="1" t="s">
        <v>391</v>
      </c>
      <c r="G599" s="1" t="s">
        <v>443</v>
      </c>
      <c r="H599" s="1" t="s">
        <v>444</v>
      </c>
      <c r="K599" s="1" t="s">
        <v>618</v>
      </c>
      <c r="L599" s="1" t="s">
        <v>619</v>
      </c>
      <c r="M599" s="1" t="s">
        <v>496</v>
      </c>
      <c r="N599" s="1" t="s">
        <v>2160</v>
      </c>
      <c r="O599" s="1" t="s">
        <v>2161</v>
      </c>
      <c r="P599" s="1"/>
      <c r="Q599" s="1" t="s">
        <v>70</v>
      </c>
      <c r="Z599" s="1" t="s">
        <v>71</v>
      </c>
      <c r="AE599" s="1" t="s">
        <v>2156</v>
      </c>
      <c r="AH599" s="1" t="s">
        <v>73</v>
      </c>
      <c r="AK599" s="1" t="s">
        <v>71</v>
      </c>
      <c r="AM599" s="1" t="s">
        <v>71</v>
      </c>
      <c r="AN599" s="1" t="s">
        <v>71</v>
      </c>
      <c r="AS599" s="1" t="s">
        <v>71</v>
      </c>
      <c r="AX599" s="1" t="s">
        <v>71</v>
      </c>
      <c r="BH599" s="1" t="s">
        <v>71</v>
      </c>
    </row>
    <row r="600" customFormat="false" ht="15" hidden="false" customHeight="false" outlineLevel="0" collapsed="false">
      <c r="A600" s="1" t="s">
        <v>2162</v>
      </c>
      <c r="B600" s="1" t="s">
        <v>2163</v>
      </c>
      <c r="C600" s="1" t="s">
        <v>746</v>
      </c>
      <c r="D600" s="1" t="s">
        <v>1106</v>
      </c>
      <c r="E600" s="1" t="s">
        <v>82</v>
      </c>
      <c r="F600" s="1" t="s">
        <v>391</v>
      </c>
      <c r="G600" s="1" t="s">
        <v>97</v>
      </c>
      <c r="H600" s="1" t="s">
        <v>406</v>
      </c>
      <c r="K600" s="1" t="s">
        <v>65</v>
      </c>
      <c r="L600" s="1" t="s">
        <v>860</v>
      </c>
      <c r="M600" s="1" t="s">
        <v>2164</v>
      </c>
      <c r="N600" s="1" t="s">
        <v>2165</v>
      </c>
      <c r="O600" s="1" t="s">
        <v>2166</v>
      </c>
      <c r="P600" s="1"/>
      <c r="Q600" s="1" t="s">
        <v>70</v>
      </c>
      <c r="Z600" s="1" t="s">
        <v>71</v>
      </c>
      <c r="AE600" s="1" t="s">
        <v>2156</v>
      </c>
      <c r="AH600" s="1" t="s">
        <v>73</v>
      </c>
      <c r="AK600" s="1" t="s">
        <v>71</v>
      </c>
      <c r="AM600" s="1" t="s">
        <v>71</v>
      </c>
      <c r="AN600" s="1" t="s">
        <v>71</v>
      </c>
      <c r="AS600" s="1" t="s">
        <v>71</v>
      </c>
      <c r="AX600" s="1" t="s">
        <v>71</v>
      </c>
      <c r="BH600" s="1" t="s">
        <v>71</v>
      </c>
    </row>
    <row r="601" customFormat="false" ht="15" hidden="false" customHeight="false" outlineLevel="0" collapsed="false">
      <c r="A601" s="1" t="s">
        <v>2167</v>
      </c>
      <c r="B601" s="1" t="s">
        <v>2168</v>
      </c>
      <c r="C601" s="1" t="s">
        <v>368</v>
      </c>
      <c r="D601" s="1" t="s">
        <v>1629</v>
      </c>
      <c r="E601" s="1" t="s">
        <v>82</v>
      </c>
      <c r="F601" s="1" t="s">
        <v>391</v>
      </c>
      <c r="G601" s="1" t="s">
        <v>213</v>
      </c>
      <c r="H601" s="1" t="s">
        <v>477</v>
      </c>
      <c r="K601" s="1" t="s">
        <v>478</v>
      </c>
      <c r="L601" s="1" t="s">
        <v>479</v>
      </c>
      <c r="M601" s="1" t="s">
        <v>496</v>
      </c>
      <c r="N601" s="1" t="s">
        <v>2169</v>
      </c>
      <c r="O601" s="1" t="s">
        <v>2170</v>
      </c>
      <c r="P601" s="1"/>
      <c r="Q601" s="1" t="s">
        <v>70</v>
      </c>
      <c r="Z601" s="1" t="s">
        <v>71</v>
      </c>
      <c r="AE601" s="1" t="s">
        <v>2156</v>
      </c>
      <c r="AH601" s="1" t="s">
        <v>73</v>
      </c>
      <c r="AK601" s="1" t="s">
        <v>71</v>
      </c>
      <c r="AM601" s="1" t="s">
        <v>71</v>
      </c>
      <c r="AN601" s="1" t="s">
        <v>71</v>
      </c>
      <c r="AS601" s="1" t="s">
        <v>71</v>
      </c>
      <c r="AX601" s="1" t="s">
        <v>71</v>
      </c>
      <c r="BH601" s="1" t="s">
        <v>71</v>
      </c>
    </row>
    <row r="602" customFormat="false" ht="15" hidden="false" customHeight="false" outlineLevel="0" collapsed="false">
      <c r="A602" s="1" t="s">
        <v>2171</v>
      </c>
      <c r="B602" s="1" t="s">
        <v>2172</v>
      </c>
      <c r="C602" s="1" t="s">
        <v>368</v>
      </c>
      <c r="D602" s="1" t="s">
        <v>1629</v>
      </c>
      <c r="E602" s="1" t="s">
        <v>82</v>
      </c>
      <c r="F602" s="1" t="s">
        <v>391</v>
      </c>
      <c r="G602" s="1" t="s">
        <v>213</v>
      </c>
      <c r="H602" s="1" t="s">
        <v>477</v>
      </c>
      <c r="K602" s="1" t="s">
        <v>478</v>
      </c>
      <c r="L602" s="1" t="s">
        <v>479</v>
      </c>
      <c r="M602" s="1" t="s">
        <v>496</v>
      </c>
      <c r="N602" s="1" t="s">
        <v>483</v>
      </c>
      <c r="O602" s="1" t="s">
        <v>400</v>
      </c>
      <c r="P602" s="1"/>
      <c r="Q602" s="1" t="s">
        <v>70</v>
      </c>
      <c r="Z602" s="1" t="s">
        <v>71</v>
      </c>
      <c r="AE602" s="1" t="s">
        <v>2156</v>
      </c>
      <c r="AH602" s="1" t="s">
        <v>73</v>
      </c>
      <c r="AK602" s="1" t="s">
        <v>71</v>
      </c>
      <c r="AM602" s="1" t="s">
        <v>71</v>
      </c>
      <c r="AN602" s="1" t="s">
        <v>71</v>
      </c>
      <c r="AS602" s="1" t="s">
        <v>71</v>
      </c>
      <c r="AX602" s="1" t="s">
        <v>71</v>
      </c>
      <c r="BH602" s="1" t="s">
        <v>71</v>
      </c>
    </row>
    <row r="603" customFormat="false" ht="15" hidden="false" customHeight="false" outlineLevel="0" collapsed="false">
      <c r="A603" s="1" t="s">
        <v>2173</v>
      </c>
      <c r="B603" s="1" t="s">
        <v>2174</v>
      </c>
      <c r="C603" s="1" t="s">
        <v>368</v>
      </c>
      <c r="D603" s="1" t="s">
        <v>1629</v>
      </c>
      <c r="E603" s="1" t="s">
        <v>82</v>
      </c>
      <c r="F603" s="1" t="s">
        <v>391</v>
      </c>
      <c r="G603" s="1" t="s">
        <v>213</v>
      </c>
      <c r="H603" s="1" t="s">
        <v>477</v>
      </c>
      <c r="K603" s="1" t="s">
        <v>478</v>
      </c>
      <c r="L603" s="1" t="s">
        <v>479</v>
      </c>
      <c r="M603" s="1" t="s">
        <v>496</v>
      </c>
      <c r="N603" s="1" t="s">
        <v>672</v>
      </c>
      <c r="O603" s="1" t="s">
        <v>673</v>
      </c>
      <c r="P603" s="1"/>
      <c r="Q603" s="1" t="s">
        <v>70</v>
      </c>
      <c r="Z603" s="1" t="s">
        <v>71</v>
      </c>
      <c r="AE603" s="1" t="s">
        <v>2156</v>
      </c>
      <c r="AH603" s="1" t="s">
        <v>73</v>
      </c>
      <c r="AK603" s="1" t="s">
        <v>71</v>
      </c>
      <c r="AM603" s="1" t="s">
        <v>71</v>
      </c>
      <c r="AN603" s="1" t="s">
        <v>71</v>
      </c>
      <c r="AS603" s="1" t="s">
        <v>71</v>
      </c>
      <c r="AX603" s="1" t="s">
        <v>71</v>
      </c>
      <c r="BH603" s="1" t="s">
        <v>71</v>
      </c>
    </row>
    <row r="604" customFormat="false" ht="15" hidden="false" customHeight="false" outlineLevel="0" collapsed="false">
      <c r="A604" s="1" t="s">
        <v>2175</v>
      </c>
      <c r="B604" s="1" t="s">
        <v>2176</v>
      </c>
      <c r="C604" s="1" t="s">
        <v>368</v>
      </c>
      <c r="D604" s="1" t="s">
        <v>1629</v>
      </c>
      <c r="E604" s="1" t="s">
        <v>82</v>
      </c>
      <c r="F604" s="1" t="s">
        <v>391</v>
      </c>
      <c r="G604" s="1" t="s">
        <v>213</v>
      </c>
      <c r="H604" s="1" t="s">
        <v>477</v>
      </c>
      <c r="K604" s="1" t="s">
        <v>478</v>
      </c>
      <c r="L604" s="1" t="s">
        <v>479</v>
      </c>
      <c r="M604" s="1" t="s">
        <v>496</v>
      </c>
      <c r="N604" s="1" t="s">
        <v>536</v>
      </c>
      <c r="O604" s="1" t="s">
        <v>537</v>
      </c>
      <c r="P604" s="1"/>
      <c r="Q604" s="1" t="s">
        <v>70</v>
      </c>
      <c r="Z604" s="1" t="s">
        <v>71</v>
      </c>
      <c r="AE604" s="1" t="s">
        <v>2156</v>
      </c>
      <c r="AH604" s="1" t="s">
        <v>73</v>
      </c>
      <c r="AK604" s="1" t="s">
        <v>71</v>
      </c>
      <c r="AM604" s="1" t="s">
        <v>71</v>
      </c>
      <c r="AN604" s="1" t="s">
        <v>71</v>
      </c>
      <c r="AS604" s="1" t="s">
        <v>71</v>
      </c>
      <c r="AX604" s="1" t="s">
        <v>71</v>
      </c>
      <c r="BH604" s="1" t="s">
        <v>71</v>
      </c>
    </row>
    <row r="605" customFormat="false" ht="15" hidden="false" customHeight="false" outlineLevel="0" collapsed="false">
      <c r="A605" s="1" t="s">
        <v>2177</v>
      </c>
      <c r="B605" s="1" t="s">
        <v>2178</v>
      </c>
      <c r="C605" s="1" t="s">
        <v>368</v>
      </c>
      <c r="D605" s="1" t="s">
        <v>1629</v>
      </c>
      <c r="E605" s="1" t="s">
        <v>82</v>
      </c>
      <c r="F605" s="1" t="s">
        <v>391</v>
      </c>
      <c r="G605" s="1" t="s">
        <v>213</v>
      </c>
      <c r="H605" s="1" t="s">
        <v>477</v>
      </c>
      <c r="K605" s="1" t="s">
        <v>478</v>
      </c>
      <c r="L605" s="1" t="s">
        <v>479</v>
      </c>
      <c r="M605" s="1" t="s">
        <v>496</v>
      </c>
      <c r="N605" s="1" t="s">
        <v>905</v>
      </c>
      <c r="O605" s="1" t="s">
        <v>906</v>
      </c>
      <c r="P605" s="1"/>
      <c r="Q605" s="1" t="s">
        <v>70</v>
      </c>
      <c r="Z605" s="1" t="s">
        <v>71</v>
      </c>
      <c r="AE605" s="1" t="s">
        <v>2156</v>
      </c>
      <c r="AH605" s="1" t="s">
        <v>73</v>
      </c>
      <c r="AK605" s="1" t="s">
        <v>71</v>
      </c>
      <c r="AM605" s="1" t="s">
        <v>71</v>
      </c>
      <c r="AN605" s="1" t="s">
        <v>71</v>
      </c>
      <c r="AS605" s="1" t="s">
        <v>71</v>
      </c>
      <c r="AX605" s="1" t="s">
        <v>71</v>
      </c>
      <c r="BH605" s="1" t="s">
        <v>71</v>
      </c>
    </row>
    <row r="606" customFormat="false" ht="15" hidden="false" customHeight="false" outlineLevel="0" collapsed="false">
      <c r="A606" s="1" t="s">
        <v>2179</v>
      </c>
      <c r="B606" s="1" t="s">
        <v>2180</v>
      </c>
      <c r="C606" s="1" t="s">
        <v>368</v>
      </c>
      <c r="D606" s="1" t="s">
        <v>1629</v>
      </c>
      <c r="E606" s="1" t="s">
        <v>82</v>
      </c>
      <c r="F606" s="1" t="s">
        <v>391</v>
      </c>
      <c r="G606" s="1" t="s">
        <v>213</v>
      </c>
      <c r="H606" s="1" t="s">
        <v>477</v>
      </c>
      <c r="K606" s="1" t="s">
        <v>478</v>
      </c>
      <c r="L606" s="1" t="s">
        <v>479</v>
      </c>
      <c r="M606" s="1" t="s">
        <v>496</v>
      </c>
      <c r="N606" s="1" t="s">
        <v>466</v>
      </c>
      <c r="O606" s="1" t="s">
        <v>467</v>
      </c>
      <c r="P606" s="1"/>
      <c r="Q606" s="1" t="s">
        <v>70</v>
      </c>
      <c r="Z606" s="1" t="s">
        <v>71</v>
      </c>
      <c r="AE606" s="1" t="s">
        <v>2156</v>
      </c>
      <c r="AH606" s="1" t="s">
        <v>73</v>
      </c>
      <c r="AK606" s="1" t="s">
        <v>71</v>
      </c>
      <c r="AM606" s="1" t="s">
        <v>71</v>
      </c>
      <c r="AN606" s="1" t="s">
        <v>71</v>
      </c>
      <c r="AS606" s="1" t="s">
        <v>71</v>
      </c>
      <c r="AX606" s="1" t="s">
        <v>71</v>
      </c>
      <c r="BH606" s="1" t="s">
        <v>71</v>
      </c>
    </row>
    <row r="607" customFormat="false" ht="15" hidden="false" customHeight="false" outlineLevel="0" collapsed="false">
      <c r="A607" s="1" t="s">
        <v>2181</v>
      </c>
      <c r="B607" s="1" t="s">
        <v>2182</v>
      </c>
      <c r="C607" s="1" t="s">
        <v>368</v>
      </c>
      <c r="D607" s="1" t="s">
        <v>1629</v>
      </c>
      <c r="E607" s="1" t="s">
        <v>82</v>
      </c>
      <c r="F607" s="1" t="s">
        <v>391</v>
      </c>
      <c r="G607" s="1" t="s">
        <v>213</v>
      </c>
      <c r="H607" s="1" t="s">
        <v>477</v>
      </c>
      <c r="K607" s="1" t="s">
        <v>478</v>
      </c>
      <c r="L607" s="1" t="s">
        <v>479</v>
      </c>
      <c r="M607" s="1" t="s">
        <v>496</v>
      </c>
      <c r="N607" s="1" t="s">
        <v>486</v>
      </c>
      <c r="O607" s="1" t="s">
        <v>447</v>
      </c>
      <c r="P607" s="1"/>
      <c r="Q607" s="1" t="s">
        <v>70</v>
      </c>
      <c r="Z607" s="1" t="s">
        <v>71</v>
      </c>
      <c r="AE607" s="1" t="s">
        <v>2156</v>
      </c>
      <c r="AH607" s="1" t="s">
        <v>73</v>
      </c>
      <c r="AK607" s="1" t="s">
        <v>71</v>
      </c>
      <c r="AM607" s="1" t="s">
        <v>71</v>
      </c>
      <c r="AN607" s="1" t="s">
        <v>71</v>
      </c>
      <c r="AS607" s="1" t="s">
        <v>71</v>
      </c>
      <c r="AX607" s="1" t="s">
        <v>71</v>
      </c>
      <c r="BH607" s="1" t="s">
        <v>71</v>
      </c>
    </row>
    <row r="608" customFormat="false" ht="15" hidden="false" customHeight="false" outlineLevel="0" collapsed="false">
      <c r="A608" s="1" t="s">
        <v>2183</v>
      </c>
      <c r="B608" s="1" t="s">
        <v>2184</v>
      </c>
      <c r="C608" s="1" t="s">
        <v>368</v>
      </c>
      <c r="D608" s="1" t="s">
        <v>1629</v>
      </c>
      <c r="E608" s="1" t="s">
        <v>82</v>
      </c>
      <c r="F608" s="1" t="s">
        <v>391</v>
      </c>
      <c r="G608" s="1" t="s">
        <v>213</v>
      </c>
      <c r="H608" s="1" t="s">
        <v>477</v>
      </c>
      <c r="K608" s="1" t="s">
        <v>478</v>
      </c>
      <c r="L608" s="1" t="s">
        <v>479</v>
      </c>
      <c r="M608" s="1" t="s">
        <v>496</v>
      </c>
      <c r="N608" s="1" t="s">
        <v>672</v>
      </c>
      <c r="O608" s="1" t="s">
        <v>673</v>
      </c>
      <c r="P608" s="1"/>
      <c r="Q608" s="1" t="s">
        <v>70</v>
      </c>
      <c r="Z608" s="1" t="s">
        <v>71</v>
      </c>
      <c r="AE608" s="1" t="s">
        <v>2156</v>
      </c>
      <c r="AH608" s="1" t="s">
        <v>73</v>
      </c>
      <c r="AK608" s="1" t="s">
        <v>71</v>
      </c>
      <c r="AM608" s="1" t="s">
        <v>71</v>
      </c>
      <c r="AN608" s="1" t="s">
        <v>71</v>
      </c>
      <c r="AS608" s="1" t="s">
        <v>71</v>
      </c>
      <c r="AX608" s="1" t="s">
        <v>71</v>
      </c>
      <c r="BH608" s="1" t="s">
        <v>71</v>
      </c>
    </row>
    <row r="609" customFormat="false" ht="15" hidden="false" customHeight="false" outlineLevel="0" collapsed="false">
      <c r="A609" s="1" t="s">
        <v>2185</v>
      </c>
      <c r="B609" s="1" t="s">
        <v>2186</v>
      </c>
      <c r="C609" s="1" t="s">
        <v>353</v>
      </c>
      <c r="D609" s="1" t="s">
        <v>1771</v>
      </c>
      <c r="E609" s="1" t="s">
        <v>82</v>
      </c>
      <c r="F609" s="1" t="s">
        <v>391</v>
      </c>
      <c r="G609" s="1" t="s">
        <v>213</v>
      </c>
      <c r="H609" s="1" t="s">
        <v>477</v>
      </c>
      <c r="K609" s="1" t="s">
        <v>1772</v>
      </c>
      <c r="L609" s="1" t="s">
        <v>1773</v>
      </c>
      <c r="M609" s="1" t="s">
        <v>692</v>
      </c>
      <c r="N609" s="1" t="s">
        <v>536</v>
      </c>
      <c r="O609" s="1" t="s">
        <v>537</v>
      </c>
      <c r="P609" s="1"/>
      <c r="Q609" s="1" t="s">
        <v>70</v>
      </c>
      <c r="Z609" s="1" t="s">
        <v>71</v>
      </c>
      <c r="AE609" s="1" t="s">
        <v>2156</v>
      </c>
      <c r="AH609" s="1" t="s">
        <v>73</v>
      </c>
      <c r="AK609" s="1" t="s">
        <v>71</v>
      </c>
      <c r="AM609" s="1" t="s">
        <v>71</v>
      </c>
      <c r="AN609" s="1" t="s">
        <v>71</v>
      </c>
      <c r="AS609" s="1" t="s">
        <v>71</v>
      </c>
      <c r="AX609" s="1" t="s">
        <v>71</v>
      </c>
      <c r="BH609" s="1" t="s">
        <v>71</v>
      </c>
    </row>
    <row r="610" customFormat="false" ht="15" hidden="false" customHeight="false" outlineLevel="0" collapsed="false">
      <c r="A610" s="1" t="s">
        <v>2187</v>
      </c>
      <c r="B610" s="1" t="s">
        <v>2188</v>
      </c>
      <c r="C610" s="1" t="s">
        <v>662</v>
      </c>
      <c r="D610" s="1" t="s">
        <v>2189</v>
      </c>
      <c r="E610" s="1" t="s">
        <v>82</v>
      </c>
      <c r="F610" s="1" t="s">
        <v>391</v>
      </c>
      <c r="G610" s="1" t="s">
        <v>443</v>
      </c>
      <c r="H610" s="1" t="s">
        <v>444</v>
      </c>
      <c r="K610" s="1" t="s">
        <v>2190</v>
      </c>
      <c r="L610" s="1" t="s">
        <v>2191</v>
      </c>
      <c r="M610" s="1" t="s">
        <v>465</v>
      </c>
      <c r="N610" s="1" t="s">
        <v>2192</v>
      </c>
      <c r="O610" s="1" t="s">
        <v>447</v>
      </c>
      <c r="P610" s="1"/>
      <c r="Q610" s="1" t="s">
        <v>70</v>
      </c>
      <c r="Z610" s="1" t="s">
        <v>71</v>
      </c>
      <c r="AE610" s="1" t="s">
        <v>2156</v>
      </c>
      <c r="AH610" s="1" t="s">
        <v>73</v>
      </c>
      <c r="AK610" s="1" t="s">
        <v>71</v>
      </c>
      <c r="AM610" s="1" t="s">
        <v>71</v>
      </c>
      <c r="AN610" s="1" t="s">
        <v>71</v>
      </c>
      <c r="AS610" s="1" t="s">
        <v>71</v>
      </c>
      <c r="AX610" s="1" t="s">
        <v>71</v>
      </c>
      <c r="BH610" s="1" t="s">
        <v>71</v>
      </c>
    </row>
    <row r="611" customFormat="false" ht="15" hidden="false" customHeight="false" outlineLevel="0" collapsed="false">
      <c r="A611" s="1" t="s">
        <v>2193</v>
      </c>
      <c r="B611" s="1" t="s">
        <v>2194</v>
      </c>
      <c r="C611" s="1" t="s">
        <v>670</v>
      </c>
      <c r="D611" s="1" t="s">
        <v>2195</v>
      </c>
      <c r="E611" s="1" t="s">
        <v>82</v>
      </c>
      <c r="F611" s="1" t="s">
        <v>391</v>
      </c>
      <c r="G611" s="1" t="s">
        <v>443</v>
      </c>
      <c r="H611" s="1" t="s">
        <v>444</v>
      </c>
      <c r="K611" s="1" t="s">
        <v>2196</v>
      </c>
      <c r="L611" s="1" t="s">
        <v>2197</v>
      </c>
      <c r="M611" s="1" t="s">
        <v>806</v>
      </c>
      <c r="N611" s="1" t="s">
        <v>2198</v>
      </c>
      <c r="O611" s="1" t="s">
        <v>2199</v>
      </c>
      <c r="P611" s="1"/>
      <c r="Q611" s="1" t="s">
        <v>70</v>
      </c>
      <c r="Z611" s="1" t="s">
        <v>71</v>
      </c>
      <c r="AE611" s="1" t="s">
        <v>2156</v>
      </c>
      <c r="AH611" s="1" t="s">
        <v>73</v>
      </c>
      <c r="AK611" s="1" t="s">
        <v>71</v>
      </c>
      <c r="AM611" s="1" t="s">
        <v>71</v>
      </c>
      <c r="AN611" s="1" t="s">
        <v>71</v>
      </c>
      <c r="AS611" s="1" t="s">
        <v>71</v>
      </c>
      <c r="AX611" s="1" t="s">
        <v>71</v>
      </c>
      <c r="BH611" s="1" t="s">
        <v>71</v>
      </c>
    </row>
    <row r="612" customFormat="false" ht="15" hidden="false" customHeight="false" outlineLevel="0" collapsed="false">
      <c r="A612" s="1" t="s">
        <v>2200</v>
      </c>
      <c r="B612" s="1" t="s">
        <v>2201</v>
      </c>
      <c r="C612" s="1" t="s">
        <v>670</v>
      </c>
      <c r="D612" s="1" t="s">
        <v>2195</v>
      </c>
      <c r="E612" s="1" t="s">
        <v>82</v>
      </c>
      <c r="F612" s="1" t="s">
        <v>391</v>
      </c>
      <c r="G612" s="1" t="s">
        <v>443</v>
      </c>
      <c r="H612" s="1" t="s">
        <v>444</v>
      </c>
      <c r="K612" s="1" t="s">
        <v>271</v>
      </c>
      <c r="L612" s="1" t="s">
        <v>2202</v>
      </c>
      <c r="M612" s="1" t="s">
        <v>2020</v>
      </c>
      <c r="N612" s="1" t="s">
        <v>2203</v>
      </c>
      <c r="O612" s="1" t="s">
        <v>2204</v>
      </c>
      <c r="P612" s="1"/>
      <c r="Q612" s="1" t="s">
        <v>70</v>
      </c>
      <c r="Z612" s="1" t="s">
        <v>71</v>
      </c>
      <c r="AE612" s="1" t="s">
        <v>2156</v>
      </c>
      <c r="AH612" s="1" t="s">
        <v>73</v>
      </c>
      <c r="AK612" s="1" t="s">
        <v>71</v>
      </c>
      <c r="AM612" s="1" t="s">
        <v>71</v>
      </c>
      <c r="AN612" s="1" t="s">
        <v>71</v>
      </c>
      <c r="AS612" s="1" t="s">
        <v>71</v>
      </c>
      <c r="AX612" s="1" t="s">
        <v>71</v>
      </c>
      <c r="BH612" s="1" t="s">
        <v>71</v>
      </c>
    </row>
    <row r="613" customFormat="false" ht="15" hidden="false" customHeight="false" outlineLevel="0" collapsed="false">
      <c r="A613" s="1" t="s">
        <v>2205</v>
      </c>
      <c r="B613" s="1" t="s">
        <v>2206</v>
      </c>
      <c r="C613" s="1" t="s">
        <v>288</v>
      </c>
      <c r="D613" s="1" t="s">
        <v>289</v>
      </c>
      <c r="E613" s="1" t="s">
        <v>61</v>
      </c>
      <c r="F613" s="1" t="s">
        <v>101</v>
      </c>
      <c r="G613" s="1" t="s">
        <v>93</v>
      </c>
      <c r="H613" s="1" t="s">
        <v>64</v>
      </c>
      <c r="K613" s="1" t="s">
        <v>217</v>
      </c>
      <c r="L613" s="1" t="s">
        <v>218</v>
      </c>
      <c r="M613" s="1" t="s">
        <v>104</v>
      </c>
      <c r="N613" s="1" t="s">
        <v>123</v>
      </c>
      <c r="O613" s="1" t="s">
        <v>124</v>
      </c>
      <c r="P613" s="1"/>
      <c r="Q613" s="1" t="s">
        <v>70</v>
      </c>
      <c r="U613" s="1" t="s">
        <v>2205</v>
      </c>
      <c r="Z613" s="1" t="s">
        <v>71</v>
      </c>
      <c r="AE613" s="1" t="s">
        <v>2156</v>
      </c>
      <c r="AH613" s="1" t="s">
        <v>73</v>
      </c>
      <c r="AK613" s="1" t="s">
        <v>71</v>
      </c>
      <c r="AM613" s="1" t="s">
        <v>71</v>
      </c>
      <c r="AN613" s="1" t="s">
        <v>71</v>
      </c>
      <c r="AS613" s="1" t="s">
        <v>71</v>
      </c>
      <c r="AX613" s="1" t="s">
        <v>71</v>
      </c>
      <c r="AY613" s="1" t="s">
        <v>59</v>
      </c>
      <c r="AZ613" s="1" t="s">
        <v>74</v>
      </c>
      <c r="BH613" s="1" t="s">
        <v>71</v>
      </c>
    </row>
    <row r="614" customFormat="false" ht="15" hidden="false" customHeight="false" outlineLevel="0" collapsed="false">
      <c r="A614" s="1" t="s">
        <v>2207</v>
      </c>
      <c r="B614" s="1" t="s">
        <v>2208</v>
      </c>
      <c r="C614" s="1" t="s">
        <v>389</v>
      </c>
      <c r="D614" s="1" t="s">
        <v>390</v>
      </c>
      <c r="E614" s="1" t="s">
        <v>82</v>
      </c>
      <c r="F614" s="1" t="s">
        <v>391</v>
      </c>
      <c r="G614" s="1" t="s">
        <v>182</v>
      </c>
      <c r="H614" s="1" t="s">
        <v>392</v>
      </c>
      <c r="K614" s="1" t="s">
        <v>65</v>
      </c>
      <c r="L614" s="1" t="s">
        <v>517</v>
      </c>
      <c r="M614" s="1" t="s">
        <v>2020</v>
      </c>
      <c r="N614" s="1" t="s">
        <v>1133</v>
      </c>
      <c r="O614" s="1" t="s">
        <v>1134</v>
      </c>
      <c r="P614" s="1"/>
      <c r="Q614" s="1" t="s">
        <v>70</v>
      </c>
      <c r="Z614" s="1" t="s">
        <v>71</v>
      </c>
      <c r="AE614" s="1" t="s">
        <v>2209</v>
      </c>
      <c r="AH614" s="1" t="s">
        <v>73</v>
      </c>
      <c r="AK614" s="1" t="s">
        <v>71</v>
      </c>
      <c r="AM614" s="1" t="s">
        <v>71</v>
      </c>
      <c r="AN614" s="1" t="s">
        <v>71</v>
      </c>
      <c r="AS614" s="1" t="s">
        <v>71</v>
      </c>
      <c r="AX614" s="1" t="s">
        <v>71</v>
      </c>
      <c r="BH614" s="1" t="s">
        <v>71</v>
      </c>
    </row>
    <row r="615" customFormat="false" ht="15" hidden="false" customHeight="false" outlineLevel="0" collapsed="false">
      <c r="A615" s="1" t="s">
        <v>2210</v>
      </c>
      <c r="B615" s="1" t="s">
        <v>2211</v>
      </c>
      <c r="C615" s="1" t="s">
        <v>524</v>
      </c>
      <c r="D615" s="1" t="s">
        <v>841</v>
      </c>
      <c r="E615" s="1" t="s">
        <v>82</v>
      </c>
      <c r="F615" s="1" t="s">
        <v>391</v>
      </c>
      <c r="G615" s="1" t="s">
        <v>443</v>
      </c>
      <c r="H615" s="1" t="s">
        <v>444</v>
      </c>
      <c r="K615" s="1" t="s">
        <v>61</v>
      </c>
      <c r="L615" s="1" t="s">
        <v>445</v>
      </c>
      <c r="M615" s="1" t="s">
        <v>496</v>
      </c>
      <c r="N615" s="1" t="s">
        <v>842</v>
      </c>
      <c r="O615" s="1" t="s">
        <v>400</v>
      </c>
      <c r="P615" s="1"/>
      <c r="Q615" s="1" t="s">
        <v>70</v>
      </c>
      <c r="Z615" s="1" t="s">
        <v>71</v>
      </c>
      <c r="AE615" s="1" t="s">
        <v>2209</v>
      </c>
      <c r="AH615" s="1" t="s">
        <v>73</v>
      </c>
      <c r="AK615" s="1" t="s">
        <v>71</v>
      </c>
      <c r="AM615" s="1" t="s">
        <v>71</v>
      </c>
      <c r="AN615" s="1" t="s">
        <v>71</v>
      </c>
      <c r="AS615" s="1" t="s">
        <v>71</v>
      </c>
      <c r="AX615" s="1" t="s">
        <v>71</v>
      </c>
      <c r="BH615" s="1" t="s">
        <v>71</v>
      </c>
    </row>
    <row r="616" customFormat="false" ht="15" hidden="false" customHeight="false" outlineLevel="0" collapsed="false">
      <c r="A616" s="1" t="s">
        <v>2212</v>
      </c>
      <c r="B616" s="1" t="s">
        <v>2213</v>
      </c>
      <c r="C616" s="1" t="s">
        <v>524</v>
      </c>
      <c r="D616" s="1" t="s">
        <v>841</v>
      </c>
      <c r="E616" s="1" t="s">
        <v>82</v>
      </c>
      <c r="F616" s="1" t="s">
        <v>391</v>
      </c>
      <c r="G616" s="1" t="s">
        <v>443</v>
      </c>
      <c r="H616" s="1" t="s">
        <v>444</v>
      </c>
      <c r="K616" s="1" t="s">
        <v>2214</v>
      </c>
      <c r="L616" s="1" t="s">
        <v>2215</v>
      </c>
      <c r="M616" s="1" t="s">
        <v>496</v>
      </c>
      <c r="N616" s="1" t="s">
        <v>842</v>
      </c>
      <c r="O616" s="1" t="s">
        <v>400</v>
      </c>
      <c r="P616" s="1"/>
      <c r="Q616" s="1" t="s">
        <v>70</v>
      </c>
      <c r="Z616" s="1" t="s">
        <v>71</v>
      </c>
      <c r="AE616" s="1" t="s">
        <v>2209</v>
      </c>
      <c r="AH616" s="1" t="s">
        <v>73</v>
      </c>
      <c r="AK616" s="1" t="s">
        <v>71</v>
      </c>
      <c r="AM616" s="1" t="s">
        <v>71</v>
      </c>
      <c r="AN616" s="1" t="s">
        <v>71</v>
      </c>
      <c r="AS616" s="1" t="s">
        <v>71</v>
      </c>
      <c r="AX616" s="1" t="s">
        <v>71</v>
      </c>
      <c r="BH616" s="1" t="s">
        <v>71</v>
      </c>
    </row>
    <row r="617" customFormat="false" ht="15" hidden="false" customHeight="false" outlineLevel="0" collapsed="false">
      <c r="A617" s="1" t="s">
        <v>2216</v>
      </c>
      <c r="B617" s="1" t="s">
        <v>2217</v>
      </c>
      <c r="C617" s="1" t="s">
        <v>676</v>
      </c>
      <c r="D617" s="1" t="s">
        <v>2218</v>
      </c>
      <c r="E617" s="1" t="s">
        <v>82</v>
      </c>
      <c r="F617" s="1" t="s">
        <v>391</v>
      </c>
      <c r="G617" s="1" t="s">
        <v>443</v>
      </c>
      <c r="H617" s="1" t="s">
        <v>444</v>
      </c>
      <c r="K617" s="1" t="s">
        <v>2219</v>
      </c>
      <c r="L617" s="1" t="s">
        <v>2220</v>
      </c>
      <c r="M617" s="1" t="s">
        <v>496</v>
      </c>
      <c r="N617" s="1" t="s">
        <v>2221</v>
      </c>
      <c r="O617" s="1" t="s">
        <v>2222</v>
      </c>
      <c r="P617" s="1"/>
      <c r="Q617" s="1" t="s">
        <v>70</v>
      </c>
      <c r="Z617" s="1" t="s">
        <v>71</v>
      </c>
      <c r="AE617" s="1" t="s">
        <v>2209</v>
      </c>
      <c r="AH617" s="1" t="s">
        <v>73</v>
      </c>
      <c r="AK617" s="1" t="s">
        <v>71</v>
      </c>
      <c r="AM617" s="1" t="s">
        <v>71</v>
      </c>
      <c r="AN617" s="1" t="s">
        <v>71</v>
      </c>
      <c r="AS617" s="1" t="s">
        <v>71</v>
      </c>
      <c r="AX617" s="1" t="s">
        <v>71</v>
      </c>
      <c r="BH617" s="1" t="s">
        <v>71</v>
      </c>
    </row>
    <row r="618" customFormat="false" ht="15" hidden="false" customHeight="false" outlineLevel="0" collapsed="false">
      <c r="A618" s="1" t="s">
        <v>2223</v>
      </c>
      <c r="B618" s="1" t="s">
        <v>2224</v>
      </c>
      <c r="C618" s="1" t="s">
        <v>676</v>
      </c>
      <c r="D618" s="1" t="s">
        <v>2218</v>
      </c>
      <c r="E618" s="1" t="s">
        <v>82</v>
      </c>
      <c r="F618" s="1" t="s">
        <v>391</v>
      </c>
      <c r="G618" s="1" t="s">
        <v>443</v>
      </c>
      <c r="H618" s="1" t="s">
        <v>444</v>
      </c>
      <c r="K618" s="1" t="s">
        <v>2219</v>
      </c>
      <c r="L618" s="1" t="s">
        <v>2220</v>
      </c>
      <c r="M618" s="1" t="s">
        <v>2225</v>
      </c>
      <c r="N618" s="1" t="s">
        <v>905</v>
      </c>
      <c r="O618" s="1" t="s">
        <v>906</v>
      </c>
      <c r="P618" s="1"/>
      <c r="Q618" s="1" t="s">
        <v>70</v>
      </c>
      <c r="Z618" s="1" t="s">
        <v>71</v>
      </c>
      <c r="AE618" s="1" t="s">
        <v>2209</v>
      </c>
      <c r="AH618" s="1" t="s">
        <v>73</v>
      </c>
      <c r="AK618" s="1" t="s">
        <v>71</v>
      </c>
      <c r="AM618" s="1" t="s">
        <v>71</v>
      </c>
      <c r="AN618" s="1" t="s">
        <v>71</v>
      </c>
      <c r="AS618" s="1" t="s">
        <v>71</v>
      </c>
      <c r="AX618" s="1" t="s">
        <v>71</v>
      </c>
      <c r="BH618" s="1" t="s">
        <v>71</v>
      </c>
    </row>
    <row r="619" customFormat="false" ht="15" hidden="false" customHeight="false" outlineLevel="0" collapsed="false">
      <c r="A619" s="1" t="s">
        <v>2226</v>
      </c>
      <c r="B619" s="1" t="s">
        <v>2227</v>
      </c>
      <c r="C619" s="1" t="s">
        <v>676</v>
      </c>
      <c r="D619" s="1" t="s">
        <v>2218</v>
      </c>
      <c r="E619" s="1" t="s">
        <v>82</v>
      </c>
      <c r="F619" s="1" t="s">
        <v>391</v>
      </c>
      <c r="G619" s="1" t="s">
        <v>443</v>
      </c>
      <c r="H619" s="1" t="s">
        <v>444</v>
      </c>
      <c r="K619" s="1" t="s">
        <v>1319</v>
      </c>
      <c r="L619" s="1" t="s">
        <v>644</v>
      </c>
      <c r="M619" s="1" t="s">
        <v>2225</v>
      </c>
      <c r="N619" s="1" t="s">
        <v>2228</v>
      </c>
      <c r="O619" s="1" t="s">
        <v>2229</v>
      </c>
      <c r="P619" s="1"/>
      <c r="Q619" s="1" t="s">
        <v>70</v>
      </c>
      <c r="Z619" s="1" t="s">
        <v>71</v>
      </c>
      <c r="AE619" s="1" t="s">
        <v>2209</v>
      </c>
      <c r="AH619" s="1" t="s">
        <v>73</v>
      </c>
      <c r="AK619" s="1" t="s">
        <v>71</v>
      </c>
      <c r="AM619" s="1" t="s">
        <v>71</v>
      </c>
      <c r="AN619" s="1" t="s">
        <v>71</v>
      </c>
      <c r="AS619" s="1" t="s">
        <v>71</v>
      </c>
      <c r="AX619" s="1" t="s">
        <v>71</v>
      </c>
      <c r="BH619" s="1" t="s">
        <v>71</v>
      </c>
    </row>
    <row r="620" customFormat="false" ht="15" hidden="false" customHeight="false" outlineLevel="0" collapsed="false">
      <c r="A620" s="1" t="s">
        <v>2230</v>
      </c>
      <c r="B620" s="1" t="s">
        <v>2231</v>
      </c>
      <c r="C620" s="1" t="s">
        <v>676</v>
      </c>
      <c r="D620" s="1" t="s">
        <v>2218</v>
      </c>
      <c r="E620" s="1" t="s">
        <v>82</v>
      </c>
      <c r="F620" s="1" t="s">
        <v>391</v>
      </c>
      <c r="G620" s="1" t="s">
        <v>443</v>
      </c>
      <c r="H620" s="1" t="s">
        <v>444</v>
      </c>
      <c r="K620" s="1" t="s">
        <v>2018</v>
      </c>
      <c r="L620" s="1" t="s">
        <v>2019</v>
      </c>
      <c r="M620" s="1" t="s">
        <v>2225</v>
      </c>
      <c r="N620" s="1" t="s">
        <v>2232</v>
      </c>
      <c r="O620" s="1" t="s">
        <v>2233</v>
      </c>
      <c r="P620" s="1"/>
      <c r="Q620" s="1" t="s">
        <v>70</v>
      </c>
      <c r="Z620" s="1" t="s">
        <v>71</v>
      </c>
      <c r="AE620" s="1" t="s">
        <v>2209</v>
      </c>
      <c r="AH620" s="1" t="s">
        <v>73</v>
      </c>
      <c r="AK620" s="1" t="s">
        <v>71</v>
      </c>
      <c r="AM620" s="1" t="s">
        <v>71</v>
      </c>
      <c r="AN620" s="1" t="s">
        <v>71</v>
      </c>
      <c r="AS620" s="1" t="s">
        <v>71</v>
      </c>
      <c r="AX620" s="1" t="s">
        <v>71</v>
      </c>
      <c r="BH620" s="1" t="s">
        <v>71</v>
      </c>
    </row>
    <row r="621" customFormat="false" ht="15" hidden="false" customHeight="false" outlineLevel="0" collapsed="false">
      <c r="A621" s="1" t="s">
        <v>2234</v>
      </c>
      <c r="B621" s="1" t="s">
        <v>2235</v>
      </c>
      <c r="C621" s="1" t="s">
        <v>341</v>
      </c>
      <c r="D621" s="1" t="s">
        <v>2236</v>
      </c>
      <c r="E621" s="1" t="s">
        <v>82</v>
      </c>
      <c r="F621" s="1" t="s">
        <v>391</v>
      </c>
      <c r="G621" s="1" t="s">
        <v>97</v>
      </c>
      <c r="H621" s="1" t="s">
        <v>406</v>
      </c>
      <c r="K621" s="1" t="s">
        <v>2144</v>
      </c>
      <c r="L621" s="1" t="s">
        <v>2145</v>
      </c>
      <c r="M621" s="1" t="s">
        <v>496</v>
      </c>
      <c r="N621" s="1" t="s">
        <v>2237</v>
      </c>
      <c r="O621" s="1" t="s">
        <v>2238</v>
      </c>
      <c r="P621" s="1"/>
      <c r="Q621" s="1" t="s">
        <v>70</v>
      </c>
      <c r="Z621" s="1" t="s">
        <v>71</v>
      </c>
      <c r="AE621" s="1" t="s">
        <v>2239</v>
      </c>
      <c r="AH621" s="1" t="s">
        <v>73</v>
      </c>
      <c r="AK621" s="1" t="s">
        <v>71</v>
      </c>
      <c r="AM621" s="1" t="s">
        <v>71</v>
      </c>
      <c r="AN621" s="1" t="s">
        <v>71</v>
      </c>
      <c r="AS621" s="1" t="s">
        <v>71</v>
      </c>
      <c r="AX621" s="1" t="s">
        <v>71</v>
      </c>
      <c r="BH621" s="1" t="s">
        <v>71</v>
      </c>
    </row>
    <row r="622" customFormat="false" ht="15" hidden="false" customHeight="false" outlineLevel="0" collapsed="false">
      <c r="A622" s="1" t="s">
        <v>2240</v>
      </c>
      <c r="B622" s="1" t="s">
        <v>2241</v>
      </c>
      <c r="C622" s="1" t="s">
        <v>341</v>
      </c>
      <c r="D622" s="1" t="s">
        <v>2236</v>
      </c>
      <c r="E622" s="1" t="s">
        <v>82</v>
      </c>
      <c r="F622" s="1" t="s">
        <v>391</v>
      </c>
      <c r="G622" s="1" t="s">
        <v>97</v>
      </c>
      <c r="H622" s="1" t="s">
        <v>406</v>
      </c>
      <c r="K622" s="1" t="s">
        <v>2144</v>
      </c>
      <c r="L622" s="1" t="s">
        <v>2145</v>
      </c>
      <c r="M622" s="1" t="s">
        <v>496</v>
      </c>
      <c r="N622" s="1" t="s">
        <v>2237</v>
      </c>
      <c r="O622" s="1" t="s">
        <v>2238</v>
      </c>
      <c r="P622" s="1"/>
      <c r="Q622" s="1" t="s">
        <v>70</v>
      </c>
      <c r="Z622" s="1" t="s">
        <v>71</v>
      </c>
      <c r="AE622" s="1" t="s">
        <v>2239</v>
      </c>
      <c r="AH622" s="1" t="s">
        <v>73</v>
      </c>
      <c r="AK622" s="1" t="s">
        <v>71</v>
      </c>
      <c r="AM622" s="1" t="s">
        <v>71</v>
      </c>
      <c r="AN622" s="1" t="s">
        <v>71</v>
      </c>
      <c r="AS622" s="1" t="s">
        <v>71</v>
      </c>
      <c r="AX622" s="1" t="s">
        <v>71</v>
      </c>
      <c r="BH622" s="1" t="s">
        <v>71</v>
      </c>
    </row>
    <row r="623" customFormat="false" ht="15" hidden="false" customHeight="false" outlineLevel="0" collapsed="false">
      <c r="A623" s="1" t="s">
        <v>2242</v>
      </c>
      <c r="B623" s="1" t="s">
        <v>2243</v>
      </c>
      <c r="C623" s="1" t="s">
        <v>754</v>
      </c>
      <c r="D623" s="1" t="s">
        <v>766</v>
      </c>
      <c r="E623" s="1" t="s">
        <v>82</v>
      </c>
      <c r="F623" s="1" t="s">
        <v>391</v>
      </c>
      <c r="G623" s="1" t="s">
        <v>443</v>
      </c>
      <c r="H623" s="1" t="s">
        <v>444</v>
      </c>
      <c r="K623" s="1" t="s">
        <v>618</v>
      </c>
      <c r="L623" s="1" t="s">
        <v>619</v>
      </c>
      <c r="M623" s="1" t="s">
        <v>2020</v>
      </c>
      <c r="N623" s="1" t="s">
        <v>767</v>
      </c>
      <c r="O623" s="1" t="s">
        <v>768</v>
      </c>
      <c r="P623" s="1"/>
      <c r="Q623" s="1" t="s">
        <v>70</v>
      </c>
      <c r="Z623" s="1" t="s">
        <v>71</v>
      </c>
      <c r="AE623" s="1" t="s">
        <v>2239</v>
      </c>
      <c r="AH623" s="1" t="s">
        <v>73</v>
      </c>
      <c r="AK623" s="1" t="s">
        <v>71</v>
      </c>
      <c r="AM623" s="1" t="s">
        <v>71</v>
      </c>
      <c r="AN623" s="1" t="s">
        <v>71</v>
      </c>
      <c r="AS623" s="1" t="s">
        <v>71</v>
      </c>
      <c r="AX623" s="1" t="s">
        <v>71</v>
      </c>
      <c r="BH623" s="1" t="s">
        <v>71</v>
      </c>
    </row>
    <row r="624" customFormat="false" ht="15" hidden="false" customHeight="false" outlineLevel="0" collapsed="false">
      <c r="A624" s="1" t="s">
        <v>2244</v>
      </c>
      <c r="B624" s="1" t="s">
        <v>2245</v>
      </c>
      <c r="C624" s="1" t="s">
        <v>616</v>
      </c>
      <c r="D624" s="1" t="s">
        <v>617</v>
      </c>
      <c r="E624" s="1" t="s">
        <v>82</v>
      </c>
      <c r="F624" s="1" t="s">
        <v>391</v>
      </c>
      <c r="G624" s="1" t="s">
        <v>443</v>
      </c>
      <c r="H624" s="1" t="s">
        <v>444</v>
      </c>
      <c r="K624" s="1" t="s">
        <v>618</v>
      </c>
      <c r="L624" s="1" t="s">
        <v>619</v>
      </c>
      <c r="M624" s="1" t="s">
        <v>496</v>
      </c>
      <c r="N624" s="1" t="s">
        <v>905</v>
      </c>
      <c r="O624" s="1" t="s">
        <v>906</v>
      </c>
      <c r="P624" s="1"/>
      <c r="Q624" s="1" t="s">
        <v>70</v>
      </c>
      <c r="Z624" s="1" t="s">
        <v>71</v>
      </c>
      <c r="AE624" s="1" t="s">
        <v>2239</v>
      </c>
      <c r="AH624" s="1" t="s">
        <v>73</v>
      </c>
      <c r="AK624" s="1" t="s">
        <v>71</v>
      </c>
      <c r="AM624" s="1" t="s">
        <v>71</v>
      </c>
      <c r="AN624" s="1" t="s">
        <v>71</v>
      </c>
      <c r="AS624" s="1" t="s">
        <v>71</v>
      </c>
      <c r="AX624" s="1" t="s">
        <v>71</v>
      </c>
      <c r="BH624" s="1" t="s">
        <v>71</v>
      </c>
    </row>
    <row r="625" customFormat="false" ht="15" hidden="false" customHeight="false" outlineLevel="0" collapsed="false">
      <c r="A625" s="1" t="s">
        <v>2246</v>
      </c>
      <c r="B625" s="1" t="s">
        <v>2247</v>
      </c>
      <c r="C625" s="1" t="s">
        <v>526</v>
      </c>
      <c r="D625" s="1" t="s">
        <v>527</v>
      </c>
      <c r="E625" s="1" t="s">
        <v>82</v>
      </c>
      <c r="F625" s="1" t="s">
        <v>391</v>
      </c>
      <c r="G625" s="1" t="s">
        <v>213</v>
      </c>
      <c r="H625" s="1" t="s">
        <v>477</v>
      </c>
      <c r="K625" s="1" t="s">
        <v>478</v>
      </c>
      <c r="L625" s="1" t="s">
        <v>479</v>
      </c>
      <c r="M625" s="1" t="s">
        <v>496</v>
      </c>
      <c r="N625" s="1" t="s">
        <v>2248</v>
      </c>
      <c r="O625" s="1" t="s">
        <v>400</v>
      </c>
      <c r="P625" s="1"/>
      <c r="Q625" s="1" t="s">
        <v>70</v>
      </c>
      <c r="Z625" s="1" t="s">
        <v>71</v>
      </c>
      <c r="AE625" s="1" t="s">
        <v>2239</v>
      </c>
      <c r="AH625" s="1" t="s">
        <v>73</v>
      </c>
      <c r="AK625" s="1" t="s">
        <v>71</v>
      </c>
      <c r="AM625" s="1" t="s">
        <v>71</v>
      </c>
      <c r="AN625" s="1" t="s">
        <v>71</v>
      </c>
      <c r="AS625" s="1" t="s">
        <v>71</v>
      </c>
      <c r="AX625" s="1" t="s">
        <v>71</v>
      </c>
      <c r="BH625" s="1" t="s">
        <v>71</v>
      </c>
    </row>
    <row r="626" customFormat="false" ht="15" hidden="false" customHeight="false" outlineLevel="0" collapsed="false">
      <c r="A626" s="1" t="s">
        <v>2249</v>
      </c>
      <c r="B626" s="1" t="s">
        <v>2250</v>
      </c>
      <c r="C626" s="1" t="s">
        <v>526</v>
      </c>
      <c r="D626" s="1" t="s">
        <v>527</v>
      </c>
      <c r="E626" s="1" t="s">
        <v>82</v>
      </c>
      <c r="F626" s="1" t="s">
        <v>391</v>
      </c>
      <c r="G626" s="1" t="s">
        <v>213</v>
      </c>
      <c r="H626" s="1" t="s">
        <v>477</v>
      </c>
      <c r="K626" s="1" t="s">
        <v>478</v>
      </c>
      <c r="L626" s="1" t="s">
        <v>479</v>
      </c>
      <c r="M626" s="1" t="s">
        <v>496</v>
      </c>
      <c r="N626" s="1" t="s">
        <v>2248</v>
      </c>
      <c r="O626" s="1" t="s">
        <v>400</v>
      </c>
      <c r="P626" s="1"/>
      <c r="Q626" s="1" t="s">
        <v>70</v>
      </c>
      <c r="Z626" s="1" t="s">
        <v>71</v>
      </c>
      <c r="AE626" s="1" t="s">
        <v>2239</v>
      </c>
      <c r="AH626" s="1" t="s">
        <v>73</v>
      </c>
      <c r="AK626" s="1" t="s">
        <v>71</v>
      </c>
      <c r="AM626" s="1" t="s">
        <v>71</v>
      </c>
      <c r="AN626" s="1" t="s">
        <v>71</v>
      </c>
      <c r="AS626" s="1" t="s">
        <v>71</v>
      </c>
      <c r="AX626" s="1" t="s">
        <v>71</v>
      </c>
      <c r="BH626" s="1" t="s">
        <v>71</v>
      </c>
    </row>
    <row r="627" customFormat="false" ht="15" hidden="false" customHeight="false" outlineLevel="0" collapsed="false">
      <c r="A627" s="1" t="s">
        <v>2251</v>
      </c>
      <c r="B627" s="1" t="s">
        <v>2252</v>
      </c>
      <c r="C627" s="1" t="s">
        <v>526</v>
      </c>
      <c r="D627" s="1" t="s">
        <v>527</v>
      </c>
      <c r="E627" s="1" t="s">
        <v>82</v>
      </c>
      <c r="F627" s="1" t="s">
        <v>391</v>
      </c>
      <c r="G627" s="1" t="s">
        <v>213</v>
      </c>
      <c r="H627" s="1" t="s">
        <v>477</v>
      </c>
      <c r="K627" s="1" t="s">
        <v>478</v>
      </c>
      <c r="L627" s="1" t="s">
        <v>479</v>
      </c>
      <c r="M627" s="1" t="s">
        <v>496</v>
      </c>
      <c r="N627" s="1" t="s">
        <v>2248</v>
      </c>
      <c r="O627" s="1" t="s">
        <v>400</v>
      </c>
      <c r="P627" s="1"/>
      <c r="Q627" s="1" t="s">
        <v>70</v>
      </c>
      <c r="Z627" s="1" t="s">
        <v>71</v>
      </c>
      <c r="AE627" s="1" t="s">
        <v>2239</v>
      </c>
      <c r="AH627" s="1" t="s">
        <v>73</v>
      </c>
      <c r="AK627" s="1" t="s">
        <v>71</v>
      </c>
      <c r="AM627" s="1" t="s">
        <v>71</v>
      </c>
      <c r="AN627" s="1" t="s">
        <v>71</v>
      </c>
      <c r="AS627" s="1" t="s">
        <v>71</v>
      </c>
      <c r="AX627" s="1" t="s">
        <v>71</v>
      </c>
      <c r="BH627" s="1" t="s">
        <v>71</v>
      </c>
    </row>
    <row r="628" customFormat="false" ht="15" hidden="false" customHeight="false" outlineLevel="0" collapsed="false">
      <c r="A628" s="1" t="s">
        <v>2253</v>
      </c>
      <c r="B628" s="1" t="s">
        <v>2254</v>
      </c>
      <c r="C628" s="1" t="s">
        <v>526</v>
      </c>
      <c r="D628" s="1" t="s">
        <v>527</v>
      </c>
      <c r="E628" s="1" t="s">
        <v>82</v>
      </c>
      <c r="F628" s="1" t="s">
        <v>391</v>
      </c>
      <c r="G628" s="1" t="s">
        <v>213</v>
      </c>
      <c r="H628" s="1" t="s">
        <v>477</v>
      </c>
      <c r="K628" s="1" t="s">
        <v>478</v>
      </c>
      <c r="L628" s="1" t="s">
        <v>479</v>
      </c>
      <c r="M628" s="1" t="s">
        <v>496</v>
      </c>
      <c r="N628" s="1" t="s">
        <v>518</v>
      </c>
      <c r="O628" s="1" t="s">
        <v>519</v>
      </c>
      <c r="P628" s="1"/>
      <c r="Q628" s="1" t="s">
        <v>70</v>
      </c>
      <c r="Z628" s="1" t="s">
        <v>71</v>
      </c>
      <c r="AE628" s="1" t="s">
        <v>2239</v>
      </c>
      <c r="AH628" s="1" t="s">
        <v>73</v>
      </c>
      <c r="AK628" s="1" t="s">
        <v>71</v>
      </c>
      <c r="AM628" s="1" t="s">
        <v>71</v>
      </c>
      <c r="AN628" s="1" t="s">
        <v>71</v>
      </c>
      <c r="AS628" s="1" t="s">
        <v>71</v>
      </c>
      <c r="AX628" s="1" t="s">
        <v>71</v>
      </c>
      <c r="BH628" s="1" t="s">
        <v>71</v>
      </c>
    </row>
    <row r="629" customFormat="false" ht="15" hidden="false" customHeight="false" outlineLevel="0" collapsed="false">
      <c r="A629" s="1" t="s">
        <v>2255</v>
      </c>
      <c r="B629" s="1" t="s">
        <v>2256</v>
      </c>
      <c r="C629" s="1" t="s">
        <v>526</v>
      </c>
      <c r="D629" s="1" t="s">
        <v>527</v>
      </c>
      <c r="E629" s="1" t="s">
        <v>82</v>
      </c>
      <c r="F629" s="1" t="s">
        <v>391</v>
      </c>
      <c r="G629" s="1" t="s">
        <v>213</v>
      </c>
      <c r="H629" s="1" t="s">
        <v>477</v>
      </c>
      <c r="K629" s="1" t="s">
        <v>478</v>
      </c>
      <c r="L629" s="1" t="s">
        <v>479</v>
      </c>
      <c r="M629" s="1" t="s">
        <v>496</v>
      </c>
      <c r="N629" s="1" t="s">
        <v>2257</v>
      </c>
      <c r="O629" s="1" t="s">
        <v>400</v>
      </c>
      <c r="P629" s="1"/>
      <c r="Q629" s="1" t="s">
        <v>70</v>
      </c>
      <c r="Z629" s="1" t="s">
        <v>71</v>
      </c>
      <c r="AE629" s="1" t="s">
        <v>2239</v>
      </c>
      <c r="AH629" s="1" t="s">
        <v>73</v>
      </c>
      <c r="AK629" s="1" t="s">
        <v>71</v>
      </c>
      <c r="AM629" s="1" t="s">
        <v>71</v>
      </c>
      <c r="AN629" s="1" t="s">
        <v>71</v>
      </c>
      <c r="AS629" s="1" t="s">
        <v>71</v>
      </c>
      <c r="AX629" s="1" t="s">
        <v>71</v>
      </c>
      <c r="BH629" s="1" t="s">
        <v>71</v>
      </c>
    </row>
    <row r="630" customFormat="false" ht="15" hidden="false" customHeight="false" outlineLevel="0" collapsed="false">
      <c r="A630" s="1" t="s">
        <v>2258</v>
      </c>
      <c r="B630" s="1" t="s">
        <v>2259</v>
      </c>
      <c r="C630" s="1" t="s">
        <v>526</v>
      </c>
      <c r="D630" s="1" t="s">
        <v>527</v>
      </c>
      <c r="E630" s="1" t="s">
        <v>82</v>
      </c>
      <c r="F630" s="1" t="s">
        <v>391</v>
      </c>
      <c r="G630" s="1" t="s">
        <v>213</v>
      </c>
      <c r="H630" s="1" t="s">
        <v>477</v>
      </c>
      <c r="K630" s="1" t="s">
        <v>478</v>
      </c>
      <c r="L630" s="1" t="s">
        <v>479</v>
      </c>
      <c r="M630" s="1" t="s">
        <v>496</v>
      </c>
      <c r="N630" s="1" t="s">
        <v>905</v>
      </c>
      <c r="O630" s="1" t="s">
        <v>906</v>
      </c>
      <c r="P630" s="1"/>
      <c r="Q630" s="1" t="s">
        <v>70</v>
      </c>
      <c r="Z630" s="1" t="s">
        <v>71</v>
      </c>
      <c r="AE630" s="1" t="s">
        <v>2239</v>
      </c>
      <c r="AH630" s="1" t="s">
        <v>73</v>
      </c>
      <c r="AK630" s="1" t="s">
        <v>71</v>
      </c>
      <c r="AM630" s="1" t="s">
        <v>71</v>
      </c>
      <c r="AN630" s="1" t="s">
        <v>71</v>
      </c>
      <c r="AS630" s="1" t="s">
        <v>71</v>
      </c>
      <c r="AX630" s="1" t="s">
        <v>71</v>
      </c>
      <c r="BH630" s="1" t="s">
        <v>71</v>
      </c>
    </row>
    <row r="631" customFormat="false" ht="15" hidden="false" customHeight="false" outlineLevel="0" collapsed="false">
      <c r="A631" s="1" t="s">
        <v>2260</v>
      </c>
      <c r="B631" s="1" t="s">
        <v>2261</v>
      </c>
      <c r="C631" s="1" t="s">
        <v>752</v>
      </c>
      <c r="D631" s="1" t="s">
        <v>2143</v>
      </c>
      <c r="E631" s="1" t="s">
        <v>82</v>
      </c>
      <c r="F631" s="1" t="s">
        <v>391</v>
      </c>
      <c r="G631" s="1" t="s">
        <v>443</v>
      </c>
      <c r="H631" s="1" t="s">
        <v>444</v>
      </c>
      <c r="K631" s="1" t="s">
        <v>618</v>
      </c>
      <c r="L631" s="1" t="s">
        <v>619</v>
      </c>
      <c r="M631" s="1" t="s">
        <v>496</v>
      </c>
      <c r="N631" s="1" t="s">
        <v>2262</v>
      </c>
      <c r="O631" s="1" t="s">
        <v>2263</v>
      </c>
      <c r="P631" s="1"/>
      <c r="Q631" s="1" t="s">
        <v>70</v>
      </c>
      <c r="Z631" s="1" t="s">
        <v>71</v>
      </c>
      <c r="AE631" s="1" t="s">
        <v>2239</v>
      </c>
      <c r="AH631" s="1" t="s">
        <v>73</v>
      </c>
      <c r="AK631" s="1" t="s">
        <v>71</v>
      </c>
      <c r="AM631" s="1" t="s">
        <v>71</v>
      </c>
      <c r="AN631" s="1" t="s">
        <v>71</v>
      </c>
      <c r="AS631" s="1" t="s">
        <v>71</v>
      </c>
      <c r="AX631" s="1" t="s">
        <v>71</v>
      </c>
      <c r="BH631" s="1" t="s">
        <v>71</v>
      </c>
    </row>
    <row r="632" customFormat="false" ht="15" hidden="false" customHeight="false" outlineLevel="0" collapsed="false">
      <c r="A632" s="1" t="s">
        <v>2264</v>
      </c>
      <c r="B632" s="1" t="s">
        <v>525</v>
      </c>
      <c r="C632" s="1" t="s">
        <v>389</v>
      </c>
      <c r="D632" s="1" t="s">
        <v>390</v>
      </c>
      <c r="E632" s="1" t="s">
        <v>82</v>
      </c>
      <c r="F632" s="1" t="s">
        <v>391</v>
      </c>
      <c r="G632" s="1" t="s">
        <v>182</v>
      </c>
      <c r="H632" s="1" t="s">
        <v>392</v>
      </c>
      <c r="K632" s="1" t="s">
        <v>903</v>
      </c>
      <c r="L632" s="1" t="s">
        <v>904</v>
      </c>
      <c r="M632" s="1" t="s">
        <v>496</v>
      </c>
      <c r="N632" s="1" t="s">
        <v>2265</v>
      </c>
      <c r="O632" s="1" t="s">
        <v>2266</v>
      </c>
      <c r="P632" s="1"/>
      <c r="Q632" s="1" t="s">
        <v>70</v>
      </c>
      <c r="Z632" s="1" t="s">
        <v>71</v>
      </c>
      <c r="AE632" s="1" t="s">
        <v>2239</v>
      </c>
      <c r="AH632" s="1" t="s">
        <v>73</v>
      </c>
      <c r="AK632" s="1" t="s">
        <v>71</v>
      </c>
      <c r="AM632" s="1" t="s">
        <v>71</v>
      </c>
      <c r="AN632" s="1" t="s">
        <v>71</v>
      </c>
      <c r="AS632" s="1" t="s">
        <v>71</v>
      </c>
      <c r="AX632" s="1" t="s">
        <v>71</v>
      </c>
      <c r="BH632" s="1" t="s">
        <v>71</v>
      </c>
    </row>
    <row r="633" customFormat="false" ht="15" hidden="false" customHeight="false" outlineLevel="0" collapsed="false">
      <c r="A633" s="1" t="s">
        <v>2267</v>
      </c>
      <c r="B633" s="1" t="s">
        <v>2268</v>
      </c>
      <c r="C633" s="1" t="s">
        <v>526</v>
      </c>
      <c r="D633" s="1" t="s">
        <v>527</v>
      </c>
      <c r="E633" s="1" t="s">
        <v>82</v>
      </c>
      <c r="F633" s="1" t="s">
        <v>391</v>
      </c>
      <c r="G633" s="1" t="s">
        <v>213</v>
      </c>
      <c r="H633" s="1" t="s">
        <v>477</v>
      </c>
      <c r="K633" s="1" t="s">
        <v>478</v>
      </c>
      <c r="L633" s="1" t="s">
        <v>479</v>
      </c>
      <c r="M633" s="1" t="s">
        <v>496</v>
      </c>
      <c r="N633" s="1" t="s">
        <v>518</v>
      </c>
      <c r="O633" s="1" t="s">
        <v>519</v>
      </c>
      <c r="P633" s="1"/>
      <c r="Q633" s="1" t="s">
        <v>70</v>
      </c>
      <c r="Z633" s="1" t="s">
        <v>71</v>
      </c>
      <c r="AE633" s="1" t="s">
        <v>2239</v>
      </c>
      <c r="AH633" s="1" t="s">
        <v>73</v>
      </c>
      <c r="AK633" s="1" t="s">
        <v>71</v>
      </c>
      <c r="AM633" s="1" t="s">
        <v>71</v>
      </c>
      <c r="AN633" s="1" t="s">
        <v>71</v>
      </c>
      <c r="AS633" s="1" t="s">
        <v>71</v>
      </c>
      <c r="AX633" s="1" t="s">
        <v>71</v>
      </c>
      <c r="BH633" s="1" t="s">
        <v>71</v>
      </c>
    </row>
    <row r="634" customFormat="false" ht="15" hidden="false" customHeight="false" outlineLevel="0" collapsed="false">
      <c r="A634" s="1" t="s">
        <v>2269</v>
      </c>
      <c r="B634" s="1" t="s">
        <v>2270</v>
      </c>
      <c r="C634" s="1" t="s">
        <v>637</v>
      </c>
      <c r="D634" s="1" t="s">
        <v>1887</v>
      </c>
      <c r="E634" s="1" t="s">
        <v>82</v>
      </c>
      <c r="F634" s="1" t="s">
        <v>391</v>
      </c>
      <c r="G634" s="1" t="s">
        <v>443</v>
      </c>
      <c r="H634" s="1" t="s">
        <v>444</v>
      </c>
      <c r="K634" s="1" t="s">
        <v>2018</v>
      </c>
      <c r="L634" s="1" t="s">
        <v>2019</v>
      </c>
      <c r="M634" s="1" t="s">
        <v>2020</v>
      </c>
      <c r="N634" s="1" t="s">
        <v>2021</v>
      </c>
      <c r="O634" s="1" t="s">
        <v>400</v>
      </c>
      <c r="P634" s="1"/>
      <c r="Q634" s="1" t="s">
        <v>70</v>
      </c>
      <c r="Z634" s="1" t="s">
        <v>71</v>
      </c>
      <c r="AE634" s="1" t="s">
        <v>2239</v>
      </c>
      <c r="AH634" s="1" t="s">
        <v>73</v>
      </c>
      <c r="AK634" s="1" t="s">
        <v>71</v>
      </c>
      <c r="AM634" s="1" t="s">
        <v>71</v>
      </c>
      <c r="AN634" s="1" t="s">
        <v>71</v>
      </c>
      <c r="AS634" s="1" t="s">
        <v>71</v>
      </c>
      <c r="AX634" s="1" t="s">
        <v>71</v>
      </c>
      <c r="BH634" s="1" t="s">
        <v>71</v>
      </c>
    </row>
    <row r="635" customFormat="false" ht="15" hidden="false" customHeight="false" outlineLevel="0" collapsed="false">
      <c r="A635" s="1" t="s">
        <v>2271</v>
      </c>
      <c r="B635" s="1" t="s">
        <v>2272</v>
      </c>
      <c r="C635" s="1" t="s">
        <v>637</v>
      </c>
      <c r="D635" s="1" t="s">
        <v>1887</v>
      </c>
      <c r="E635" s="1" t="s">
        <v>82</v>
      </c>
      <c r="F635" s="1" t="s">
        <v>391</v>
      </c>
      <c r="G635" s="1" t="s">
        <v>443</v>
      </c>
      <c r="H635" s="1" t="s">
        <v>444</v>
      </c>
      <c r="K635" s="1" t="s">
        <v>2018</v>
      </c>
      <c r="L635" s="1" t="s">
        <v>2019</v>
      </c>
      <c r="M635" s="1" t="s">
        <v>2020</v>
      </c>
      <c r="N635" s="1" t="s">
        <v>2021</v>
      </c>
      <c r="O635" s="1" t="s">
        <v>400</v>
      </c>
      <c r="P635" s="1"/>
      <c r="Q635" s="1" t="s">
        <v>70</v>
      </c>
      <c r="Z635" s="1" t="s">
        <v>71</v>
      </c>
      <c r="AE635" s="1" t="s">
        <v>2239</v>
      </c>
      <c r="AH635" s="1" t="s">
        <v>73</v>
      </c>
      <c r="AK635" s="1" t="s">
        <v>71</v>
      </c>
      <c r="AM635" s="1" t="s">
        <v>71</v>
      </c>
      <c r="AN635" s="1" t="s">
        <v>71</v>
      </c>
      <c r="AS635" s="1" t="s">
        <v>71</v>
      </c>
      <c r="AX635" s="1" t="s">
        <v>71</v>
      </c>
      <c r="BH635" s="1" t="s">
        <v>71</v>
      </c>
    </row>
    <row r="636" customFormat="false" ht="15" hidden="false" customHeight="false" outlineLevel="0" collapsed="false">
      <c r="A636" s="1" t="s">
        <v>2273</v>
      </c>
      <c r="B636" s="1" t="s">
        <v>2274</v>
      </c>
      <c r="C636" s="1" t="s">
        <v>637</v>
      </c>
      <c r="D636" s="1" t="s">
        <v>1887</v>
      </c>
      <c r="E636" s="1" t="s">
        <v>82</v>
      </c>
      <c r="F636" s="1" t="s">
        <v>391</v>
      </c>
      <c r="G636" s="1" t="s">
        <v>443</v>
      </c>
      <c r="H636" s="1" t="s">
        <v>444</v>
      </c>
      <c r="K636" s="1" t="s">
        <v>2018</v>
      </c>
      <c r="L636" s="1" t="s">
        <v>2019</v>
      </c>
      <c r="M636" s="1" t="s">
        <v>2020</v>
      </c>
      <c r="N636" s="1" t="s">
        <v>2021</v>
      </c>
      <c r="O636" s="1" t="s">
        <v>400</v>
      </c>
      <c r="P636" s="1"/>
      <c r="Q636" s="1" t="s">
        <v>70</v>
      </c>
      <c r="Z636" s="1" t="s">
        <v>71</v>
      </c>
      <c r="AE636" s="1" t="s">
        <v>2239</v>
      </c>
      <c r="AH636" s="1" t="s">
        <v>73</v>
      </c>
      <c r="AK636" s="1" t="s">
        <v>71</v>
      </c>
      <c r="AM636" s="1" t="s">
        <v>71</v>
      </c>
      <c r="AN636" s="1" t="s">
        <v>71</v>
      </c>
      <c r="AS636" s="1" t="s">
        <v>71</v>
      </c>
      <c r="AX636" s="1" t="s">
        <v>71</v>
      </c>
      <c r="BH636" s="1" t="s">
        <v>71</v>
      </c>
    </row>
    <row r="637" customFormat="false" ht="15" hidden="false" customHeight="false" outlineLevel="0" collapsed="false">
      <c r="A637" s="1" t="s">
        <v>2275</v>
      </c>
      <c r="B637" s="1" t="s">
        <v>2276</v>
      </c>
      <c r="C637" s="1" t="s">
        <v>637</v>
      </c>
      <c r="D637" s="1" t="s">
        <v>1887</v>
      </c>
      <c r="E637" s="1" t="s">
        <v>82</v>
      </c>
      <c r="F637" s="1" t="s">
        <v>391</v>
      </c>
      <c r="G637" s="1" t="s">
        <v>443</v>
      </c>
      <c r="H637" s="1" t="s">
        <v>444</v>
      </c>
      <c r="K637" s="1" t="s">
        <v>2018</v>
      </c>
      <c r="L637" s="1" t="s">
        <v>2019</v>
      </c>
      <c r="M637" s="1" t="s">
        <v>2020</v>
      </c>
      <c r="N637" s="1" t="s">
        <v>2021</v>
      </c>
      <c r="O637" s="1" t="s">
        <v>400</v>
      </c>
      <c r="P637" s="1"/>
      <c r="Q637" s="1" t="s">
        <v>70</v>
      </c>
      <c r="Z637" s="1" t="s">
        <v>71</v>
      </c>
      <c r="AE637" s="1" t="s">
        <v>2239</v>
      </c>
      <c r="AH637" s="1" t="s">
        <v>73</v>
      </c>
      <c r="AK637" s="1" t="s">
        <v>71</v>
      </c>
      <c r="AM637" s="1" t="s">
        <v>71</v>
      </c>
      <c r="AN637" s="1" t="s">
        <v>71</v>
      </c>
      <c r="AS637" s="1" t="s">
        <v>71</v>
      </c>
      <c r="AX637" s="1" t="s">
        <v>71</v>
      </c>
      <c r="BH637" s="1" t="s">
        <v>71</v>
      </c>
    </row>
    <row r="638" customFormat="false" ht="15" hidden="false" customHeight="false" outlineLevel="0" collapsed="false">
      <c r="A638" s="1" t="s">
        <v>2277</v>
      </c>
      <c r="B638" s="1" t="s">
        <v>2278</v>
      </c>
      <c r="C638" s="1" t="s">
        <v>678</v>
      </c>
      <c r="D638" s="1" t="s">
        <v>2279</v>
      </c>
      <c r="E638" s="1" t="s">
        <v>82</v>
      </c>
      <c r="F638" s="1" t="s">
        <v>391</v>
      </c>
      <c r="G638" s="1" t="s">
        <v>443</v>
      </c>
      <c r="H638" s="1" t="s">
        <v>444</v>
      </c>
      <c r="K638" s="1" t="s">
        <v>2280</v>
      </c>
      <c r="L638" s="1" t="s">
        <v>2281</v>
      </c>
      <c r="M638" s="1" t="s">
        <v>465</v>
      </c>
      <c r="N638" s="1" t="s">
        <v>2282</v>
      </c>
      <c r="O638" s="1" t="s">
        <v>2283</v>
      </c>
      <c r="P638" s="1"/>
      <c r="Q638" s="1" t="s">
        <v>70</v>
      </c>
      <c r="Z638" s="1" t="s">
        <v>71</v>
      </c>
      <c r="AE638" s="1" t="s">
        <v>2239</v>
      </c>
      <c r="AH638" s="1" t="s">
        <v>73</v>
      </c>
      <c r="AK638" s="1" t="s">
        <v>71</v>
      </c>
      <c r="AM638" s="1" t="s">
        <v>71</v>
      </c>
      <c r="AN638" s="1" t="s">
        <v>71</v>
      </c>
      <c r="AS638" s="1" t="s">
        <v>71</v>
      </c>
      <c r="AX638" s="1" t="s">
        <v>71</v>
      </c>
      <c r="BH638" s="1" t="s">
        <v>71</v>
      </c>
    </row>
    <row r="639" customFormat="false" ht="15" hidden="false" customHeight="false" outlineLevel="0" collapsed="false">
      <c r="A639" s="1" t="s">
        <v>2284</v>
      </c>
      <c r="B639" s="1" t="s">
        <v>2285</v>
      </c>
      <c r="C639" s="1" t="s">
        <v>2286</v>
      </c>
      <c r="D639" s="1" t="s">
        <v>2287</v>
      </c>
      <c r="E639" s="1" t="s">
        <v>82</v>
      </c>
      <c r="F639" s="1" t="s">
        <v>391</v>
      </c>
      <c r="G639" s="1" t="s">
        <v>443</v>
      </c>
      <c r="H639" s="1" t="s">
        <v>444</v>
      </c>
      <c r="K639" s="1" t="s">
        <v>2288</v>
      </c>
      <c r="L639" s="1" t="s">
        <v>2289</v>
      </c>
      <c r="M639" s="1" t="s">
        <v>2020</v>
      </c>
      <c r="N639" s="1" t="s">
        <v>2290</v>
      </c>
      <c r="O639" s="1" t="s">
        <v>2291</v>
      </c>
      <c r="P639" s="1"/>
      <c r="Q639" s="1" t="s">
        <v>70</v>
      </c>
      <c r="Z639" s="1" t="s">
        <v>71</v>
      </c>
      <c r="AE639" s="1" t="s">
        <v>2239</v>
      </c>
      <c r="AH639" s="1" t="s">
        <v>73</v>
      </c>
      <c r="AK639" s="1" t="s">
        <v>71</v>
      </c>
      <c r="AM639" s="1" t="s">
        <v>71</v>
      </c>
      <c r="AN639" s="1" t="s">
        <v>71</v>
      </c>
      <c r="AS639" s="1" t="s">
        <v>71</v>
      </c>
      <c r="AX639" s="1" t="s">
        <v>71</v>
      </c>
      <c r="BH639" s="1" t="s">
        <v>71</v>
      </c>
    </row>
    <row r="640" customFormat="false" ht="15" hidden="false" customHeight="false" outlineLevel="0" collapsed="false">
      <c r="A640" s="1" t="s">
        <v>2292</v>
      </c>
      <c r="B640" s="1" t="s">
        <v>2293</v>
      </c>
      <c r="C640" s="1" t="s">
        <v>150</v>
      </c>
      <c r="D640" s="1" t="s">
        <v>405</v>
      </c>
      <c r="E640" s="1" t="s">
        <v>82</v>
      </c>
      <c r="F640" s="1" t="s">
        <v>391</v>
      </c>
      <c r="G640" s="1" t="s">
        <v>97</v>
      </c>
      <c r="H640" s="1" t="s">
        <v>406</v>
      </c>
      <c r="K640" s="1" t="s">
        <v>407</v>
      </c>
      <c r="L640" s="1" t="s">
        <v>408</v>
      </c>
      <c r="M640" s="1" t="s">
        <v>496</v>
      </c>
      <c r="N640" s="1" t="s">
        <v>2294</v>
      </c>
      <c r="O640" s="1" t="s">
        <v>2295</v>
      </c>
      <c r="P640" s="1"/>
      <c r="Q640" s="1" t="s">
        <v>70</v>
      </c>
      <c r="Z640" s="1" t="s">
        <v>71</v>
      </c>
      <c r="AE640" s="1" t="s">
        <v>2239</v>
      </c>
      <c r="AH640" s="1" t="s">
        <v>73</v>
      </c>
      <c r="AK640" s="1" t="s">
        <v>71</v>
      </c>
      <c r="AM640" s="1" t="s">
        <v>71</v>
      </c>
      <c r="AN640" s="1" t="s">
        <v>71</v>
      </c>
      <c r="AS640" s="1" t="s">
        <v>71</v>
      </c>
      <c r="AX640" s="1" t="s">
        <v>71</v>
      </c>
      <c r="BH640" s="1" t="s">
        <v>71</v>
      </c>
    </row>
    <row r="641" customFormat="false" ht="15" hidden="false" customHeight="false" outlineLevel="0" collapsed="false">
      <c r="A641" s="1" t="s">
        <v>2296</v>
      </c>
      <c r="B641" s="1" t="s">
        <v>2297</v>
      </c>
      <c r="C641" s="1" t="s">
        <v>150</v>
      </c>
      <c r="D641" s="1" t="s">
        <v>405</v>
      </c>
      <c r="E641" s="1" t="s">
        <v>82</v>
      </c>
      <c r="F641" s="1" t="s">
        <v>391</v>
      </c>
      <c r="G641" s="1" t="s">
        <v>97</v>
      </c>
      <c r="H641" s="1" t="s">
        <v>406</v>
      </c>
      <c r="K641" s="1" t="s">
        <v>407</v>
      </c>
      <c r="L641" s="1" t="s">
        <v>408</v>
      </c>
      <c r="M641" s="1" t="s">
        <v>496</v>
      </c>
      <c r="N641" s="1" t="s">
        <v>2298</v>
      </c>
      <c r="O641" s="1" t="s">
        <v>2299</v>
      </c>
      <c r="P641" s="1"/>
      <c r="Q641" s="1" t="s">
        <v>70</v>
      </c>
      <c r="Z641" s="1" t="s">
        <v>71</v>
      </c>
      <c r="AE641" s="1" t="s">
        <v>2239</v>
      </c>
      <c r="AH641" s="1" t="s">
        <v>73</v>
      </c>
      <c r="AK641" s="1" t="s">
        <v>71</v>
      </c>
      <c r="AM641" s="1" t="s">
        <v>71</v>
      </c>
      <c r="AN641" s="1" t="s">
        <v>71</v>
      </c>
      <c r="AS641" s="1" t="s">
        <v>71</v>
      </c>
      <c r="AX641" s="1" t="s">
        <v>71</v>
      </c>
      <c r="BH641" s="1" t="s">
        <v>71</v>
      </c>
    </row>
    <row r="642" customFormat="false" ht="15" hidden="false" customHeight="false" outlineLevel="0" collapsed="false">
      <c r="A642" s="1" t="s">
        <v>2300</v>
      </c>
      <c r="B642" s="1" t="s">
        <v>2301</v>
      </c>
      <c r="C642" s="1" t="s">
        <v>150</v>
      </c>
      <c r="D642" s="1" t="s">
        <v>405</v>
      </c>
      <c r="E642" s="1" t="s">
        <v>82</v>
      </c>
      <c r="F642" s="1" t="s">
        <v>391</v>
      </c>
      <c r="G642" s="1" t="s">
        <v>97</v>
      </c>
      <c r="H642" s="1" t="s">
        <v>406</v>
      </c>
      <c r="K642" s="1" t="s">
        <v>407</v>
      </c>
      <c r="L642" s="1" t="s">
        <v>408</v>
      </c>
      <c r="M642" s="1" t="s">
        <v>496</v>
      </c>
      <c r="N642" s="1" t="s">
        <v>2302</v>
      </c>
      <c r="O642" s="1" t="s">
        <v>2303</v>
      </c>
      <c r="P642" s="1"/>
      <c r="Q642" s="1" t="s">
        <v>70</v>
      </c>
      <c r="Z642" s="1" t="s">
        <v>71</v>
      </c>
      <c r="AE642" s="1" t="s">
        <v>2239</v>
      </c>
      <c r="AH642" s="1" t="s">
        <v>73</v>
      </c>
      <c r="AK642" s="1" t="s">
        <v>71</v>
      </c>
      <c r="AM642" s="1" t="s">
        <v>71</v>
      </c>
      <c r="AN642" s="1" t="s">
        <v>71</v>
      </c>
      <c r="AS642" s="1" t="s">
        <v>71</v>
      </c>
      <c r="AX642" s="1" t="s">
        <v>71</v>
      </c>
      <c r="BH642" s="1" t="s">
        <v>71</v>
      </c>
    </row>
    <row r="643" customFormat="false" ht="15" hidden="false" customHeight="false" outlineLevel="0" collapsed="false">
      <c r="A643" s="1" t="s">
        <v>2304</v>
      </c>
      <c r="B643" s="1" t="s">
        <v>2305</v>
      </c>
      <c r="C643" s="1" t="s">
        <v>150</v>
      </c>
      <c r="D643" s="1" t="s">
        <v>405</v>
      </c>
      <c r="E643" s="1" t="s">
        <v>82</v>
      </c>
      <c r="F643" s="1" t="s">
        <v>391</v>
      </c>
      <c r="G643" s="1" t="s">
        <v>97</v>
      </c>
      <c r="H643" s="1" t="s">
        <v>406</v>
      </c>
      <c r="K643" s="1" t="s">
        <v>407</v>
      </c>
      <c r="L643" s="1" t="s">
        <v>408</v>
      </c>
      <c r="M643" s="1" t="s">
        <v>496</v>
      </c>
      <c r="N643" s="1" t="s">
        <v>2302</v>
      </c>
      <c r="O643" s="1" t="s">
        <v>2303</v>
      </c>
      <c r="P643" s="1"/>
      <c r="Q643" s="1" t="s">
        <v>70</v>
      </c>
      <c r="Z643" s="1" t="s">
        <v>71</v>
      </c>
      <c r="AE643" s="1" t="s">
        <v>2239</v>
      </c>
      <c r="AH643" s="1" t="s">
        <v>73</v>
      </c>
      <c r="AK643" s="1" t="s">
        <v>71</v>
      </c>
      <c r="AM643" s="1" t="s">
        <v>71</v>
      </c>
      <c r="AN643" s="1" t="s">
        <v>71</v>
      </c>
      <c r="AS643" s="1" t="s">
        <v>71</v>
      </c>
      <c r="AX643" s="1" t="s">
        <v>71</v>
      </c>
      <c r="BH643" s="1" t="s">
        <v>71</v>
      </c>
    </row>
    <row r="644" customFormat="false" ht="15" hidden="false" customHeight="false" outlineLevel="0" collapsed="false">
      <c r="A644" s="1" t="s">
        <v>2306</v>
      </c>
      <c r="B644" s="1" t="s">
        <v>2307</v>
      </c>
      <c r="C644" s="1" t="s">
        <v>653</v>
      </c>
      <c r="D644" s="1" t="s">
        <v>2308</v>
      </c>
      <c r="E644" s="1" t="s">
        <v>82</v>
      </c>
      <c r="F644" s="1" t="s">
        <v>391</v>
      </c>
      <c r="G644" s="1" t="s">
        <v>443</v>
      </c>
      <c r="H644" s="1" t="s">
        <v>444</v>
      </c>
      <c r="K644" s="1" t="s">
        <v>2309</v>
      </c>
      <c r="L644" s="1" t="s">
        <v>2310</v>
      </c>
      <c r="M644" s="1" t="s">
        <v>496</v>
      </c>
      <c r="N644" s="1" t="s">
        <v>2311</v>
      </c>
      <c r="O644" s="1" t="s">
        <v>2312</v>
      </c>
      <c r="P644" s="1"/>
      <c r="Q644" s="1" t="s">
        <v>70</v>
      </c>
      <c r="Z644" s="1" t="s">
        <v>71</v>
      </c>
      <c r="AE644" s="1" t="s">
        <v>2239</v>
      </c>
      <c r="AH644" s="1" t="s">
        <v>73</v>
      </c>
      <c r="AK644" s="1" t="s">
        <v>71</v>
      </c>
      <c r="AM644" s="1" t="s">
        <v>71</v>
      </c>
      <c r="AN644" s="1" t="s">
        <v>71</v>
      </c>
      <c r="AS644" s="1" t="s">
        <v>71</v>
      </c>
      <c r="AX644" s="1" t="s">
        <v>71</v>
      </c>
      <c r="BH644" s="1" t="s">
        <v>71</v>
      </c>
    </row>
    <row r="645" customFormat="false" ht="15" hidden="false" customHeight="false" outlineLevel="0" collapsed="false">
      <c r="A645" s="1" t="s">
        <v>2313</v>
      </c>
      <c r="B645" s="1" t="s">
        <v>2314</v>
      </c>
      <c r="C645" s="1" t="s">
        <v>368</v>
      </c>
      <c r="D645" s="1" t="s">
        <v>1629</v>
      </c>
      <c r="E645" s="1" t="s">
        <v>82</v>
      </c>
      <c r="F645" s="1" t="s">
        <v>391</v>
      </c>
      <c r="G645" s="1" t="s">
        <v>213</v>
      </c>
      <c r="H645" s="1" t="s">
        <v>477</v>
      </c>
      <c r="K645" s="1" t="s">
        <v>478</v>
      </c>
      <c r="L645" s="1" t="s">
        <v>479</v>
      </c>
      <c r="M645" s="1" t="s">
        <v>465</v>
      </c>
      <c r="N645" s="1" t="s">
        <v>1840</v>
      </c>
      <c r="O645" s="1" t="s">
        <v>1841</v>
      </c>
      <c r="P645" s="1"/>
      <c r="Q645" s="1" t="s">
        <v>70</v>
      </c>
      <c r="Z645" s="1" t="s">
        <v>71</v>
      </c>
      <c r="AE645" s="1" t="s">
        <v>2239</v>
      </c>
      <c r="AH645" s="1" t="s">
        <v>73</v>
      </c>
      <c r="AK645" s="1" t="s">
        <v>71</v>
      </c>
      <c r="AM645" s="1" t="s">
        <v>71</v>
      </c>
      <c r="AN645" s="1" t="s">
        <v>71</v>
      </c>
      <c r="AS645" s="1" t="s">
        <v>71</v>
      </c>
      <c r="AX645" s="1" t="s">
        <v>71</v>
      </c>
      <c r="BH645" s="1" t="s">
        <v>71</v>
      </c>
    </row>
    <row r="646" customFormat="false" ht="15" hidden="false" customHeight="false" outlineLevel="0" collapsed="false">
      <c r="A646" s="1" t="s">
        <v>2315</v>
      </c>
      <c r="B646" s="1" t="s">
        <v>2316</v>
      </c>
      <c r="C646" s="1" t="s">
        <v>368</v>
      </c>
      <c r="D646" s="1" t="s">
        <v>1629</v>
      </c>
      <c r="E646" s="1" t="s">
        <v>82</v>
      </c>
      <c r="F646" s="1" t="s">
        <v>391</v>
      </c>
      <c r="G646" s="1" t="s">
        <v>213</v>
      </c>
      <c r="H646" s="1" t="s">
        <v>477</v>
      </c>
      <c r="K646" s="1" t="s">
        <v>478</v>
      </c>
      <c r="L646" s="1" t="s">
        <v>479</v>
      </c>
      <c r="M646" s="1" t="s">
        <v>496</v>
      </c>
      <c r="N646" s="1" t="s">
        <v>1282</v>
      </c>
      <c r="O646" s="1" t="s">
        <v>447</v>
      </c>
      <c r="P646" s="1"/>
      <c r="Q646" s="1" t="s">
        <v>70</v>
      </c>
      <c r="Z646" s="1" t="s">
        <v>71</v>
      </c>
      <c r="AE646" s="1" t="s">
        <v>2317</v>
      </c>
      <c r="AH646" s="1" t="s">
        <v>73</v>
      </c>
      <c r="AK646" s="1" t="s">
        <v>71</v>
      </c>
      <c r="AM646" s="1" t="s">
        <v>71</v>
      </c>
      <c r="AN646" s="1" t="s">
        <v>71</v>
      </c>
      <c r="AS646" s="1" t="s">
        <v>71</v>
      </c>
      <c r="AX646" s="1" t="s">
        <v>71</v>
      </c>
      <c r="BH646" s="1" t="s">
        <v>71</v>
      </c>
    </row>
    <row r="647" customFormat="false" ht="15" hidden="false" customHeight="false" outlineLevel="0" collapsed="false">
      <c r="A647" s="1" t="s">
        <v>2318</v>
      </c>
      <c r="B647" s="1" t="s">
        <v>2319</v>
      </c>
      <c r="C647" s="1" t="s">
        <v>368</v>
      </c>
      <c r="D647" s="1" t="s">
        <v>1629</v>
      </c>
      <c r="E647" s="1" t="s">
        <v>82</v>
      </c>
      <c r="F647" s="1" t="s">
        <v>391</v>
      </c>
      <c r="G647" s="1" t="s">
        <v>213</v>
      </c>
      <c r="H647" s="1" t="s">
        <v>477</v>
      </c>
      <c r="K647" s="1" t="s">
        <v>478</v>
      </c>
      <c r="L647" s="1" t="s">
        <v>479</v>
      </c>
      <c r="M647" s="1" t="s">
        <v>496</v>
      </c>
      <c r="N647" s="1" t="s">
        <v>518</v>
      </c>
      <c r="O647" s="1" t="s">
        <v>519</v>
      </c>
      <c r="P647" s="1"/>
      <c r="Q647" s="1" t="s">
        <v>70</v>
      </c>
      <c r="Z647" s="1" t="s">
        <v>71</v>
      </c>
      <c r="AE647" s="1" t="s">
        <v>2317</v>
      </c>
      <c r="AH647" s="1" t="s">
        <v>73</v>
      </c>
      <c r="AK647" s="1" t="s">
        <v>71</v>
      </c>
      <c r="AM647" s="1" t="s">
        <v>71</v>
      </c>
      <c r="AN647" s="1" t="s">
        <v>71</v>
      </c>
      <c r="AS647" s="1" t="s">
        <v>71</v>
      </c>
      <c r="AX647" s="1" t="s">
        <v>71</v>
      </c>
      <c r="BH647" s="1" t="s">
        <v>71</v>
      </c>
    </row>
    <row r="648" customFormat="false" ht="15" hidden="false" customHeight="false" outlineLevel="0" collapsed="false">
      <c r="A648" s="1" t="s">
        <v>2320</v>
      </c>
      <c r="B648" s="1" t="s">
        <v>2321</v>
      </c>
      <c r="C648" s="1" t="s">
        <v>509</v>
      </c>
      <c r="D648" s="1" t="s">
        <v>1664</v>
      </c>
      <c r="E648" s="1" t="s">
        <v>82</v>
      </c>
      <c r="F648" s="1" t="s">
        <v>391</v>
      </c>
      <c r="G648" s="1" t="s">
        <v>182</v>
      </c>
      <c r="H648" s="1" t="s">
        <v>392</v>
      </c>
      <c r="K648" s="1" t="s">
        <v>65</v>
      </c>
      <c r="L648" s="1" t="s">
        <v>517</v>
      </c>
      <c r="M648" s="1" t="s">
        <v>496</v>
      </c>
      <c r="N648" s="1" t="s">
        <v>2322</v>
      </c>
      <c r="O648" s="1" t="s">
        <v>2323</v>
      </c>
      <c r="P648" s="1"/>
      <c r="Q648" s="1" t="s">
        <v>70</v>
      </c>
      <c r="Z648" s="1" t="s">
        <v>71</v>
      </c>
      <c r="AE648" s="1" t="s">
        <v>2317</v>
      </c>
      <c r="AH648" s="1" t="s">
        <v>73</v>
      </c>
      <c r="AK648" s="1" t="s">
        <v>71</v>
      </c>
      <c r="AM648" s="1" t="s">
        <v>71</v>
      </c>
      <c r="AN648" s="1" t="s">
        <v>71</v>
      </c>
      <c r="AS648" s="1" t="s">
        <v>71</v>
      </c>
      <c r="AX648" s="1" t="s">
        <v>71</v>
      </c>
      <c r="BH648" s="1" t="s">
        <v>71</v>
      </c>
    </row>
    <row r="649" customFormat="false" ht="15" hidden="false" customHeight="false" outlineLevel="0" collapsed="false">
      <c r="A649" s="1" t="s">
        <v>2324</v>
      </c>
      <c r="B649" s="1" t="s">
        <v>2325</v>
      </c>
      <c r="C649" s="1" t="s">
        <v>509</v>
      </c>
      <c r="D649" s="1" t="s">
        <v>1664</v>
      </c>
      <c r="E649" s="1" t="s">
        <v>82</v>
      </c>
      <c r="F649" s="1" t="s">
        <v>391</v>
      </c>
      <c r="G649" s="1" t="s">
        <v>182</v>
      </c>
      <c r="H649" s="1" t="s">
        <v>392</v>
      </c>
      <c r="K649" s="1" t="s">
        <v>903</v>
      </c>
      <c r="L649" s="1" t="s">
        <v>904</v>
      </c>
      <c r="M649" s="1" t="s">
        <v>496</v>
      </c>
      <c r="N649" s="1" t="s">
        <v>2326</v>
      </c>
      <c r="O649" s="1" t="s">
        <v>2327</v>
      </c>
      <c r="P649" s="1"/>
      <c r="Q649" s="1" t="s">
        <v>70</v>
      </c>
      <c r="Z649" s="1" t="s">
        <v>71</v>
      </c>
      <c r="AE649" s="1" t="s">
        <v>2317</v>
      </c>
      <c r="AH649" s="1" t="s">
        <v>73</v>
      </c>
      <c r="AK649" s="1" t="s">
        <v>71</v>
      </c>
      <c r="AM649" s="1" t="s">
        <v>71</v>
      </c>
      <c r="AN649" s="1" t="s">
        <v>71</v>
      </c>
      <c r="AS649" s="1" t="s">
        <v>71</v>
      </c>
      <c r="AX649" s="1" t="s">
        <v>71</v>
      </c>
      <c r="BH649" s="1" t="s">
        <v>71</v>
      </c>
    </row>
    <row r="650" customFormat="false" ht="15" hidden="false" customHeight="false" outlineLevel="0" collapsed="false">
      <c r="A650" s="1" t="s">
        <v>2328</v>
      </c>
      <c r="B650" s="1" t="s">
        <v>1937</v>
      </c>
      <c r="C650" s="1" t="s">
        <v>659</v>
      </c>
      <c r="D650" s="1" t="s">
        <v>2329</v>
      </c>
      <c r="E650" s="1" t="s">
        <v>82</v>
      </c>
      <c r="F650" s="1" t="s">
        <v>391</v>
      </c>
      <c r="G650" s="1" t="s">
        <v>443</v>
      </c>
      <c r="H650" s="1" t="s">
        <v>444</v>
      </c>
      <c r="K650" s="1" t="s">
        <v>261</v>
      </c>
      <c r="L650" s="1" t="s">
        <v>1937</v>
      </c>
      <c r="M650" s="1" t="s">
        <v>496</v>
      </c>
      <c r="N650" s="1" t="s">
        <v>1939</v>
      </c>
      <c r="O650" s="1" t="s">
        <v>1940</v>
      </c>
      <c r="P650" s="1"/>
      <c r="Q650" s="1" t="s">
        <v>70</v>
      </c>
      <c r="Z650" s="1" t="s">
        <v>71</v>
      </c>
      <c r="AE650" s="1" t="s">
        <v>2330</v>
      </c>
      <c r="AH650" s="1" t="s">
        <v>73</v>
      </c>
      <c r="AK650" s="1" t="s">
        <v>71</v>
      </c>
      <c r="AM650" s="1" t="s">
        <v>71</v>
      </c>
      <c r="AN650" s="1" t="s">
        <v>71</v>
      </c>
      <c r="AS650" s="1" t="s">
        <v>71</v>
      </c>
      <c r="AX650" s="1" t="s">
        <v>71</v>
      </c>
      <c r="BH650" s="1" t="s">
        <v>71</v>
      </c>
    </row>
    <row r="651" customFormat="false" ht="15" hidden="false" customHeight="false" outlineLevel="0" collapsed="false">
      <c r="A651" s="1" t="s">
        <v>2331</v>
      </c>
      <c r="B651" s="1" t="s">
        <v>2332</v>
      </c>
      <c r="C651" s="1" t="s">
        <v>524</v>
      </c>
      <c r="D651" s="1" t="s">
        <v>841</v>
      </c>
      <c r="E651" s="1" t="s">
        <v>82</v>
      </c>
      <c r="F651" s="1" t="s">
        <v>391</v>
      </c>
      <c r="G651" s="1" t="s">
        <v>443</v>
      </c>
      <c r="H651" s="1" t="s">
        <v>444</v>
      </c>
      <c r="K651" s="1" t="s">
        <v>281</v>
      </c>
      <c r="L651" s="1" t="s">
        <v>2333</v>
      </c>
      <c r="M651" s="1" t="s">
        <v>692</v>
      </c>
      <c r="N651" s="1" t="s">
        <v>2334</v>
      </c>
      <c r="O651" s="1" t="s">
        <v>2335</v>
      </c>
      <c r="P651" s="1"/>
      <c r="Q651" s="1" t="s">
        <v>70</v>
      </c>
      <c r="Z651" s="1" t="s">
        <v>71</v>
      </c>
      <c r="AE651" s="1" t="s">
        <v>2336</v>
      </c>
      <c r="AH651" s="1" t="s">
        <v>73</v>
      </c>
      <c r="AK651" s="1" t="s">
        <v>71</v>
      </c>
      <c r="AM651" s="1" t="s">
        <v>71</v>
      </c>
      <c r="AN651" s="1" t="s">
        <v>71</v>
      </c>
      <c r="AS651" s="1" t="s">
        <v>71</v>
      </c>
      <c r="AX651" s="1" t="s">
        <v>71</v>
      </c>
      <c r="BH651" s="1" t="s">
        <v>71</v>
      </c>
    </row>
    <row r="652" customFormat="false" ht="15" hidden="false" customHeight="false" outlineLevel="0" collapsed="false">
      <c r="A652" s="1" t="s">
        <v>2337</v>
      </c>
      <c r="B652" s="1" t="s">
        <v>2338</v>
      </c>
      <c r="C652" s="1" t="s">
        <v>524</v>
      </c>
      <c r="D652" s="1" t="s">
        <v>841</v>
      </c>
      <c r="E652" s="1" t="s">
        <v>82</v>
      </c>
      <c r="F652" s="1" t="s">
        <v>391</v>
      </c>
      <c r="G652" s="1" t="s">
        <v>443</v>
      </c>
      <c r="H652" s="1" t="s">
        <v>444</v>
      </c>
      <c r="K652" s="1" t="s">
        <v>286</v>
      </c>
      <c r="L652" s="1" t="s">
        <v>2339</v>
      </c>
      <c r="M652" s="1" t="s">
        <v>496</v>
      </c>
      <c r="N652" s="1" t="s">
        <v>2340</v>
      </c>
      <c r="O652" s="1" t="s">
        <v>400</v>
      </c>
      <c r="P652" s="1"/>
      <c r="Q652" s="1" t="s">
        <v>70</v>
      </c>
      <c r="Z652" s="1" t="s">
        <v>71</v>
      </c>
      <c r="AE652" s="1" t="s">
        <v>2336</v>
      </c>
      <c r="AH652" s="1" t="s">
        <v>73</v>
      </c>
      <c r="AK652" s="1" t="s">
        <v>71</v>
      </c>
      <c r="AM652" s="1" t="s">
        <v>71</v>
      </c>
      <c r="AN652" s="1" t="s">
        <v>71</v>
      </c>
      <c r="AS652" s="1" t="s">
        <v>71</v>
      </c>
      <c r="AX652" s="1" t="s">
        <v>71</v>
      </c>
      <c r="BH652" s="1" t="s">
        <v>71</v>
      </c>
    </row>
    <row r="653" customFormat="false" ht="15" hidden="false" customHeight="false" outlineLevel="0" collapsed="false">
      <c r="A653" s="1" t="s">
        <v>2341</v>
      </c>
      <c r="B653" s="1" t="s">
        <v>2342</v>
      </c>
      <c r="C653" s="1" t="s">
        <v>128</v>
      </c>
      <c r="D653" s="1" t="s">
        <v>129</v>
      </c>
      <c r="E653" s="1" t="s">
        <v>61</v>
      </c>
      <c r="F653" s="1" t="s">
        <v>101</v>
      </c>
      <c r="G653" s="1" t="s">
        <v>93</v>
      </c>
      <c r="H653" s="1" t="s">
        <v>64</v>
      </c>
      <c r="K653" s="1" t="s">
        <v>163</v>
      </c>
      <c r="L653" s="1" t="s">
        <v>164</v>
      </c>
      <c r="M653" s="1" t="s">
        <v>165</v>
      </c>
      <c r="N653" s="1" t="s">
        <v>166</v>
      </c>
      <c r="O653" s="1" t="s">
        <v>167</v>
      </c>
      <c r="P653" s="1"/>
      <c r="Q653" s="1" t="s">
        <v>70</v>
      </c>
      <c r="U653" s="1" t="s">
        <v>2341</v>
      </c>
      <c r="Z653" s="1" t="s">
        <v>71</v>
      </c>
      <c r="AE653" s="1" t="s">
        <v>2343</v>
      </c>
      <c r="AH653" s="1" t="s">
        <v>73</v>
      </c>
      <c r="AK653" s="1" t="s">
        <v>71</v>
      </c>
      <c r="AM653" s="1" t="s">
        <v>71</v>
      </c>
      <c r="AN653" s="1" t="s">
        <v>71</v>
      </c>
      <c r="AS653" s="1" t="s">
        <v>71</v>
      </c>
      <c r="AX653" s="1" t="s">
        <v>71</v>
      </c>
      <c r="AY653" s="1" t="s">
        <v>59</v>
      </c>
      <c r="AZ653" s="1" t="s">
        <v>74</v>
      </c>
      <c r="BH653" s="1" t="s">
        <v>71</v>
      </c>
    </row>
    <row r="654" customFormat="false" ht="15" hidden="false" customHeight="false" outlineLevel="0" collapsed="false">
      <c r="A654" s="1" t="s">
        <v>2344</v>
      </c>
      <c r="B654" s="1" t="s">
        <v>2345</v>
      </c>
      <c r="C654" s="1" t="s">
        <v>453</v>
      </c>
      <c r="D654" s="1" t="s">
        <v>2008</v>
      </c>
      <c r="E654" s="1" t="s">
        <v>82</v>
      </c>
      <c r="F654" s="1" t="s">
        <v>391</v>
      </c>
      <c r="G654" s="1" t="s">
        <v>443</v>
      </c>
      <c r="H654" s="1" t="s">
        <v>444</v>
      </c>
      <c r="K654" s="1" t="s">
        <v>666</v>
      </c>
      <c r="L654" s="1" t="s">
        <v>667</v>
      </c>
      <c r="M654" s="1" t="s">
        <v>806</v>
      </c>
      <c r="N654" s="1" t="s">
        <v>2198</v>
      </c>
      <c r="O654" s="1" t="s">
        <v>2199</v>
      </c>
      <c r="P654" s="1"/>
      <c r="Q654" s="1" t="s">
        <v>70</v>
      </c>
      <c r="Z654" s="1" t="s">
        <v>71</v>
      </c>
      <c r="AE654" s="1" t="s">
        <v>2346</v>
      </c>
      <c r="AH654" s="1" t="s">
        <v>73</v>
      </c>
      <c r="AK654" s="1" t="s">
        <v>71</v>
      </c>
      <c r="AM654" s="1" t="s">
        <v>71</v>
      </c>
      <c r="AN654" s="1" t="s">
        <v>71</v>
      </c>
      <c r="AS654" s="1" t="s">
        <v>71</v>
      </c>
      <c r="AX654" s="1" t="s">
        <v>71</v>
      </c>
      <c r="BH654" s="1" t="s">
        <v>71</v>
      </c>
    </row>
    <row r="655" customFormat="false" ht="15" hidden="false" customHeight="false" outlineLevel="0" collapsed="false">
      <c r="A655" s="1" t="s">
        <v>2347</v>
      </c>
      <c r="B655" s="1" t="s">
        <v>2348</v>
      </c>
      <c r="C655" s="1" t="s">
        <v>161</v>
      </c>
      <c r="D655" s="1" t="s">
        <v>162</v>
      </c>
      <c r="E655" s="1" t="s">
        <v>61</v>
      </c>
      <c r="F655" s="1" t="s">
        <v>101</v>
      </c>
      <c r="G655" s="1" t="s">
        <v>93</v>
      </c>
      <c r="H655" s="1" t="s">
        <v>64</v>
      </c>
      <c r="K655" s="1" t="s">
        <v>1784</v>
      </c>
      <c r="L655" s="1" t="s">
        <v>1785</v>
      </c>
      <c r="M655" s="1" t="s">
        <v>104</v>
      </c>
      <c r="N655" s="1" t="s">
        <v>123</v>
      </c>
      <c r="O655" s="1" t="s">
        <v>124</v>
      </c>
      <c r="P655" s="1"/>
      <c r="Q655" s="1" t="s">
        <v>70</v>
      </c>
      <c r="U655" s="1" t="s">
        <v>2347</v>
      </c>
      <c r="Z655" s="1" t="s">
        <v>71</v>
      </c>
      <c r="AE655" s="1" t="s">
        <v>2349</v>
      </c>
      <c r="AH655" s="1" t="s">
        <v>73</v>
      </c>
      <c r="AK655" s="1" t="s">
        <v>71</v>
      </c>
      <c r="AM655" s="1" t="s">
        <v>71</v>
      </c>
      <c r="AN655" s="1" t="s">
        <v>71</v>
      </c>
      <c r="AS655" s="1" t="s">
        <v>71</v>
      </c>
      <c r="AX655" s="1" t="s">
        <v>71</v>
      </c>
      <c r="AY655" s="1" t="s">
        <v>59</v>
      </c>
      <c r="AZ655" s="1" t="s">
        <v>74</v>
      </c>
      <c r="BH655" s="1" t="s">
        <v>71</v>
      </c>
    </row>
    <row r="656" customFormat="false" ht="15" hidden="false" customHeight="false" outlineLevel="0" collapsed="false">
      <c r="A656" s="1" t="s">
        <v>2350</v>
      </c>
      <c r="B656" s="1" t="s">
        <v>2351</v>
      </c>
      <c r="C656" s="1" t="s">
        <v>720</v>
      </c>
      <c r="D656" s="1" t="s">
        <v>2159</v>
      </c>
      <c r="E656" s="1" t="s">
        <v>82</v>
      </c>
      <c r="F656" s="1" t="s">
        <v>391</v>
      </c>
      <c r="G656" s="1" t="s">
        <v>443</v>
      </c>
      <c r="H656" s="1" t="s">
        <v>444</v>
      </c>
      <c r="K656" s="1" t="s">
        <v>618</v>
      </c>
      <c r="L656" s="1" t="s">
        <v>619</v>
      </c>
      <c r="M656" s="1" t="s">
        <v>496</v>
      </c>
      <c r="N656" s="1" t="s">
        <v>2311</v>
      </c>
      <c r="O656" s="1" t="s">
        <v>2312</v>
      </c>
      <c r="P656" s="1"/>
      <c r="Q656" s="1" t="s">
        <v>70</v>
      </c>
      <c r="Z656" s="1" t="s">
        <v>71</v>
      </c>
      <c r="AE656" s="1" t="s">
        <v>2352</v>
      </c>
      <c r="AH656" s="1" t="s">
        <v>73</v>
      </c>
      <c r="AK656" s="1" t="s">
        <v>71</v>
      </c>
      <c r="AM656" s="1" t="s">
        <v>71</v>
      </c>
      <c r="AN656" s="1" t="s">
        <v>71</v>
      </c>
      <c r="AS656" s="1" t="s">
        <v>71</v>
      </c>
      <c r="AX656" s="1" t="s">
        <v>71</v>
      </c>
      <c r="BH656" s="1" t="s">
        <v>71</v>
      </c>
    </row>
    <row r="657" customFormat="false" ht="15" hidden="false" customHeight="false" outlineLevel="0" collapsed="false">
      <c r="A657" s="1" t="s">
        <v>2353</v>
      </c>
      <c r="B657" s="1" t="s">
        <v>2354</v>
      </c>
      <c r="C657" s="1" t="s">
        <v>288</v>
      </c>
      <c r="D657" s="1" t="s">
        <v>289</v>
      </c>
      <c r="E657" s="1" t="s">
        <v>61</v>
      </c>
      <c r="F657" s="1" t="s">
        <v>101</v>
      </c>
      <c r="G657" s="1" t="s">
        <v>93</v>
      </c>
      <c r="H657" s="1" t="s">
        <v>64</v>
      </c>
      <c r="K657" s="1" t="s">
        <v>251</v>
      </c>
      <c r="L657" s="1" t="s">
        <v>1084</v>
      </c>
      <c r="M657" s="1" t="s">
        <v>104</v>
      </c>
      <c r="N657" s="1" t="s">
        <v>123</v>
      </c>
      <c r="O657" s="1" t="s">
        <v>124</v>
      </c>
      <c r="P657" s="1"/>
      <c r="Q657" s="1" t="s">
        <v>70</v>
      </c>
      <c r="U657" s="1" t="s">
        <v>2353</v>
      </c>
      <c r="Z657" s="1" t="s">
        <v>71</v>
      </c>
      <c r="AE657" s="1" t="s">
        <v>2355</v>
      </c>
      <c r="AH657" s="1" t="s">
        <v>73</v>
      </c>
      <c r="AK657" s="1" t="s">
        <v>71</v>
      </c>
      <c r="AM657" s="1" t="s">
        <v>71</v>
      </c>
      <c r="AN657" s="1" t="s">
        <v>71</v>
      </c>
      <c r="AS657" s="1" t="s">
        <v>71</v>
      </c>
      <c r="AX657" s="1" t="s">
        <v>71</v>
      </c>
      <c r="AY657" s="1" t="s">
        <v>59</v>
      </c>
      <c r="AZ657" s="1" t="s">
        <v>74</v>
      </c>
      <c r="BH657" s="1" t="s">
        <v>71</v>
      </c>
    </row>
    <row r="658" customFormat="false" ht="15" hidden="false" customHeight="false" outlineLevel="0" collapsed="false">
      <c r="A658" s="1" t="s">
        <v>2356</v>
      </c>
      <c r="B658" s="1" t="s">
        <v>2357</v>
      </c>
      <c r="C658" s="1" t="s">
        <v>182</v>
      </c>
      <c r="D658" s="1" t="s">
        <v>239</v>
      </c>
      <c r="E658" s="1" t="s">
        <v>61</v>
      </c>
      <c r="F658" s="1" t="s">
        <v>101</v>
      </c>
      <c r="G658" s="1" t="s">
        <v>108</v>
      </c>
      <c r="H658" s="1" t="s">
        <v>1495</v>
      </c>
      <c r="K658" s="1" t="s">
        <v>180</v>
      </c>
      <c r="L658" s="1" t="s">
        <v>1496</v>
      </c>
      <c r="M658" s="1" t="s">
        <v>1497</v>
      </c>
      <c r="N658" s="1" t="s">
        <v>1498</v>
      </c>
      <c r="O658" s="1" t="s">
        <v>1499</v>
      </c>
      <c r="P658" s="1"/>
      <c r="Q658" s="1" t="s">
        <v>70</v>
      </c>
      <c r="U658" s="1" t="s">
        <v>245</v>
      </c>
      <c r="Z658" s="1" t="s">
        <v>71</v>
      </c>
      <c r="AA658" s="1" t="s">
        <v>91</v>
      </c>
      <c r="AE658" s="1" t="s">
        <v>2358</v>
      </c>
      <c r="AH658" s="1" t="s">
        <v>73</v>
      </c>
      <c r="AK658" s="1" t="s">
        <v>71</v>
      </c>
      <c r="AM658" s="1" t="s">
        <v>71</v>
      </c>
      <c r="AN658" s="1" t="s">
        <v>71</v>
      </c>
      <c r="AS658" s="1" t="s">
        <v>71</v>
      </c>
      <c r="AX658" s="1" t="s">
        <v>71</v>
      </c>
      <c r="AY658" s="1" t="s">
        <v>59</v>
      </c>
      <c r="AZ658" s="1" t="s">
        <v>74</v>
      </c>
      <c r="BH658" s="1" t="s">
        <v>71</v>
      </c>
    </row>
    <row r="659" customFormat="false" ht="15" hidden="false" customHeight="false" outlineLevel="0" collapsed="false">
      <c r="A659" s="1" t="s">
        <v>2359</v>
      </c>
      <c r="B659" s="1" t="s">
        <v>2360</v>
      </c>
      <c r="C659" s="1" t="s">
        <v>720</v>
      </c>
      <c r="D659" s="1" t="s">
        <v>2159</v>
      </c>
      <c r="E659" s="1" t="s">
        <v>82</v>
      </c>
      <c r="F659" s="1" t="s">
        <v>391</v>
      </c>
      <c r="G659" s="1" t="s">
        <v>443</v>
      </c>
      <c r="H659" s="1" t="s">
        <v>444</v>
      </c>
      <c r="K659" s="1" t="s">
        <v>618</v>
      </c>
      <c r="L659" s="1" t="s">
        <v>619</v>
      </c>
      <c r="M659" s="1" t="s">
        <v>496</v>
      </c>
      <c r="N659" s="1" t="s">
        <v>2118</v>
      </c>
      <c r="O659" s="1" t="s">
        <v>2119</v>
      </c>
      <c r="P659" s="1"/>
      <c r="Q659" s="1" t="s">
        <v>70</v>
      </c>
      <c r="Z659" s="1" t="s">
        <v>71</v>
      </c>
      <c r="AE659" s="1" t="s">
        <v>2361</v>
      </c>
      <c r="AH659" s="1" t="s">
        <v>73</v>
      </c>
      <c r="AK659" s="1" t="s">
        <v>71</v>
      </c>
      <c r="AM659" s="1" t="s">
        <v>71</v>
      </c>
      <c r="AN659" s="1" t="s">
        <v>71</v>
      </c>
      <c r="AS659" s="1" t="s">
        <v>71</v>
      </c>
      <c r="AX659" s="1" t="s">
        <v>71</v>
      </c>
      <c r="BH659" s="1" t="s">
        <v>71</v>
      </c>
    </row>
    <row r="660" customFormat="false" ht="15" hidden="false" customHeight="false" outlineLevel="0" collapsed="false">
      <c r="A660" s="1" t="s">
        <v>2362</v>
      </c>
      <c r="B660" s="1" t="s">
        <v>2363</v>
      </c>
      <c r="C660" s="1" t="s">
        <v>368</v>
      </c>
      <c r="D660" s="1" t="s">
        <v>1629</v>
      </c>
      <c r="E660" s="1" t="s">
        <v>82</v>
      </c>
      <c r="F660" s="1" t="s">
        <v>391</v>
      </c>
      <c r="G660" s="1" t="s">
        <v>213</v>
      </c>
      <c r="H660" s="1" t="s">
        <v>477</v>
      </c>
      <c r="K660" s="1" t="s">
        <v>478</v>
      </c>
      <c r="L660" s="1" t="s">
        <v>479</v>
      </c>
      <c r="M660" s="1" t="s">
        <v>496</v>
      </c>
      <c r="N660" s="1" t="s">
        <v>672</v>
      </c>
      <c r="O660" s="1" t="s">
        <v>673</v>
      </c>
      <c r="P660" s="1"/>
      <c r="Q660" s="1" t="s">
        <v>70</v>
      </c>
      <c r="Z660" s="1" t="s">
        <v>71</v>
      </c>
      <c r="AE660" s="1" t="s">
        <v>2361</v>
      </c>
      <c r="AH660" s="1" t="s">
        <v>73</v>
      </c>
      <c r="AK660" s="1" t="s">
        <v>71</v>
      </c>
      <c r="AM660" s="1" t="s">
        <v>71</v>
      </c>
      <c r="AN660" s="1" t="s">
        <v>71</v>
      </c>
      <c r="AS660" s="1" t="s">
        <v>71</v>
      </c>
      <c r="AX660" s="1" t="s">
        <v>71</v>
      </c>
      <c r="BH660" s="1" t="s">
        <v>71</v>
      </c>
    </row>
    <row r="661" customFormat="false" ht="15" hidden="false" customHeight="false" outlineLevel="0" collapsed="false">
      <c r="A661" s="1" t="s">
        <v>2364</v>
      </c>
      <c r="B661" s="1" t="s">
        <v>2365</v>
      </c>
      <c r="C661" s="1" t="s">
        <v>220</v>
      </c>
      <c r="D661" s="1" t="s">
        <v>540</v>
      </c>
      <c r="E661" s="1" t="s">
        <v>82</v>
      </c>
      <c r="F661" s="1" t="s">
        <v>391</v>
      </c>
      <c r="G661" s="1" t="s">
        <v>213</v>
      </c>
      <c r="H661" s="1" t="s">
        <v>477</v>
      </c>
      <c r="K661" s="1" t="s">
        <v>478</v>
      </c>
      <c r="L661" s="1" t="s">
        <v>479</v>
      </c>
      <c r="M661" s="1" t="s">
        <v>59</v>
      </c>
      <c r="N661" s="1" t="s">
        <v>884</v>
      </c>
      <c r="O661" s="1" t="s">
        <v>447</v>
      </c>
      <c r="P661" s="1"/>
      <c r="Q661" s="1" t="s">
        <v>70</v>
      </c>
      <c r="Z661" s="1" t="s">
        <v>71</v>
      </c>
      <c r="AE661" s="1" t="s">
        <v>2361</v>
      </c>
      <c r="AH661" s="1" t="s">
        <v>73</v>
      </c>
      <c r="AK661" s="1" t="s">
        <v>71</v>
      </c>
      <c r="AM661" s="1" t="s">
        <v>71</v>
      </c>
      <c r="AN661" s="1" t="s">
        <v>71</v>
      </c>
      <c r="AS661" s="1" t="s">
        <v>71</v>
      </c>
      <c r="AX661" s="1" t="s">
        <v>71</v>
      </c>
      <c r="BH661" s="1" t="s">
        <v>71</v>
      </c>
    </row>
    <row r="662" customFormat="false" ht="15" hidden="false" customHeight="false" outlineLevel="0" collapsed="false">
      <c r="A662" s="1" t="s">
        <v>2366</v>
      </c>
      <c r="B662" s="1" t="s">
        <v>2367</v>
      </c>
      <c r="C662" s="1" t="s">
        <v>368</v>
      </c>
      <c r="D662" s="1" t="s">
        <v>1629</v>
      </c>
      <c r="E662" s="1" t="s">
        <v>82</v>
      </c>
      <c r="F662" s="1" t="s">
        <v>391</v>
      </c>
      <c r="G662" s="1" t="s">
        <v>213</v>
      </c>
      <c r="H662" s="1" t="s">
        <v>477</v>
      </c>
      <c r="K662" s="1" t="s">
        <v>478</v>
      </c>
      <c r="L662" s="1" t="s">
        <v>479</v>
      </c>
      <c r="M662" s="1" t="s">
        <v>496</v>
      </c>
      <c r="N662" s="1" t="s">
        <v>536</v>
      </c>
      <c r="O662" s="1" t="s">
        <v>537</v>
      </c>
      <c r="P662" s="1"/>
      <c r="Q662" s="1" t="s">
        <v>70</v>
      </c>
      <c r="Z662" s="1" t="s">
        <v>71</v>
      </c>
      <c r="AE662" s="1" t="s">
        <v>2361</v>
      </c>
      <c r="AH662" s="1" t="s">
        <v>73</v>
      </c>
      <c r="AK662" s="1" t="s">
        <v>71</v>
      </c>
      <c r="AM662" s="1" t="s">
        <v>71</v>
      </c>
      <c r="AN662" s="1" t="s">
        <v>71</v>
      </c>
      <c r="AS662" s="1" t="s">
        <v>71</v>
      </c>
      <c r="AX662" s="1" t="s">
        <v>71</v>
      </c>
      <c r="BH662" s="1" t="s">
        <v>71</v>
      </c>
    </row>
    <row r="663" customFormat="false" ht="15" hidden="false" customHeight="false" outlineLevel="0" collapsed="false">
      <c r="A663" s="1" t="s">
        <v>2368</v>
      </c>
      <c r="B663" s="1" t="s">
        <v>2369</v>
      </c>
      <c r="C663" s="1" t="s">
        <v>368</v>
      </c>
      <c r="D663" s="1" t="s">
        <v>1629</v>
      </c>
      <c r="E663" s="1" t="s">
        <v>82</v>
      </c>
      <c r="F663" s="1" t="s">
        <v>391</v>
      </c>
      <c r="G663" s="1" t="s">
        <v>213</v>
      </c>
      <c r="H663" s="1" t="s">
        <v>477</v>
      </c>
      <c r="K663" s="1" t="s">
        <v>478</v>
      </c>
      <c r="L663" s="1" t="s">
        <v>479</v>
      </c>
      <c r="M663" s="1" t="s">
        <v>496</v>
      </c>
      <c r="N663" s="1" t="s">
        <v>2370</v>
      </c>
      <c r="O663" s="1" t="s">
        <v>400</v>
      </c>
      <c r="P663" s="1"/>
      <c r="Q663" s="1" t="s">
        <v>70</v>
      </c>
      <c r="Z663" s="1" t="s">
        <v>71</v>
      </c>
      <c r="AE663" s="1" t="s">
        <v>2361</v>
      </c>
      <c r="AH663" s="1" t="s">
        <v>73</v>
      </c>
      <c r="AK663" s="1" t="s">
        <v>71</v>
      </c>
      <c r="AM663" s="1" t="s">
        <v>71</v>
      </c>
      <c r="AN663" s="1" t="s">
        <v>71</v>
      </c>
      <c r="AS663" s="1" t="s">
        <v>71</v>
      </c>
      <c r="AX663" s="1" t="s">
        <v>71</v>
      </c>
      <c r="BH663" s="1" t="s">
        <v>71</v>
      </c>
    </row>
    <row r="664" customFormat="false" ht="15" hidden="false" customHeight="false" outlineLevel="0" collapsed="false">
      <c r="A664" s="1" t="s">
        <v>2371</v>
      </c>
      <c r="B664" s="1" t="s">
        <v>2372</v>
      </c>
      <c r="C664" s="1" t="s">
        <v>742</v>
      </c>
      <c r="D664" s="1" t="s">
        <v>1977</v>
      </c>
      <c r="E664" s="1" t="s">
        <v>82</v>
      </c>
      <c r="F664" s="1" t="s">
        <v>391</v>
      </c>
      <c r="G664" s="1" t="s">
        <v>213</v>
      </c>
      <c r="H664" s="1" t="s">
        <v>477</v>
      </c>
      <c r="K664" s="1" t="s">
        <v>478</v>
      </c>
      <c r="L664" s="1" t="s">
        <v>479</v>
      </c>
      <c r="M664" s="1" t="s">
        <v>496</v>
      </c>
      <c r="N664" s="1" t="s">
        <v>2021</v>
      </c>
      <c r="O664" s="1" t="s">
        <v>400</v>
      </c>
      <c r="P664" s="1"/>
      <c r="Q664" s="1" t="s">
        <v>70</v>
      </c>
      <c r="Z664" s="1" t="s">
        <v>71</v>
      </c>
      <c r="AE664" s="1" t="s">
        <v>2361</v>
      </c>
      <c r="AH664" s="1" t="s">
        <v>73</v>
      </c>
      <c r="AK664" s="1" t="s">
        <v>71</v>
      </c>
      <c r="AM664" s="1" t="s">
        <v>71</v>
      </c>
      <c r="AN664" s="1" t="s">
        <v>71</v>
      </c>
      <c r="AS664" s="1" t="s">
        <v>71</v>
      </c>
      <c r="AX664" s="1" t="s">
        <v>71</v>
      </c>
      <c r="BH664" s="1" t="s">
        <v>71</v>
      </c>
    </row>
    <row r="665" customFormat="false" ht="15" hidden="false" customHeight="false" outlineLevel="0" collapsed="false">
      <c r="A665" s="1" t="s">
        <v>2373</v>
      </c>
      <c r="B665" s="1" t="s">
        <v>2374</v>
      </c>
      <c r="C665" s="1" t="s">
        <v>368</v>
      </c>
      <c r="D665" s="1" t="s">
        <v>1629</v>
      </c>
      <c r="E665" s="1" t="s">
        <v>82</v>
      </c>
      <c r="F665" s="1" t="s">
        <v>391</v>
      </c>
      <c r="G665" s="1" t="s">
        <v>213</v>
      </c>
      <c r="H665" s="1" t="s">
        <v>477</v>
      </c>
      <c r="K665" s="1" t="s">
        <v>478</v>
      </c>
      <c r="L665" s="1" t="s">
        <v>479</v>
      </c>
      <c r="M665" s="1" t="s">
        <v>496</v>
      </c>
      <c r="N665" s="1" t="s">
        <v>530</v>
      </c>
      <c r="O665" s="1" t="s">
        <v>531</v>
      </c>
      <c r="P665" s="1"/>
      <c r="Q665" s="1" t="s">
        <v>70</v>
      </c>
      <c r="Z665" s="1" t="s">
        <v>71</v>
      </c>
      <c r="AE665" s="1" t="s">
        <v>2361</v>
      </c>
      <c r="AH665" s="1" t="s">
        <v>73</v>
      </c>
      <c r="AK665" s="1" t="s">
        <v>71</v>
      </c>
      <c r="AM665" s="1" t="s">
        <v>71</v>
      </c>
      <c r="AN665" s="1" t="s">
        <v>71</v>
      </c>
      <c r="AS665" s="1" t="s">
        <v>71</v>
      </c>
      <c r="AX665" s="1" t="s">
        <v>71</v>
      </c>
      <c r="BH665" s="1" t="s">
        <v>71</v>
      </c>
    </row>
    <row r="666" customFormat="false" ht="15" hidden="false" customHeight="false" outlineLevel="0" collapsed="false">
      <c r="A666" s="1" t="s">
        <v>2375</v>
      </c>
      <c r="B666" s="1" t="s">
        <v>2376</v>
      </c>
      <c r="C666" s="1" t="s">
        <v>368</v>
      </c>
      <c r="D666" s="1" t="s">
        <v>1629</v>
      </c>
      <c r="E666" s="1" t="s">
        <v>82</v>
      </c>
      <c r="F666" s="1" t="s">
        <v>391</v>
      </c>
      <c r="G666" s="1" t="s">
        <v>213</v>
      </c>
      <c r="H666" s="1" t="s">
        <v>477</v>
      </c>
      <c r="K666" s="1" t="s">
        <v>478</v>
      </c>
      <c r="L666" s="1" t="s">
        <v>479</v>
      </c>
      <c r="M666" s="1" t="s">
        <v>496</v>
      </c>
      <c r="N666" s="1" t="s">
        <v>672</v>
      </c>
      <c r="O666" s="1" t="s">
        <v>673</v>
      </c>
      <c r="P666" s="1"/>
      <c r="Q666" s="1" t="s">
        <v>70</v>
      </c>
      <c r="Z666" s="1" t="s">
        <v>71</v>
      </c>
      <c r="AE666" s="1" t="s">
        <v>2361</v>
      </c>
      <c r="AH666" s="1" t="s">
        <v>73</v>
      </c>
      <c r="AK666" s="1" t="s">
        <v>71</v>
      </c>
      <c r="AM666" s="1" t="s">
        <v>71</v>
      </c>
      <c r="AN666" s="1" t="s">
        <v>71</v>
      </c>
      <c r="AS666" s="1" t="s">
        <v>71</v>
      </c>
      <c r="AX666" s="1" t="s">
        <v>71</v>
      </c>
      <c r="BH666" s="1" t="s">
        <v>71</v>
      </c>
    </row>
    <row r="667" customFormat="false" ht="15" hidden="false" customHeight="false" outlineLevel="0" collapsed="false">
      <c r="A667" s="1" t="s">
        <v>2377</v>
      </c>
      <c r="B667" s="1" t="s">
        <v>2378</v>
      </c>
      <c r="C667" s="1" t="s">
        <v>368</v>
      </c>
      <c r="D667" s="1" t="s">
        <v>1629</v>
      </c>
      <c r="E667" s="1" t="s">
        <v>82</v>
      </c>
      <c r="F667" s="1" t="s">
        <v>391</v>
      </c>
      <c r="G667" s="1" t="s">
        <v>213</v>
      </c>
      <c r="H667" s="1" t="s">
        <v>477</v>
      </c>
      <c r="K667" s="1" t="s">
        <v>478</v>
      </c>
      <c r="L667" s="1" t="s">
        <v>479</v>
      </c>
      <c r="M667" s="1" t="s">
        <v>496</v>
      </c>
      <c r="N667" s="1" t="s">
        <v>518</v>
      </c>
      <c r="O667" s="1" t="s">
        <v>519</v>
      </c>
      <c r="P667" s="1"/>
      <c r="Q667" s="1" t="s">
        <v>70</v>
      </c>
      <c r="Z667" s="1" t="s">
        <v>71</v>
      </c>
      <c r="AE667" s="1" t="s">
        <v>2361</v>
      </c>
      <c r="AH667" s="1" t="s">
        <v>73</v>
      </c>
      <c r="AK667" s="1" t="s">
        <v>71</v>
      </c>
      <c r="AM667" s="1" t="s">
        <v>71</v>
      </c>
      <c r="AN667" s="1" t="s">
        <v>71</v>
      </c>
      <c r="AS667" s="1" t="s">
        <v>71</v>
      </c>
      <c r="AX667" s="1" t="s">
        <v>71</v>
      </c>
      <c r="BH667" s="1" t="s">
        <v>71</v>
      </c>
    </row>
    <row r="668" customFormat="false" ht="15" hidden="false" customHeight="false" outlineLevel="0" collapsed="false">
      <c r="A668" s="1" t="s">
        <v>2379</v>
      </c>
      <c r="B668" s="1" t="s">
        <v>2380</v>
      </c>
      <c r="C668" s="1" t="s">
        <v>368</v>
      </c>
      <c r="D668" s="1" t="s">
        <v>1629</v>
      </c>
      <c r="E668" s="1" t="s">
        <v>82</v>
      </c>
      <c r="F668" s="1" t="s">
        <v>391</v>
      </c>
      <c r="G668" s="1" t="s">
        <v>213</v>
      </c>
      <c r="H668" s="1" t="s">
        <v>477</v>
      </c>
      <c r="K668" s="1" t="s">
        <v>478</v>
      </c>
      <c r="L668" s="1" t="s">
        <v>479</v>
      </c>
      <c r="M668" s="1" t="s">
        <v>496</v>
      </c>
      <c r="N668" s="1" t="s">
        <v>530</v>
      </c>
      <c r="O668" s="1" t="s">
        <v>531</v>
      </c>
      <c r="P668" s="1"/>
      <c r="Q668" s="1" t="s">
        <v>70</v>
      </c>
      <c r="Z668" s="1" t="s">
        <v>71</v>
      </c>
      <c r="AE668" s="1" t="s">
        <v>2361</v>
      </c>
      <c r="AH668" s="1" t="s">
        <v>73</v>
      </c>
      <c r="AK668" s="1" t="s">
        <v>71</v>
      </c>
      <c r="AM668" s="1" t="s">
        <v>71</v>
      </c>
      <c r="AN668" s="1" t="s">
        <v>71</v>
      </c>
      <c r="AS668" s="1" t="s">
        <v>71</v>
      </c>
      <c r="AX668" s="1" t="s">
        <v>71</v>
      </c>
      <c r="BH668" s="1" t="s">
        <v>71</v>
      </c>
    </row>
    <row r="669" customFormat="false" ht="15" hidden="false" customHeight="false" outlineLevel="0" collapsed="false">
      <c r="A669" s="1" t="s">
        <v>2381</v>
      </c>
      <c r="B669" s="1" t="s">
        <v>2382</v>
      </c>
      <c r="C669" s="1" t="s">
        <v>368</v>
      </c>
      <c r="D669" s="1" t="s">
        <v>1629</v>
      </c>
      <c r="E669" s="1" t="s">
        <v>82</v>
      </c>
      <c r="F669" s="1" t="s">
        <v>391</v>
      </c>
      <c r="G669" s="1" t="s">
        <v>213</v>
      </c>
      <c r="H669" s="1" t="s">
        <v>477</v>
      </c>
      <c r="K669" s="1" t="s">
        <v>478</v>
      </c>
      <c r="L669" s="1" t="s">
        <v>479</v>
      </c>
      <c r="M669" s="1" t="s">
        <v>496</v>
      </c>
      <c r="N669" s="1" t="s">
        <v>1187</v>
      </c>
      <c r="O669" s="1" t="s">
        <v>1188</v>
      </c>
      <c r="P669" s="1"/>
      <c r="Q669" s="1" t="s">
        <v>70</v>
      </c>
      <c r="Z669" s="1" t="s">
        <v>71</v>
      </c>
      <c r="AE669" s="1" t="s">
        <v>2361</v>
      </c>
      <c r="AH669" s="1" t="s">
        <v>73</v>
      </c>
      <c r="AK669" s="1" t="s">
        <v>71</v>
      </c>
      <c r="AM669" s="1" t="s">
        <v>71</v>
      </c>
      <c r="AN669" s="1" t="s">
        <v>71</v>
      </c>
      <c r="AS669" s="1" t="s">
        <v>71</v>
      </c>
      <c r="AX669" s="1" t="s">
        <v>71</v>
      </c>
      <c r="BH669" s="1" t="s">
        <v>71</v>
      </c>
    </row>
    <row r="670" customFormat="false" ht="15" hidden="false" customHeight="false" outlineLevel="0" collapsed="false">
      <c r="A670" s="1" t="s">
        <v>2383</v>
      </c>
      <c r="B670" s="1" t="s">
        <v>2384</v>
      </c>
      <c r="C670" s="1" t="s">
        <v>368</v>
      </c>
      <c r="D670" s="1" t="s">
        <v>1629</v>
      </c>
      <c r="E670" s="1" t="s">
        <v>82</v>
      </c>
      <c r="F670" s="1" t="s">
        <v>391</v>
      </c>
      <c r="G670" s="1" t="s">
        <v>213</v>
      </c>
      <c r="H670" s="1" t="s">
        <v>477</v>
      </c>
      <c r="K670" s="1" t="s">
        <v>478</v>
      </c>
      <c r="L670" s="1" t="s">
        <v>479</v>
      </c>
      <c r="M670" s="1" t="s">
        <v>496</v>
      </c>
      <c r="N670" s="1" t="s">
        <v>884</v>
      </c>
      <c r="O670" s="1" t="s">
        <v>447</v>
      </c>
      <c r="P670" s="1"/>
      <c r="Q670" s="1" t="s">
        <v>70</v>
      </c>
      <c r="Z670" s="1" t="s">
        <v>71</v>
      </c>
      <c r="AE670" s="1" t="s">
        <v>2361</v>
      </c>
      <c r="AH670" s="1" t="s">
        <v>73</v>
      </c>
      <c r="AK670" s="1" t="s">
        <v>71</v>
      </c>
      <c r="AM670" s="1" t="s">
        <v>71</v>
      </c>
      <c r="AN670" s="1" t="s">
        <v>71</v>
      </c>
      <c r="AS670" s="1" t="s">
        <v>71</v>
      </c>
      <c r="AX670" s="1" t="s">
        <v>71</v>
      </c>
      <c r="BH670" s="1" t="s">
        <v>71</v>
      </c>
    </row>
    <row r="671" customFormat="false" ht="15" hidden="false" customHeight="false" outlineLevel="0" collapsed="false">
      <c r="A671" s="1" t="s">
        <v>2385</v>
      </c>
      <c r="B671" s="1" t="s">
        <v>2386</v>
      </c>
      <c r="C671" s="1" t="s">
        <v>368</v>
      </c>
      <c r="D671" s="1" t="s">
        <v>1629</v>
      </c>
      <c r="E671" s="1" t="s">
        <v>82</v>
      </c>
      <c r="F671" s="1" t="s">
        <v>391</v>
      </c>
      <c r="G671" s="1" t="s">
        <v>213</v>
      </c>
      <c r="H671" s="1" t="s">
        <v>477</v>
      </c>
      <c r="K671" s="1" t="s">
        <v>478</v>
      </c>
      <c r="L671" s="1" t="s">
        <v>479</v>
      </c>
      <c r="M671" s="1" t="s">
        <v>496</v>
      </c>
      <c r="N671" s="1" t="s">
        <v>880</v>
      </c>
      <c r="O671" s="1" t="s">
        <v>881</v>
      </c>
      <c r="P671" s="1"/>
      <c r="Q671" s="1" t="s">
        <v>70</v>
      </c>
      <c r="Z671" s="1" t="s">
        <v>71</v>
      </c>
      <c r="AE671" s="1" t="s">
        <v>2361</v>
      </c>
      <c r="AH671" s="1" t="s">
        <v>73</v>
      </c>
      <c r="AK671" s="1" t="s">
        <v>71</v>
      </c>
      <c r="AM671" s="1" t="s">
        <v>71</v>
      </c>
      <c r="AN671" s="1" t="s">
        <v>71</v>
      </c>
      <c r="AS671" s="1" t="s">
        <v>71</v>
      </c>
      <c r="AX671" s="1" t="s">
        <v>71</v>
      </c>
      <c r="BH671" s="1" t="s">
        <v>71</v>
      </c>
    </row>
    <row r="672" customFormat="false" ht="15" hidden="false" customHeight="false" outlineLevel="0" collapsed="false">
      <c r="A672" s="1" t="s">
        <v>2387</v>
      </c>
      <c r="B672" s="1" t="s">
        <v>2388</v>
      </c>
      <c r="C672" s="1" t="s">
        <v>150</v>
      </c>
      <c r="D672" s="1" t="s">
        <v>405</v>
      </c>
      <c r="E672" s="1" t="s">
        <v>82</v>
      </c>
      <c r="F672" s="1" t="s">
        <v>391</v>
      </c>
      <c r="G672" s="1" t="s">
        <v>97</v>
      </c>
      <c r="H672" s="1" t="s">
        <v>406</v>
      </c>
      <c r="K672" s="1" t="s">
        <v>453</v>
      </c>
      <c r="L672" s="1" t="s">
        <v>454</v>
      </c>
      <c r="M672" s="1" t="s">
        <v>393</v>
      </c>
      <c r="N672" s="1" t="s">
        <v>455</v>
      </c>
      <c r="O672" s="1" t="s">
        <v>456</v>
      </c>
      <c r="P672" s="1"/>
      <c r="Q672" s="1" t="s">
        <v>70</v>
      </c>
      <c r="Z672" s="1" t="s">
        <v>71</v>
      </c>
      <c r="AE672" s="1" t="s">
        <v>2389</v>
      </c>
      <c r="AH672" s="1" t="s">
        <v>73</v>
      </c>
      <c r="AK672" s="1" t="s">
        <v>71</v>
      </c>
      <c r="AM672" s="1" t="s">
        <v>71</v>
      </c>
      <c r="AN672" s="1" t="s">
        <v>71</v>
      </c>
      <c r="AS672" s="1" t="s">
        <v>71</v>
      </c>
      <c r="AX672" s="1" t="s">
        <v>71</v>
      </c>
      <c r="BH672" s="1" t="s">
        <v>71</v>
      </c>
    </row>
    <row r="673" customFormat="false" ht="15" hidden="false" customHeight="false" outlineLevel="0" collapsed="false">
      <c r="A673" s="1" t="s">
        <v>2390</v>
      </c>
      <c r="B673" s="1" t="s">
        <v>2391</v>
      </c>
      <c r="C673" s="1" t="s">
        <v>526</v>
      </c>
      <c r="D673" s="1" t="s">
        <v>527</v>
      </c>
      <c r="E673" s="1" t="s">
        <v>82</v>
      </c>
      <c r="F673" s="1" t="s">
        <v>391</v>
      </c>
      <c r="G673" s="1" t="s">
        <v>213</v>
      </c>
      <c r="H673" s="1" t="s">
        <v>477</v>
      </c>
      <c r="K673" s="1" t="s">
        <v>478</v>
      </c>
      <c r="L673" s="1" t="s">
        <v>479</v>
      </c>
      <c r="M673" s="1" t="s">
        <v>496</v>
      </c>
      <c r="N673" s="1" t="s">
        <v>489</v>
      </c>
      <c r="O673" s="1" t="s">
        <v>490</v>
      </c>
      <c r="P673" s="1"/>
      <c r="Q673" s="1" t="s">
        <v>70</v>
      </c>
      <c r="S673" s="1" t="s">
        <v>97</v>
      </c>
      <c r="Z673" s="1" t="s">
        <v>71</v>
      </c>
      <c r="AE673" s="1" t="s">
        <v>2392</v>
      </c>
      <c r="AH673" s="1" t="s">
        <v>73</v>
      </c>
      <c r="AK673" s="1" t="s">
        <v>71</v>
      </c>
      <c r="AM673" s="1" t="s">
        <v>71</v>
      </c>
      <c r="AN673" s="1" t="s">
        <v>71</v>
      </c>
      <c r="AS673" s="1" t="s">
        <v>71</v>
      </c>
      <c r="AX673" s="1" t="s">
        <v>71</v>
      </c>
      <c r="BH673" s="1" t="s">
        <v>71</v>
      </c>
    </row>
    <row r="674" customFormat="false" ht="15" hidden="false" customHeight="false" outlineLevel="0" collapsed="false">
      <c r="A674" s="1" t="s">
        <v>2393</v>
      </c>
      <c r="B674" s="1" t="s">
        <v>2394</v>
      </c>
      <c r="C674" s="1" t="s">
        <v>526</v>
      </c>
      <c r="D674" s="1" t="s">
        <v>527</v>
      </c>
      <c r="E674" s="1" t="s">
        <v>82</v>
      </c>
      <c r="F674" s="1" t="s">
        <v>391</v>
      </c>
      <c r="G674" s="1" t="s">
        <v>213</v>
      </c>
      <c r="H674" s="1" t="s">
        <v>477</v>
      </c>
      <c r="K674" s="1" t="s">
        <v>478</v>
      </c>
      <c r="L674" s="1" t="s">
        <v>479</v>
      </c>
      <c r="M674" s="1" t="s">
        <v>465</v>
      </c>
      <c r="N674" s="1" t="s">
        <v>489</v>
      </c>
      <c r="O674" s="1" t="s">
        <v>490</v>
      </c>
      <c r="P674" s="1"/>
      <c r="Q674" s="1" t="s">
        <v>70</v>
      </c>
      <c r="S674" s="1" t="s">
        <v>97</v>
      </c>
      <c r="Z674" s="1" t="s">
        <v>71</v>
      </c>
      <c r="AE674" s="1" t="s">
        <v>2392</v>
      </c>
      <c r="AH674" s="1" t="s">
        <v>73</v>
      </c>
      <c r="AK674" s="1" t="s">
        <v>71</v>
      </c>
      <c r="AM674" s="1" t="s">
        <v>71</v>
      </c>
      <c r="AN674" s="1" t="s">
        <v>71</v>
      </c>
      <c r="AS674" s="1" t="s">
        <v>71</v>
      </c>
      <c r="AX674" s="1" t="s">
        <v>71</v>
      </c>
      <c r="BH674" s="1" t="s">
        <v>71</v>
      </c>
    </row>
    <row r="675" customFormat="false" ht="15" hidden="false" customHeight="false" outlineLevel="0" collapsed="false">
      <c r="A675" s="1" t="s">
        <v>2395</v>
      </c>
      <c r="B675" s="1" t="s">
        <v>2396</v>
      </c>
      <c r="C675" s="1" t="s">
        <v>368</v>
      </c>
      <c r="D675" s="1" t="s">
        <v>1629</v>
      </c>
      <c r="E675" s="1" t="s">
        <v>82</v>
      </c>
      <c r="F675" s="1" t="s">
        <v>391</v>
      </c>
      <c r="G675" s="1" t="s">
        <v>213</v>
      </c>
      <c r="H675" s="1" t="s">
        <v>477</v>
      </c>
      <c r="K675" s="1" t="s">
        <v>478</v>
      </c>
      <c r="L675" s="1" t="s">
        <v>479</v>
      </c>
      <c r="M675" s="1" t="s">
        <v>1685</v>
      </c>
      <c r="N675" s="1" t="s">
        <v>536</v>
      </c>
      <c r="O675" s="1" t="s">
        <v>537</v>
      </c>
      <c r="P675" s="1"/>
      <c r="Q675" s="1" t="s">
        <v>70</v>
      </c>
      <c r="Z675" s="1" t="s">
        <v>71</v>
      </c>
      <c r="AE675" s="1" t="s">
        <v>2392</v>
      </c>
      <c r="AH675" s="1" t="s">
        <v>73</v>
      </c>
      <c r="AK675" s="1" t="s">
        <v>71</v>
      </c>
      <c r="AM675" s="1" t="s">
        <v>71</v>
      </c>
      <c r="AN675" s="1" t="s">
        <v>71</v>
      </c>
      <c r="AS675" s="1" t="s">
        <v>71</v>
      </c>
      <c r="AX675" s="1" t="s">
        <v>71</v>
      </c>
      <c r="BH675" s="1" t="s">
        <v>71</v>
      </c>
    </row>
    <row r="676" customFormat="false" ht="15" hidden="false" customHeight="false" outlineLevel="0" collapsed="false">
      <c r="A676" s="1" t="s">
        <v>2397</v>
      </c>
      <c r="B676" s="1" t="s">
        <v>2398</v>
      </c>
      <c r="C676" s="1" t="s">
        <v>188</v>
      </c>
      <c r="D676" s="1" t="s">
        <v>189</v>
      </c>
      <c r="E676" s="1" t="s">
        <v>61</v>
      </c>
      <c r="F676" s="1" t="s">
        <v>101</v>
      </c>
      <c r="G676" s="1" t="s">
        <v>93</v>
      </c>
      <c r="H676" s="1" t="s">
        <v>64</v>
      </c>
      <c r="K676" s="1" t="s">
        <v>217</v>
      </c>
      <c r="L676" s="1" t="s">
        <v>218</v>
      </c>
      <c r="M676" s="1" t="s">
        <v>104</v>
      </c>
      <c r="N676" s="1" t="s">
        <v>123</v>
      </c>
      <c r="O676" s="1" t="s">
        <v>124</v>
      </c>
      <c r="P676" s="1"/>
      <c r="Q676" s="1" t="s">
        <v>70</v>
      </c>
      <c r="U676" s="1" t="s">
        <v>2397</v>
      </c>
      <c r="Z676" s="1" t="s">
        <v>71</v>
      </c>
      <c r="AA676" s="1" t="s">
        <v>91</v>
      </c>
      <c r="AE676" s="1" t="s">
        <v>2399</v>
      </c>
      <c r="AH676" s="1" t="s">
        <v>73</v>
      </c>
      <c r="AK676" s="1" t="s">
        <v>71</v>
      </c>
      <c r="AM676" s="1" t="s">
        <v>71</v>
      </c>
      <c r="AN676" s="1" t="s">
        <v>71</v>
      </c>
      <c r="AS676" s="1" t="s">
        <v>71</v>
      </c>
      <c r="AX676" s="1" t="s">
        <v>71</v>
      </c>
      <c r="AY676" s="1" t="s">
        <v>59</v>
      </c>
      <c r="AZ676" s="1" t="s">
        <v>74</v>
      </c>
      <c r="BH676" s="1" t="s">
        <v>71</v>
      </c>
    </row>
    <row r="677" customFormat="false" ht="15" hidden="false" customHeight="false" outlineLevel="0" collapsed="false">
      <c r="A677" s="1" t="s">
        <v>2400</v>
      </c>
      <c r="B677" s="1" t="s">
        <v>2401</v>
      </c>
      <c r="C677" s="1" t="s">
        <v>368</v>
      </c>
      <c r="D677" s="1" t="s">
        <v>1629</v>
      </c>
      <c r="E677" s="1" t="s">
        <v>82</v>
      </c>
      <c r="F677" s="1" t="s">
        <v>391</v>
      </c>
      <c r="G677" s="1" t="s">
        <v>213</v>
      </c>
      <c r="H677" s="1" t="s">
        <v>477</v>
      </c>
      <c r="K677" s="1" t="s">
        <v>478</v>
      </c>
      <c r="L677" s="1" t="s">
        <v>479</v>
      </c>
      <c r="M677" s="1" t="s">
        <v>496</v>
      </c>
      <c r="N677" s="1" t="s">
        <v>518</v>
      </c>
      <c r="O677" s="1" t="s">
        <v>519</v>
      </c>
      <c r="P677" s="1"/>
      <c r="Q677" s="1" t="s">
        <v>70</v>
      </c>
      <c r="Z677" s="1" t="s">
        <v>71</v>
      </c>
      <c r="AE677" s="1" t="s">
        <v>2399</v>
      </c>
      <c r="AH677" s="1" t="s">
        <v>73</v>
      </c>
      <c r="AK677" s="1" t="s">
        <v>71</v>
      </c>
      <c r="AM677" s="1" t="s">
        <v>71</v>
      </c>
      <c r="AN677" s="1" t="s">
        <v>71</v>
      </c>
      <c r="AS677" s="1" t="s">
        <v>71</v>
      </c>
      <c r="AX677" s="1" t="s">
        <v>71</v>
      </c>
      <c r="BH677" s="1" t="s">
        <v>71</v>
      </c>
    </row>
    <row r="678" customFormat="false" ht="15" hidden="false" customHeight="false" outlineLevel="0" collapsed="false">
      <c r="A678" s="1" t="s">
        <v>2402</v>
      </c>
      <c r="B678" s="1" t="s">
        <v>2403</v>
      </c>
      <c r="C678" s="1" t="s">
        <v>441</v>
      </c>
      <c r="D678" s="1" t="s">
        <v>442</v>
      </c>
      <c r="E678" s="1" t="s">
        <v>82</v>
      </c>
      <c r="F678" s="1" t="s">
        <v>391</v>
      </c>
      <c r="G678" s="1" t="s">
        <v>97</v>
      </c>
      <c r="H678" s="1" t="s">
        <v>406</v>
      </c>
      <c r="K678" s="1" t="s">
        <v>2144</v>
      </c>
      <c r="L678" s="1" t="s">
        <v>2145</v>
      </c>
      <c r="M678" s="1" t="s">
        <v>496</v>
      </c>
      <c r="N678" s="1" t="s">
        <v>1124</v>
      </c>
      <c r="O678" s="1" t="s">
        <v>400</v>
      </c>
      <c r="P678" s="1"/>
      <c r="Q678" s="1" t="s">
        <v>70</v>
      </c>
      <c r="Z678" s="1" t="s">
        <v>71</v>
      </c>
      <c r="AE678" s="1" t="s">
        <v>2399</v>
      </c>
      <c r="AH678" s="1" t="s">
        <v>73</v>
      </c>
      <c r="AK678" s="1" t="s">
        <v>71</v>
      </c>
      <c r="AM678" s="1" t="s">
        <v>71</v>
      </c>
      <c r="AN678" s="1" t="s">
        <v>71</v>
      </c>
      <c r="AS678" s="1" t="s">
        <v>71</v>
      </c>
      <c r="AX678" s="1" t="s">
        <v>71</v>
      </c>
      <c r="BH678" s="1" t="s">
        <v>71</v>
      </c>
    </row>
    <row r="679" customFormat="false" ht="15" hidden="false" customHeight="false" outlineLevel="0" collapsed="false">
      <c r="A679" s="1" t="s">
        <v>2404</v>
      </c>
      <c r="B679" s="1" t="s">
        <v>2405</v>
      </c>
      <c r="C679" s="1" t="s">
        <v>664</v>
      </c>
      <c r="D679" s="1" t="s">
        <v>665</v>
      </c>
      <c r="E679" s="1" t="s">
        <v>82</v>
      </c>
      <c r="F679" s="1" t="s">
        <v>391</v>
      </c>
      <c r="G679" s="1" t="s">
        <v>443</v>
      </c>
      <c r="H679" s="1" t="s">
        <v>444</v>
      </c>
      <c r="K679" s="1" t="s">
        <v>666</v>
      </c>
      <c r="L679" s="1" t="s">
        <v>667</v>
      </c>
      <c r="M679" s="1" t="s">
        <v>806</v>
      </c>
      <c r="N679" s="1" t="s">
        <v>2406</v>
      </c>
      <c r="O679" s="1" t="s">
        <v>2407</v>
      </c>
      <c r="P679" s="1"/>
      <c r="Q679" s="1" t="s">
        <v>70</v>
      </c>
      <c r="Z679" s="1" t="s">
        <v>71</v>
      </c>
      <c r="AE679" s="1" t="s">
        <v>2399</v>
      </c>
      <c r="AH679" s="1" t="s">
        <v>73</v>
      </c>
      <c r="AK679" s="1" t="s">
        <v>71</v>
      </c>
      <c r="AM679" s="1" t="s">
        <v>71</v>
      </c>
      <c r="AN679" s="1" t="s">
        <v>71</v>
      </c>
      <c r="AS679" s="1" t="s">
        <v>71</v>
      </c>
      <c r="AX679" s="1" t="s">
        <v>71</v>
      </c>
      <c r="BH679" s="1" t="s">
        <v>71</v>
      </c>
    </row>
    <row r="680" customFormat="false" ht="15" hidden="false" customHeight="false" outlineLevel="0" collapsed="false">
      <c r="A680" s="1" t="s">
        <v>2408</v>
      </c>
      <c r="B680" s="1" t="s">
        <v>2409</v>
      </c>
      <c r="C680" s="1" t="s">
        <v>341</v>
      </c>
      <c r="D680" s="1" t="s">
        <v>2236</v>
      </c>
      <c r="E680" s="1" t="s">
        <v>82</v>
      </c>
      <c r="F680" s="1" t="s">
        <v>391</v>
      </c>
      <c r="G680" s="1" t="s">
        <v>97</v>
      </c>
      <c r="H680" s="1" t="s">
        <v>406</v>
      </c>
      <c r="K680" s="1" t="s">
        <v>2144</v>
      </c>
      <c r="L680" s="1" t="s">
        <v>2145</v>
      </c>
      <c r="M680" s="1" t="s">
        <v>496</v>
      </c>
      <c r="N680" s="1" t="s">
        <v>2410</v>
      </c>
      <c r="O680" s="1" t="s">
        <v>2411</v>
      </c>
      <c r="P680" s="1"/>
      <c r="Q680" s="1" t="s">
        <v>70</v>
      </c>
      <c r="Z680" s="1" t="s">
        <v>71</v>
      </c>
      <c r="AE680" s="1" t="s">
        <v>2399</v>
      </c>
      <c r="AH680" s="1" t="s">
        <v>73</v>
      </c>
      <c r="AK680" s="1" t="s">
        <v>71</v>
      </c>
      <c r="AM680" s="1" t="s">
        <v>71</v>
      </c>
      <c r="AN680" s="1" t="s">
        <v>71</v>
      </c>
      <c r="AS680" s="1" t="s">
        <v>71</v>
      </c>
      <c r="AX680" s="1" t="s">
        <v>71</v>
      </c>
      <c r="BH680" s="1" t="s">
        <v>71</v>
      </c>
    </row>
    <row r="681" customFormat="false" ht="15" hidden="false" customHeight="false" outlineLevel="0" collapsed="false">
      <c r="A681" s="1" t="s">
        <v>2412</v>
      </c>
      <c r="B681" s="1" t="s">
        <v>2413</v>
      </c>
      <c r="C681" s="1" t="s">
        <v>341</v>
      </c>
      <c r="D681" s="1" t="s">
        <v>2236</v>
      </c>
      <c r="E681" s="1" t="s">
        <v>82</v>
      </c>
      <c r="F681" s="1" t="s">
        <v>391</v>
      </c>
      <c r="G681" s="1" t="s">
        <v>97</v>
      </c>
      <c r="H681" s="1" t="s">
        <v>406</v>
      </c>
      <c r="K681" s="1" t="s">
        <v>2144</v>
      </c>
      <c r="L681" s="1" t="s">
        <v>2145</v>
      </c>
      <c r="M681" s="1" t="s">
        <v>496</v>
      </c>
      <c r="N681" s="1" t="s">
        <v>2237</v>
      </c>
      <c r="O681" s="1" t="s">
        <v>2238</v>
      </c>
      <c r="P681" s="1"/>
      <c r="Q681" s="1" t="s">
        <v>70</v>
      </c>
      <c r="Z681" s="1" t="s">
        <v>71</v>
      </c>
      <c r="AE681" s="1" t="s">
        <v>2399</v>
      </c>
      <c r="AH681" s="1" t="s">
        <v>73</v>
      </c>
      <c r="AK681" s="1" t="s">
        <v>71</v>
      </c>
      <c r="AM681" s="1" t="s">
        <v>71</v>
      </c>
      <c r="AN681" s="1" t="s">
        <v>71</v>
      </c>
      <c r="AS681" s="1" t="s">
        <v>71</v>
      </c>
      <c r="AX681" s="1" t="s">
        <v>71</v>
      </c>
      <c r="BH681" s="1" t="s">
        <v>71</v>
      </c>
    </row>
    <row r="682" customFormat="false" ht="15" hidden="false" customHeight="false" outlineLevel="0" collapsed="false">
      <c r="A682" s="1" t="s">
        <v>2414</v>
      </c>
      <c r="B682" s="1" t="s">
        <v>2415</v>
      </c>
      <c r="C682" s="1" t="s">
        <v>2416</v>
      </c>
      <c r="D682" s="1" t="s">
        <v>2417</v>
      </c>
      <c r="E682" s="1" t="s">
        <v>88</v>
      </c>
      <c r="F682" s="1" t="s">
        <v>432</v>
      </c>
      <c r="G682" s="1" t="s">
        <v>229</v>
      </c>
      <c r="H682" s="1" t="s">
        <v>495</v>
      </c>
      <c r="K682" s="1" t="s">
        <v>637</v>
      </c>
      <c r="L682" s="1" t="s">
        <v>2418</v>
      </c>
      <c r="M682" s="1" t="s">
        <v>496</v>
      </c>
      <c r="N682" s="1" t="s">
        <v>2419</v>
      </c>
      <c r="O682" s="1" t="s">
        <v>2420</v>
      </c>
      <c r="P682" s="1"/>
      <c r="Q682" s="1" t="s">
        <v>70</v>
      </c>
      <c r="Z682" s="1" t="s">
        <v>71</v>
      </c>
      <c r="AE682" s="1" t="s">
        <v>2399</v>
      </c>
      <c r="AH682" s="1" t="s">
        <v>73</v>
      </c>
      <c r="AK682" s="1" t="s">
        <v>71</v>
      </c>
      <c r="AM682" s="1" t="s">
        <v>71</v>
      </c>
      <c r="AN682" s="1" t="s">
        <v>71</v>
      </c>
      <c r="AS682" s="1" t="s">
        <v>71</v>
      </c>
      <c r="AX682" s="1" t="s">
        <v>71</v>
      </c>
      <c r="BH682" s="1" t="s">
        <v>71</v>
      </c>
    </row>
    <row r="683" customFormat="false" ht="15" hidden="false" customHeight="false" outlineLevel="0" collapsed="false">
      <c r="A683" s="1" t="s">
        <v>2421</v>
      </c>
      <c r="B683" s="1" t="s">
        <v>2422</v>
      </c>
      <c r="C683" s="1" t="s">
        <v>693</v>
      </c>
      <c r="D683" s="1" t="s">
        <v>2423</v>
      </c>
      <c r="E683" s="1" t="s">
        <v>82</v>
      </c>
      <c r="F683" s="1" t="s">
        <v>391</v>
      </c>
      <c r="G683" s="1" t="s">
        <v>443</v>
      </c>
      <c r="H683" s="1" t="s">
        <v>444</v>
      </c>
      <c r="K683" s="1" t="s">
        <v>637</v>
      </c>
      <c r="L683" s="1" t="s">
        <v>2424</v>
      </c>
      <c r="M683" s="1" t="s">
        <v>496</v>
      </c>
      <c r="N683" s="1" t="s">
        <v>2425</v>
      </c>
      <c r="O683" s="1" t="s">
        <v>2426</v>
      </c>
      <c r="P683" s="1"/>
      <c r="Q683" s="1" t="s">
        <v>70</v>
      </c>
      <c r="Z683" s="1" t="s">
        <v>71</v>
      </c>
      <c r="AE683" s="1" t="s">
        <v>2427</v>
      </c>
      <c r="AH683" s="1" t="s">
        <v>73</v>
      </c>
      <c r="AK683" s="1" t="s">
        <v>71</v>
      </c>
      <c r="AM683" s="1" t="s">
        <v>71</v>
      </c>
      <c r="AN683" s="1" t="s">
        <v>71</v>
      </c>
      <c r="AS683" s="1" t="s">
        <v>71</v>
      </c>
      <c r="AX683" s="1" t="s">
        <v>71</v>
      </c>
      <c r="BH683" s="1" t="s">
        <v>71</v>
      </c>
    </row>
    <row r="684" customFormat="false" ht="15" hidden="false" customHeight="false" outlineLevel="0" collapsed="false">
      <c r="A684" s="1" t="s">
        <v>2428</v>
      </c>
      <c r="B684" s="1" t="s">
        <v>2429</v>
      </c>
      <c r="C684" s="1" t="s">
        <v>312</v>
      </c>
      <c r="D684" s="1" t="s">
        <v>2073</v>
      </c>
      <c r="E684" s="1" t="s">
        <v>82</v>
      </c>
      <c r="F684" s="1" t="s">
        <v>391</v>
      </c>
      <c r="G684" s="1" t="s">
        <v>97</v>
      </c>
      <c r="H684" s="1" t="s">
        <v>406</v>
      </c>
      <c r="K684" s="1" t="s">
        <v>453</v>
      </c>
      <c r="L684" s="1" t="s">
        <v>454</v>
      </c>
      <c r="M684" s="1" t="s">
        <v>496</v>
      </c>
      <c r="N684" s="1" t="s">
        <v>861</v>
      </c>
      <c r="O684" s="1" t="s">
        <v>862</v>
      </c>
      <c r="P684" s="1"/>
      <c r="Q684" s="1" t="s">
        <v>70</v>
      </c>
      <c r="Z684" s="1" t="s">
        <v>71</v>
      </c>
      <c r="AE684" s="1" t="s">
        <v>2427</v>
      </c>
      <c r="AH684" s="1" t="s">
        <v>73</v>
      </c>
      <c r="AK684" s="1" t="s">
        <v>71</v>
      </c>
      <c r="AM684" s="1" t="s">
        <v>71</v>
      </c>
      <c r="AN684" s="1" t="s">
        <v>71</v>
      </c>
      <c r="AS684" s="1" t="s">
        <v>71</v>
      </c>
      <c r="AX684" s="1" t="s">
        <v>71</v>
      </c>
      <c r="BH684" s="1" t="s">
        <v>71</v>
      </c>
    </row>
    <row r="685" customFormat="false" ht="15" hidden="false" customHeight="false" outlineLevel="0" collapsed="false">
      <c r="A685" s="1" t="s">
        <v>2430</v>
      </c>
      <c r="B685" s="1" t="s">
        <v>2431</v>
      </c>
      <c r="C685" s="1" t="s">
        <v>312</v>
      </c>
      <c r="D685" s="1" t="s">
        <v>2073</v>
      </c>
      <c r="E685" s="1" t="s">
        <v>82</v>
      </c>
      <c r="F685" s="1" t="s">
        <v>391</v>
      </c>
      <c r="G685" s="1" t="s">
        <v>97</v>
      </c>
      <c r="H685" s="1" t="s">
        <v>406</v>
      </c>
      <c r="K685" s="1" t="s">
        <v>453</v>
      </c>
      <c r="L685" s="1" t="s">
        <v>454</v>
      </c>
      <c r="M685" s="1" t="s">
        <v>496</v>
      </c>
      <c r="N685" s="1" t="s">
        <v>2432</v>
      </c>
      <c r="O685" s="1" t="s">
        <v>400</v>
      </c>
      <c r="P685" s="1"/>
      <c r="Q685" s="1" t="s">
        <v>70</v>
      </c>
      <c r="Z685" s="1" t="s">
        <v>71</v>
      </c>
      <c r="AE685" s="1" t="s">
        <v>2427</v>
      </c>
      <c r="AH685" s="1" t="s">
        <v>73</v>
      </c>
      <c r="AK685" s="1" t="s">
        <v>71</v>
      </c>
      <c r="AM685" s="1" t="s">
        <v>71</v>
      </c>
      <c r="AN685" s="1" t="s">
        <v>71</v>
      </c>
      <c r="AS685" s="1" t="s">
        <v>71</v>
      </c>
      <c r="AX685" s="1" t="s">
        <v>71</v>
      </c>
      <c r="BH685" s="1" t="s">
        <v>71</v>
      </c>
    </row>
    <row r="686" customFormat="false" ht="15" hidden="false" customHeight="false" outlineLevel="0" collapsed="false">
      <c r="A686" s="1" t="s">
        <v>2433</v>
      </c>
      <c r="B686" s="1" t="s">
        <v>2434</v>
      </c>
      <c r="C686" s="1" t="s">
        <v>704</v>
      </c>
      <c r="D686" s="1" t="s">
        <v>2435</v>
      </c>
      <c r="E686" s="1" t="s">
        <v>82</v>
      </c>
      <c r="F686" s="1" t="s">
        <v>391</v>
      </c>
      <c r="G686" s="1" t="s">
        <v>443</v>
      </c>
      <c r="H686" s="1" t="s">
        <v>444</v>
      </c>
      <c r="K686" s="1" t="s">
        <v>2144</v>
      </c>
      <c r="L686" s="1" t="s">
        <v>2436</v>
      </c>
      <c r="M686" s="1" t="s">
        <v>496</v>
      </c>
      <c r="N686" s="1" t="s">
        <v>1124</v>
      </c>
      <c r="O686" s="1" t="s">
        <v>400</v>
      </c>
      <c r="P686" s="1"/>
      <c r="Q686" s="1" t="s">
        <v>70</v>
      </c>
      <c r="Z686" s="1" t="s">
        <v>71</v>
      </c>
      <c r="AE686" s="1" t="s">
        <v>2427</v>
      </c>
      <c r="AH686" s="1" t="s">
        <v>73</v>
      </c>
      <c r="AK686" s="1" t="s">
        <v>71</v>
      </c>
      <c r="AM686" s="1" t="s">
        <v>71</v>
      </c>
      <c r="AN686" s="1" t="s">
        <v>71</v>
      </c>
      <c r="AS686" s="1" t="s">
        <v>71</v>
      </c>
      <c r="AX686" s="1" t="s">
        <v>71</v>
      </c>
      <c r="BH686" s="1" t="s">
        <v>71</v>
      </c>
    </row>
    <row r="687" customFormat="false" ht="15" hidden="false" customHeight="false" outlineLevel="0" collapsed="false">
      <c r="A687" s="1" t="s">
        <v>2437</v>
      </c>
      <c r="B687" s="1" t="s">
        <v>2438</v>
      </c>
      <c r="C687" s="1" t="s">
        <v>686</v>
      </c>
      <c r="D687" s="1" t="s">
        <v>2439</v>
      </c>
      <c r="E687" s="1" t="s">
        <v>82</v>
      </c>
      <c r="F687" s="1" t="s">
        <v>391</v>
      </c>
      <c r="G687" s="1" t="s">
        <v>443</v>
      </c>
      <c r="H687" s="1" t="s">
        <v>444</v>
      </c>
      <c r="K687" s="1" t="s">
        <v>988</v>
      </c>
      <c r="L687" s="1" t="s">
        <v>989</v>
      </c>
      <c r="M687" s="1" t="s">
        <v>496</v>
      </c>
      <c r="N687" s="1" t="s">
        <v>466</v>
      </c>
      <c r="O687" s="1" t="s">
        <v>467</v>
      </c>
      <c r="P687" s="1"/>
      <c r="Q687" s="1" t="s">
        <v>70</v>
      </c>
      <c r="Z687" s="1" t="s">
        <v>71</v>
      </c>
      <c r="AE687" s="1" t="s">
        <v>2427</v>
      </c>
      <c r="AH687" s="1" t="s">
        <v>73</v>
      </c>
      <c r="AK687" s="1" t="s">
        <v>71</v>
      </c>
      <c r="AM687" s="1" t="s">
        <v>71</v>
      </c>
      <c r="AN687" s="1" t="s">
        <v>71</v>
      </c>
      <c r="AS687" s="1" t="s">
        <v>71</v>
      </c>
      <c r="AX687" s="1" t="s">
        <v>71</v>
      </c>
      <c r="BH687" s="1" t="s">
        <v>71</v>
      </c>
    </row>
    <row r="688" customFormat="false" ht="15" hidden="false" customHeight="false" outlineLevel="0" collapsed="false">
      <c r="A688" s="1" t="s">
        <v>2440</v>
      </c>
      <c r="B688" s="1" t="s">
        <v>2441</v>
      </c>
      <c r="C688" s="1" t="s">
        <v>686</v>
      </c>
      <c r="D688" s="1" t="s">
        <v>2439</v>
      </c>
      <c r="E688" s="1" t="s">
        <v>82</v>
      </c>
      <c r="F688" s="1" t="s">
        <v>391</v>
      </c>
      <c r="G688" s="1" t="s">
        <v>443</v>
      </c>
      <c r="H688" s="1" t="s">
        <v>444</v>
      </c>
      <c r="K688" s="1" t="s">
        <v>988</v>
      </c>
      <c r="L688" s="1" t="s">
        <v>989</v>
      </c>
      <c r="M688" s="1" t="s">
        <v>496</v>
      </c>
      <c r="N688" s="1" t="s">
        <v>1953</v>
      </c>
      <c r="O688" s="1" t="s">
        <v>1954</v>
      </c>
      <c r="P688" s="1"/>
      <c r="Q688" s="1" t="s">
        <v>70</v>
      </c>
      <c r="Z688" s="1" t="s">
        <v>71</v>
      </c>
      <c r="AE688" s="1" t="s">
        <v>2427</v>
      </c>
      <c r="AH688" s="1" t="s">
        <v>73</v>
      </c>
      <c r="AK688" s="1" t="s">
        <v>71</v>
      </c>
      <c r="AM688" s="1" t="s">
        <v>71</v>
      </c>
      <c r="AN688" s="1" t="s">
        <v>71</v>
      </c>
      <c r="AS688" s="1" t="s">
        <v>71</v>
      </c>
      <c r="AX688" s="1" t="s">
        <v>71</v>
      </c>
      <c r="BH688" s="1" t="s">
        <v>71</v>
      </c>
    </row>
    <row r="689" customFormat="false" ht="15" hidden="false" customHeight="false" outlineLevel="0" collapsed="false">
      <c r="A689" s="1" t="s">
        <v>2442</v>
      </c>
      <c r="B689" s="1" t="s">
        <v>2443</v>
      </c>
      <c r="C689" s="1" t="s">
        <v>686</v>
      </c>
      <c r="D689" s="1" t="s">
        <v>2439</v>
      </c>
      <c r="E689" s="1" t="s">
        <v>82</v>
      </c>
      <c r="F689" s="1" t="s">
        <v>391</v>
      </c>
      <c r="G689" s="1" t="s">
        <v>443</v>
      </c>
      <c r="H689" s="1" t="s">
        <v>444</v>
      </c>
      <c r="K689" s="1" t="s">
        <v>988</v>
      </c>
      <c r="L689" s="1" t="s">
        <v>989</v>
      </c>
      <c r="M689" s="1" t="s">
        <v>496</v>
      </c>
      <c r="N689" s="1" t="s">
        <v>915</v>
      </c>
      <c r="O689" s="1" t="s">
        <v>400</v>
      </c>
      <c r="P689" s="1"/>
      <c r="Q689" s="1" t="s">
        <v>70</v>
      </c>
      <c r="Z689" s="1" t="s">
        <v>71</v>
      </c>
      <c r="AE689" s="1" t="s">
        <v>2427</v>
      </c>
      <c r="AH689" s="1" t="s">
        <v>73</v>
      </c>
      <c r="AK689" s="1" t="s">
        <v>71</v>
      </c>
      <c r="AM689" s="1" t="s">
        <v>71</v>
      </c>
      <c r="AN689" s="1" t="s">
        <v>71</v>
      </c>
      <c r="AS689" s="1" t="s">
        <v>71</v>
      </c>
      <c r="AX689" s="1" t="s">
        <v>71</v>
      </c>
      <c r="BH689" s="1" t="s">
        <v>71</v>
      </c>
    </row>
    <row r="690" customFormat="false" ht="15" hidden="false" customHeight="false" outlineLevel="0" collapsed="false">
      <c r="A690" s="1" t="s">
        <v>2444</v>
      </c>
      <c r="B690" s="1" t="s">
        <v>2445</v>
      </c>
      <c r="C690" s="1" t="s">
        <v>686</v>
      </c>
      <c r="D690" s="1" t="s">
        <v>2439</v>
      </c>
      <c r="E690" s="1" t="s">
        <v>82</v>
      </c>
      <c r="F690" s="1" t="s">
        <v>391</v>
      </c>
      <c r="G690" s="1" t="s">
        <v>443</v>
      </c>
      <c r="H690" s="1" t="s">
        <v>444</v>
      </c>
      <c r="K690" s="1" t="s">
        <v>988</v>
      </c>
      <c r="L690" s="1" t="s">
        <v>989</v>
      </c>
      <c r="M690" s="1" t="s">
        <v>1681</v>
      </c>
      <c r="N690" s="1" t="s">
        <v>1000</v>
      </c>
      <c r="O690" s="1" t="s">
        <v>1001</v>
      </c>
      <c r="P690" s="1"/>
      <c r="Q690" s="1" t="s">
        <v>70</v>
      </c>
      <c r="Z690" s="1" t="s">
        <v>71</v>
      </c>
      <c r="AE690" s="1" t="s">
        <v>2427</v>
      </c>
      <c r="AH690" s="1" t="s">
        <v>73</v>
      </c>
      <c r="AK690" s="1" t="s">
        <v>71</v>
      </c>
      <c r="AM690" s="1" t="s">
        <v>71</v>
      </c>
      <c r="AN690" s="1" t="s">
        <v>71</v>
      </c>
      <c r="AS690" s="1" t="s">
        <v>71</v>
      </c>
      <c r="AX690" s="1" t="s">
        <v>71</v>
      </c>
      <c r="BH690" s="1" t="s">
        <v>71</v>
      </c>
    </row>
    <row r="691" customFormat="false" ht="15" hidden="false" customHeight="false" outlineLevel="0" collapsed="false">
      <c r="A691" s="1" t="s">
        <v>2446</v>
      </c>
      <c r="B691" s="1" t="s">
        <v>2447</v>
      </c>
      <c r="C691" s="1" t="s">
        <v>686</v>
      </c>
      <c r="D691" s="1" t="s">
        <v>2439</v>
      </c>
      <c r="E691" s="1" t="s">
        <v>82</v>
      </c>
      <c r="F691" s="1" t="s">
        <v>391</v>
      </c>
      <c r="G691" s="1" t="s">
        <v>443</v>
      </c>
      <c r="H691" s="1" t="s">
        <v>444</v>
      </c>
      <c r="K691" s="1" t="s">
        <v>988</v>
      </c>
      <c r="L691" s="1" t="s">
        <v>989</v>
      </c>
      <c r="M691" s="1" t="s">
        <v>496</v>
      </c>
      <c r="N691" s="1" t="s">
        <v>851</v>
      </c>
      <c r="O691" s="1" t="s">
        <v>400</v>
      </c>
      <c r="P691" s="1"/>
      <c r="Q691" s="1" t="s">
        <v>70</v>
      </c>
      <c r="Z691" s="1" t="s">
        <v>71</v>
      </c>
      <c r="AE691" s="1" t="s">
        <v>2427</v>
      </c>
      <c r="AH691" s="1" t="s">
        <v>73</v>
      </c>
      <c r="AK691" s="1" t="s">
        <v>71</v>
      </c>
      <c r="AM691" s="1" t="s">
        <v>71</v>
      </c>
      <c r="AN691" s="1" t="s">
        <v>71</v>
      </c>
      <c r="AS691" s="1" t="s">
        <v>71</v>
      </c>
      <c r="AX691" s="1" t="s">
        <v>71</v>
      </c>
      <c r="BH691" s="1" t="s">
        <v>71</v>
      </c>
    </row>
    <row r="692" customFormat="false" ht="15" hidden="false" customHeight="false" outlineLevel="0" collapsed="false">
      <c r="A692" s="1" t="s">
        <v>2448</v>
      </c>
      <c r="B692" s="1" t="s">
        <v>2449</v>
      </c>
      <c r="C692" s="1" t="s">
        <v>714</v>
      </c>
      <c r="D692" s="1" t="s">
        <v>1400</v>
      </c>
      <c r="E692" s="1" t="s">
        <v>82</v>
      </c>
      <c r="F692" s="1" t="s">
        <v>391</v>
      </c>
      <c r="G692" s="1" t="s">
        <v>1356</v>
      </c>
      <c r="H692" s="1" t="s">
        <v>1825</v>
      </c>
      <c r="K692" s="1" t="s">
        <v>706</v>
      </c>
      <c r="L692" s="1" t="s">
        <v>1918</v>
      </c>
      <c r="M692" s="1" t="s">
        <v>496</v>
      </c>
      <c r="N692" s="1" t="s">
        <v>2450</v>
      </c>
      <c r="O692" s="1" t="s">
        <v>447</v>
      </c>
      <c r="P692" s="1"/>
      <c r="Q692" s="1" t="s">
        <v>70</v>
      </c>
      <c r="Z692" s="1" t="s">
        <v>71</v>
      </c>
      <c r="AE692" s="1" t="s">
        <v>2427</v>
      </c>
      <c r="AH692" s="1" t="s">
        <v>73</v>
      </c>
      <c r="AK692" s="1" t="s">
        <v>71</v>
      </c>
      <c r="AM692" s="1" t="s">
        <v>71</v>
      </c>
      <c r="AN692" s="1" t="s">
        <v>71</v>
      </c>
      <c r="AS692" s="1" t="s">
        <v>71</v>
      </c>
      <c r="AX692" s="1" t="s">
        <v>71</v>
      </c>
      <c r="BH692" s="1" t="s">
        <v>71</v>
      </c>
    </row>
    <row r="693" customFormat="false" ht="15" hidden="false" customHeight="false" outlineLevel="0" collapsed="false">
      <c r="A693" s="1" t="s">
        <v>1334</v>
      </c>
      <c r="B693" s="1" t="s">
        <v>2451</v>
      </c>
      <c r="C693" s="1" t="s">
        <v>712</v>
      </c>
      <c r="D693" s="1" t="s">
        <v>1651</v>
      </c>
      <c r="E693" s="1" t="s">
        <v>88</v>
      </c>
      <c r="F693" s="1" t="s">
        <v>432</v>
      </c>
      <c r="G693" s="1" t="s">
        <v>229</v>
      </c>
      <c r="H693" s="1" t="s">
        <v>495</v>
      </c>
      <c r="K693" s="1" t="s">
        <v>501</v>
      </c>
      <c r="L693" s="1" t="s">
        <v>502</v>
      </c>
      <c r="M693" s="1" t="s">
        <v>496</v>
      </c>
      <c r="N693" s="1" t="s">
        <v>2452</v>
      </c>
      <c r="O693" s="1" t="s">
        <v>2453</v>
      </c>
      <c r="P693" s="1"/>
      <c r="Q693" s="1" t="s">
        <v>70</v>
      </c>
      <c r="Z693" s="1" t="s">
        <v>71</v>
      </c>
      <c r="AE693" s="1" t="s">
        <v>2427</v>
      </c>
      <c r="AH693" s="1" t="s">
        <v>73</v>
      </c>
      <c r="AK693" s="1" t="s">
        <v>71</v>
      </c>
      <c r="AM693" s="1" t="s">
        <v>71</v>
      </c>
      <c r="AN693" s="1" t="s">
        <v>71</v>
      </c>
      <c r="AS693" s="1" t="s">
        <v>71</v>
      </c>
      <c r="AX693" s="1" t="s">
        <v>71</v>
      </c>
      <c r="BH693" s="1" t="s">
        <v>71</v>
      </c>
    </row>
    <row r="694" customFormat="false" ht="15" hidden="false" customHeight="false" outlineLevel="0" collapsed="false">
      <c r="A694" s="1" t="s">
        <v>2454</v>
      </c>
      <c r="B694" s="1" t="s">
        <v>2455</v>
      </c>
      <c r="C694" s="1" t="s">
        <v>1399</v>
      </c>
      <c r="D694" s="1" t="s">
        <v>1400</v>
      </c>
      <c r="E694" s="1" t="s">
        <v>82</v>
      </c>
      <c r="F694" s="1" t="s">
        <v>391</v>
      </c>
      <c r="G694" s="1" t="s">
        <v>1356</v>
      </c>
      <c r="H694" s="1" t="s">
        <v>1825</v>
      </c>
      <c r="K694" s="1" t="s">
        <v>1849</v>
      </c>
      <c r="L694" s="1" t="s">
        <v>2456</v>
      </c>
      <c r="M694" s="1" t="s">
        <v>496</v>
      </c>
      <c r="N694" s="1" t="s">
        <v>2450</v>
      </c>
      <c r="O694" s="1" t="s">
        <v>447</v>
      </c>
      <c r="P694" s="1"/>
      <c r="Q694" s="1" t="s">
        <v>70</v>
      </c>
      <c r="Z694" s="1" t="s">
        <v>71</v>
      </c>
      <c r="AE694" s="1" t="s">
        <v>2457</v>
      </c>
      <c r="AH694" s="1" t="s">
        <v>73</v>
      </c>
      <c r="AK694" s="1" t="s">
        <v>71</v>
      </c>
      <c r="AM694" s="1" t="s">
        <v>71</v>
      </c>
      <c r="AN694" s="1" t="s">
        <v>71</v>
      </c>
      <c r="AS694" s="1" t="s">
        <v>71</v>
      </c>
      <c r="AX694" s="1" t="s">
        <v>71</v>
      </c>
      <c r="BH694" s="1" t="s">
        <v>71</v>
      </c>
    </row>
    <row r="695" customFormat="false" ht="15" hidden="false" customHeight="false" outlineLevel="0" collapsed="false">
      <c r="A695" s="1" t="s">
        <v>2458</v>
      </c>
      <c r="B695" s="1" t="s">
        <v>2459</v>
      </c>
      <c r="C695" s="1" t="s">
        <v>222</v>
      </c>
      <c r="D695" s="1" t="s">
        <v>223</v>
      </c>
      <c r="E695" s="1" t="s">
        <v>61</v>
      </c>
      <c r="F695" s="1" t="s">
        <v>101</v>
      </c>
      <c r="G695" s="1" t="s">
        <v>93</v>
      </c>
      <c r="H695" s="1" t="s">
        <v>64</v>
      </c>
      <c r="K695" s="1" t="s">
        <v>224</v>
      </c>
      <c r="L695" s="1" t="s">
        <v>225</v>
      </c>
      <c r="M695" s="1" t="s">
        <v>310</v>
      </c>
      <c r="N695" s="1" t="s">
        <v>105</v>
      </c>
      <c r="O695" s="1" t="s">
        <v>106</v>
      </c>
      <c r="P695" s="1"/>
      <c r="Q695" s="1" t="s">
        <v>70</v>
      </c>
      <c r="U695" s="1" t="s">
        <v>2458</v>
      </c>
      <c r="Z695" s="1" t="s">
        <v>71</v>
      </c>
      <c r="AE695" s="1" t="s">
        <v>2460</v>
      </c>
      <c r="AH695" s="1" t="s">
        <v>73</v>
      </c>
      <c r="AK695" s="1" t="s">
        <v>71</v>
      </c>
      <c r="AM695" s="1" t="s">
        <v>71</v>
      </c>
      <c r="AN695" s="1" t="s">
        <v>71</v>
      </c>
      <c r="AS695" s="1" t="s">
        <v>71</v>
      </c>
      <c r="AX695" s="1" t="s">
        <v>71</v>
      </c>
      <c r="AY695" s="1" t="s">
        <v>59</v>
      </c>
      <c r="AZ695" s="1" t="s">
        <v>74</v>
      </c>
      <c r="BH695" s="1" t="s">
        <v>71</v>
      </c>
    </row>
    <row r="696" customFormat="false" ht="15" hidden="false" customHeight="false" outlineLevel="0" collapsed="false">
      <c r="A696" s="1" t="s">
        <v>2461</v>
      </c>
      <c r="B696" s="1" t="s">
        <v>2462</v>
      </c>
      <c r="C696" s="1" t="s">
        <v>356</v>
      </c>
      <c r="D696" s="1" t="s">
        <v>1478</v>
      </c>
      <c r="E696" s="1" t="s">
        <v>61</v>
      </c>
      <c r="F696" s="1" t="s">
        <v>101</v>
      </c>
      <c r="G696" s="1" t="s">
        <v>275</v>
      </c>
      <c r="H696" s="1" t="s">
        <v>276</v>
      </c>
      <c r="K696" s="1" t="s">
        <v>142</v>
      </c>
      <c r="L696" s="1" t="s">
        <v>295</v>
      </c>
      <c r="M696" s="1" t="s">
        <v>1364</v>
      </c>
      <c r="N696" s="1" t="s">
        <v>279</v>
      </c>
      <c r="O696" s="1" t="s">
        <v>280</v>
      </c>
      <c r="P696" s="1"/>
      <c r="Q696" s="1" t="s">
        <v>70</v>
      </c>
      <c r="U696" s="1" t="s">
        <v>2461</v>
      </c>
      <c r="Z696" s="1" t="s">
        <v>71</v>
      </c>
      <c r="AA696" s="1" t="s">
        <v>91</v>
      </c>
      <c r="AE696" s="1" t="s">
        <v>2463</v>
      </c>
      <c r="AH696" s="1" t="s">
        <v>73</v>
      </c>
      <c r="AK696" s="1" t="s">
        <v>71</v>
      </c>
      <c r="AM696" s="1" t="s">
        <v>71</v>
      </c>
      <c r="AN696" s="1" t="s">
        <v>71</v>
      </c>
      <c r="AS696" s="1" t="s">
        <v>71</v>
      </c>
      <c r="AX696" s="1" t="s">
        <v>71</v>
      </c>
      <c r="AY696" s="1" t="s">
        <v>59</v>
      </c>
      <c r="AZ696" s="1" t="s">
        <v>74</v>
      </c>
      <c r="BH696" s="1" t="s">
        <v>71</v>
      </c>
    </row>
    <row r="697" customFormat="false" ht="15" hidden="false" customHeight="false" outlineLevel="0" collapsed="false">
      <c r="A697" s="1" t="s">
        <v>2464</v>
      </c>
      <c r="B697" s="1" t="s">
        <v>2465</v>
      </c>
      <c r="C697" s="1" t="s">
        <v>1221</v>
      </c>
      <c r="D697" s="1" t="s">
        <v>2466</v>
      </c>
      <c r="E697" s="1" t="s">
        <v>82</v>
      </c>
      <c r="F697" s="1" t="s">
        <v>391</v>
      </c>
      <c r="G697" s="1" t="s">
        <v>213</v>
      </c>
      <c r="H697" s="1" t="s">
        <v>477</v>
      </c>
      <c r="K697" s="1" t="s">
        <v>478</v>
      </c>
      <c r="L697" s="1" t="s">
        <v>479</v>
      </c>
      <c r="M697" s="1" t="s">
        <v>496</v>
      </c>
      <c r="N697" s="1" t="s">
        <v>518</v>
      </c>
      <c r="O697" s="1" t="s">
        <v>519</v>
      </c>
      <c r="P697" s="1"/>
      <c r="Q697" s="1" t="s">
        <v>70</v>
      </c>
      <c r="U697" s="1" t="s">
        <v>2464</v>
      </c>
      <c r="Z697" s="1" t="s">
        <v>71</v>
      </c>
      <c r="AE697" s="1" t="s">
        <v>2467</v>
      </c>
      <c r="AH697" s="1" t="s">
        <v>73</v>
      </c>
      <c r="AK697" s="1" t="s">
        <v>71</v>
      </c>
      <c r="AM697" s="1" t="s">
        <v>71</v>
      </c>
      <c r="AN697" s="1" t="s">
        <v>71</v>
      </c>
      <c r="AS697" s="1" t="s">
        <v>71</v>
      </c>
      <c r="AX697" s="1" t="s">
        <v>71</v>
      </c>
      <c r="BH697" s="1" t="s">
        <v>71</v>
      </c>
    </row>
    <row r="698" customFormat="false" ht="15" hidden="false" customHeight="false" outlineLevel="0" collapsed="false">
      <c r="A698" s="1" t="s">
        <v>2468</v>
      </c>
      <c r="B698" s="1" t="s">
        <v>521</v>
      </c>
      <c r="C698" s="1" t="s">
        <v>389</v>
      </c>
      <c r="D698" s="1" t="s">
        <v>390</v>
      </c>
      <c r="E698" s="1" t="s">
        <v>82</v>
      </c>
      <c r="F698" s="1" t="s">
        <v>391</v>
      </c>
      <c r="G698" s="1" t="s">
        <v>182</v>
      </c>
      <c r="H698" s="1" t="s">
        <v>392</v>
      </c>
      <c r="K698" s="1" t="s">
        <v>903</v>
      </c>
      <c r="L698" s="1" t="s">
        <v>904</v>
      </c>
      <c r="M698" s="1" t="s">
        <v>496</v>
      </c>
      <c r="N698" s="1" t="s">
        <v>2265</v>
      </c>
      <c r="O698" s="1" t="s">
        <v>2266</v>
      </c>
      <c r="P698" s="1"/>
      <c r="Q698" s="1" t="s">
        <v>70</v>
      </c>
      <c r="Z698" s="1" t="s">
        <v>71</v>
      </c>
      <c r="AE698" s="1" t="s">
        <v>2467</v>
      </c>
      <c r="AH698" s="1" t="s">
        <v>73</v>
      </c>
      <c r="AK698" s="1" t="s">
        <v>71</v>
      </c>
      <c r="AM698" s="1" t="s">
        <v>71</v>
      </c>
      <c r="AN698" s="1" t="s">
        <v>71</v>
      </c>
      <c r="AS698" s="1" t="s">
        <v>71</v>
      </c>
      <c r="AX698" s="1" t="s">
        <v>71</v>
      </c>
      <c r="BH698" s="1" t="s">
        <v>71</v>
      </c>
    </row>
    <row r="699" customFormat="false" ht="15" hidden="false" customHeight="false" outlineLevel="0" collapsed="false">
      <c r="A699" s="1" t="s">
        <v>2469</v>
      </c>
      <c r="B699" s="1" t="s">
        <v>2470</v>
      </c>
      <c r="C699" s="1" t="s">
        <v>368</v>
      </c>
      <c r="D699" s="1" t="s">
        <v>1629</v>
      </c>
      <c r="E699" s="1" t="s">
        <v>82</v>
      </c>
      <c r="F699" s="1" t="s">
        <v>391</v>
      </c>
      <c r="G699" s="1" t="s">
        <v>213</v>
      </c>
      <c r="H699" s="1" t="s">
        <v>477</v>
      </c>
      <c r="K699" s="1" t="s">
        <v>478</v>
      </c>
      <c r="L699" s="1" t="s">
        <v>479</v>
      </c>
      <c r="M699" s="1" t="s">
        <v>496</v>
      </c>
      <c r="N699" s="1" t="s">
        <v>518</v>
      </c>
      <c r="O699" s="1" t="s">
        <v>519</v>
      </c>
      <c r="P699" s="1"/>
      <c r="Q699" s="1" t="s">
        <v>70</v>
      </c>
      <c r="Z699" s="1" t="s">
        <v>71</v>
      </c>
      <c r="AE699" s="1" t="s">
        <v>2467</v>
      </c>
      <c r="AH699" s="1" t="s">
        <v>73</v>
      </c>
      <c r="AK699" s="1" t="s">
        <v>71</v>
      </c>
      <c r="AM699" s="1" t="s">
        <v>71</v>
      </c>
      <c r="AN699" s="1" t="s">
        <v>71</v>
      </c>
      <c r="AS699" s="1" t="s">
        <v>71</v>
      </c>
      <c r="AX699" s="1" t="s">
        <v>71</v>
      </c>
      <c r="BH699" s="1" t="s">
        <v>71</v>
      </c>
    </row>
    <row r="700" customFormat="false" ht="15" hidden="false" customHeight="false" outlineLevel="0" collapsed="false">
      <c r="A700" s="1" t="s">
        <v>2471</v>
      </c>
      <c r="B700" s="1" t="s">
        <v>2472</v>
      </c>
      <c r="C700" s="1" t="s">
        <v>524</v>
      </c>
      <c r="D700" s="1" t="s">
        <v>841</v>
      </c>
      <c r="E700" s="1" t="s">
        <v>82</v>
      </c>
      <c r="F700" s="1" t="s">
        <v>391</v>
      </c>
      <c r="G700" s="1" t="s">
        <v>443</v>
      </c>
      <c r="H700" s="1" t="s">
        <v>444</v>
      </c>
      <c r="K700" s="1" t="s">
        <v>618</v>
      </c>
      <c r="L700" s="1" t="s">
        <v>619</v>
      </c>
      <c r="M700" s="1" t="s">
        <v>496</v>
      </c>
      <c r="N700" s="1" t="s">
        <v>842</v>
      </c>
      <c r="O700" s="1" t="s">
        <v>400</v>
      </c>
      <c r="P700" s="1"/>
      <c r="Q700" s="1" t="s">
        <v>70</v>
      </c>
      <c r="Z700" s="1" t="s">
        <v>71</v>
      </c>
      <c r="AE700" s="1" t="s">
        <v>2467</v>
      </c>
      <c r="AH700" s="1" t="s">
        <v>73</v>
      </c>
      <c r="AK700" s="1" t="s">
        <v>71</v>
      </c>
      <c r="AM700" s="1" t="s">
        <v>71</v>
      </c>
      <c r="AN700" s="1" t="s">
        <v>71</v>
      </c>
      <c r="AS700" s="1" t="s">
        <v>71</v>
      </c>
      <c r="AX700" s="1" t="s">
        <v>71</v>
      </c>
      <c r="BH700" s="1" t="s">
        <v>71</v>
      </c>
    </row>
    <row r="701" customFormat="false" ht="15" hidden="false" customHeight="false" outlineLevel="0" collapsed="false">
      <c r="A701" s="1" t="s">
        <v>2473</v>
      </c>
      <c r="B701" s="1" t="s">
        <v>2474</v>
      </c>
      <c r="C701" s="1" t="s">
        <v>368</v>
      </c>
      <c r="D701" s="1" t="s">
        <v>1629</v>
      </c>
      <c r="E701" s="1" t="s">
        <v>82</v>
      </c>
      <c r="F701" s="1" t="s">
        <v>391</v>
      </c>
      <c r="G701" s="1" t="s">
        <v>213</v>
      </c>
      <c r="H701" s="1" t="s">
        <v>477</v>
      </c>
      <c r="K701" s="1" t="s">
        <v>478</v>
      </c>
      <c r="L701" s="1" t="s">
        <v>479</v>
      </c>
      <c r="M701" s="1" t="s">
        <v>496</v>
      </c>
      <c r="N701" s="1" t="s">
        <v>536</v>
      </c>
      <c r="O701" s="1" t="s">
        <v>537</v>
      </c>
      <c r="P701" s="1"/>
      <c r="Q701" s="1" t="s">
        <v>70</v>
      </c>
      <c r="Z701" s="1" t="s">
        <v>71</v>
      </c>
      <c r="AE701" s="1" t="s">
        <v>2467</v>
      </c>
      <c r="AH701" s="1" t="s">
        <v>73</v>
      </c>
      <c r="AK701" s="1" t="s">
        <v>71</v>
      </c>
      <c r="AM701" s="1" t="s">
        <v>71</v>
      </c>
      <c r="AN701" s="1" t="s">
        <v>71</v>
      </c>
      <c r="AS701" s="1" t="s">
        <v>71</v>
      </c>
      <c r="AX701" s="1" t="s">
        <v>71</v>
      </c>
      <c r="BH701" s="1" t="s">
        <v>71</v>
      </c>
    </row>
    <row r="702" customFormat="false" ht="15" hidden="false" customHeight="false" outlineLevel="0" collapsed="false">
      <c r="A702" s="1" t="s">
        <v>2475</v>
      </c>
      <c r="B702" s="1" t="s">
        <v>2476</v>
      </c>
      <c r="C702" s="1" t="s">
        <v>1744</v>
      </c>
      <c r="D702" s="1" t="s">
        <v>1745</v>
      </c>
      <c r="E702" s="1" t="s">
        <v>82</v>
      </c>
      <c r="F702" s="1" t="s">
        <v>391</v>
      </c>
      <c r="G702" s="1" t="s">
        <v>213</v>
      </c>
      <c r="H702" s="1" t="s">
        <v>477</v>
      </c>
      <c r="K702" s="1" t="s">
        <v>478</v>
      </c>
      <c r="L702" s="1" t="s">
        <v>479</v>
      </c>
      <c r="M702" s="1" t="s">
        <v>496</v>
      </c>
      <c r="N702" s="1" t="s">
        <v>2053</v>
      </c>
      <c r="O702" s="1" t="s">
        <v>400</v>
      </c>
      <c r="P702" s="1"/>
      <c r="Q702" s="1" t="s">
        <v>70</v>
      </c>
      <c r="Z702" s="1" t="s">
        <v>71</v>
      </c>
      <c r="AE702" s="1" t="s">
        <v>2467</v>
      </c>
      <c r="AH702" s="1" t="s">
        <v>73</v>
      </c>
      <c r="AK702" s="1" t="s">
        <v>71</v>
      </c>
      <c r="AM702" s="1" t="s">
        <v>71</v>
      </c>
      <c r="AN702" s="1" t="s">
        <v>71</v>
      </c>
      <c r="AS702" s="1" t="s">
        <v>71</v>
      </c>
      <c r="AX702" s="1" t="s">
        <v>71</v>
      </c>
      <c r="BH702" s="1" t="s">
        <v>71</v>
      </c>
    </row>
    <row r="703" customFormat="false" ht="15" hidden="false" customHeight="false" outlineLevel="0" collapsed="false">
      <c r="A703" s="1" t="s">
        <v>2477</v>
      </c>
      <c r="B703" s="1" t="s">
        <v>2478</v>
      </c>
      <c r="C703" s="1" t="s">
        <v>150</v>
      </c>
      <c r="D703" s="1" t="s">
        <v>405</v>
      </c>
      <c r="E703" s="1" t="s">
        <v>82</v>
      </c>
      <c r="F703" s="1" t="s">
        <v>391</v>
      </c>
      <c r="G703" s="1" t="s">
        <v>97</v>
      </c>
      <c r="H703" s="1" t="s">
        <v>406</v>
      </c>
      <c r="K703" s="1" t="s">
        <v>407</v>
      </c>
      <c r="L703" s="1" t="s">
        <v>408</v>
      </c>
      <c r="M703" s="1" t="s">
        <v>465</v>
      </c>
      <c r="N703" s="1" t="s">
        <v>455</v>
      </c>
      <c r="O703" s="1" t="s">
        <v>456</v>
      </c>
      <c r="P703" s="1"/>
      <c r="Q703" s="1" t="s">
        <v>70</v>
      </c>
      <c r="Z703" s="1" t="s">
        <v>71</v>
      </c>
      <c r="AE703" s="1" t="s">
        <v>2467</v>
      </c>
      <c r="AH703" s="1" t="s">
        <v>73</v>
      </c>
      <c r="AK703" s="1" t="s">
        <v>71</v>
      </c>
      <c r="AM703" s="1" t="s">
        <v>71</v>
      </c>
      <c r="AN703" s="1" t="s">
        <v>71</v>
      </c>
      <c r="AS703" s="1" t="s">
        <v>71</v>
      </c>
      <c r="AX703" s="1" t="s">
        <v>71</v>
      </c>
      <c r="BH703" s="1" t="s">
        <v>71</v>
      </c>
    </row>
    <row r="704" customFormat="false" ht="15" hidden="false" customHeight="false" outlineLevel="0" collapsed="false">
      <c r="A704" s="1" t="s">
        <v>2479</v>
      </c>
      <c r="B704" s="1" t="s">
        <v>2480</v>
      </c>
      <c r="C704" s="1" t="s">
        <v>1756</v>
      </c>
      <c r="D704" s="1" t="s">
        <v>1872</v>
      </c>
      <c r="E704" s="1" t="s">
        <v>82</v>
      </c>
      <c r="F704" s="1" t="s">
        <v>391</v>
      </c>
      <c r="G704" s="1" t="s">
        <v>97</v>
      </c>
      <c r="H704" s="1" t="s">
        <v>406</v>
      </c>
      <c r="K704" s="1" t="s">
        <v>407</v>
      </c>
      <c r="L704" s="1" t="s">
        <v>408</v>
      </c>
      <c r="M704" s="1" t="s">
        <v>496</v>
      </c>
      <c r="N704" s="1" t="s">
        <v>2481</v>
      </c>
      <c r="O704" s="1" t="s">
        <v>2482</v>
      </c>
      <c r="P704" s="1"/>
      <c r="Q704" s="1" t="s">
        <v>70</v>
      </c>
      <c r="Z704" s="1" t="s">
        <v>71</v>
      </c>
      <c r="AE704" s="1" t="s">
        <v>2467</v>
      </c>
      <c r="AH704" s="1" t="s">
        <v>73</v>
      </c>
      <c r="AK704" s="1" t="s">
        <v>71</v>
      </c>
      <c r="AM704" s="1" t="s">
        <v>71</v>
      </c>
      <c r="AN704" s="1" t="s">
        <v>71</v>
      </c>
      <c r="AS704" s="1" t="s">
        <v>71</v>
      </c>
      <c r="AX704" s="1" t="s">
        <v>71</v>
      </c>
      <c r="BH704" s="1" t="s">
        <v>71</v>
      </c>
    </row>
    <row r="705" customFormat="false" ht="15" hidden="false" customHeight="false" outlineLevel="0" collapsed="false">
      <c r="A705" s="1" t="s">
        <v>2483</v>
      </c>
      <c r="B705" s="1" t="s">
        <v>2484</v>
      </c>
      <c r="C705" s="1" t="s">
        <v>150</v>
      </c>
      <c r="D705" s="1" t="s">
        <v>405</v>
      </c>
      <c r="E705" s="1" t="s">
        <v>82</v>
      </c>
      <c r="F705" s="1" t="s">
        <v>391</v>
      </c>
      <c r="G705" s="1" t="s">
        <v>97</v>
      </c>
      <c r="H705" s="1" t="s">
        <v>406</v>
      </c>
      <c r="K705" s="1" t="s">
        <v>407</v>
      </c>
      <c r="L705" s="1" t="s">
        <v>408</v>
      </c>
      <c r="M705" s="1" t="s">
        <v>496</v>
      </c>
      <c r="N705" s="1" t="s">
        <v>446</v>
      </c>
      <c r="O705" s="1" t="s">
        <v>447</v>
      </c>
      <c r="P705" s="1"/>
      <c r="Q705" s="1" t="s">
        <v>70</v>
      </c>
      <c r="Z705" s="1" t="s">
        <v>71</v>
      </c>
      <c r="AE705" s="1" t="s">
        <v>2467</v>
      </c>
      <c r="AH705" s="1" t="s">
        <v>73</v>
      </c>
      <c r="AK705" s="1" t="s">
        <v>71</v>
      </c>
      <c r="AM705" s="1" t="s">
        <v>71</v>
      </c>
      <c r="AN705" s="1" t="s">
        <v>71</v>
      </c>
      <c r="AS705" s="1" t="s">
        <v>71</v>
      </c>
      <c r="AX705" s="1" t="s">
        <v>71</v>
      </c>
      <c r="BH705" s="1" t="s">
        <v>71</v>
      </c>
    </row>
    <row r="706" customFormat="false" ht="15" hidden="false" customHeight="false" outlineLevel="0" collapsed="false">
      <c r="A706" s="1" t="s">
        <v>2485</v>
      </c>
      <c r="B706" s="1" t="s">
        <v>2486</v>
      </c>
      <c r="C706" s="1" t="s">
        <v>150</v>
      </c>
      <c r="D706" s="1" t="s">
        <v>405</v>
      </c>
      <c r="E706" s="1" t="s">
        <v>82</v>
      </c>
      <c r="F706" s="1" t="s">
        <v>391</v>
      </c>
      <c r="G706" s="1" t="s">
        <v>97</v>
      </c>
      <c r="H706" s="1" t="s">
        <v>406</v>
      </c>
      <c r="K706" s="1" t="s">
        <v>407</v>
      </c>
      <c r="L706" s="1" t="s">
        <v>408</v>
      </c>
      <c r="M706" s="1" t="s">
        <v>496</v>
      </c>
      <c r="N706" s="1" t="s">
        <v>1881</v>
      </c>
      <c r="O706" s="1" t="s">
        <v>1882</v>
      </c>
      <c r="P706" s="1"/>
      <c r="Q706" s="1" t="s">
        <v>70</v>
      </c>
      <c r="Z706" s="1" t="s">
        <v>71</v>
      </c>
      <c r="AE706" s="1" t="s">
        <v>2467</v>
      </c>
      <c r="AH706" s="1" t="s">
        <v>73</v>
      </c>
      <c r="AK706" s="1" t="s">
        <v>71</v>
      </c>
      <c r="AM706" s="1" t="s">
        <v>71</v>
      </c>
      <c r="AN706" s="1" t="s">
        <v>71</v>
      </c>
      <c r="AS706" s="1" t="s">
        <v>71</v>
      </c>
      <c r="AX706" s="1" t="s">
        <v>71</v>
      </c>
      <c r="BH706" s="1" t="s">
        <v>71</v>
      </c>
    </row>
    <row r="707" customFormat="false" ht="15" hidden="false" customHeight="false" outlineLevel="0" collapsed="false">
      <c r="A707" s="1" t="s">
        <v>2487</v>
      </c>
      <c r="B707" s="1" t="s">
        <v>2488</v>
      </c>
      <c r="C707" s="1" t="s">
        <v>150</v>
      </c>
      <c r="D707" s="1" t="s">
        <v>405</v>
      </c>
      <c r="E707" s="1" t="s">
        <v>82</v>
      </c>
      <c r="F707" s="1" t="s">
        <v>391</v>
      </c>
      <c r="G707" s="1" t="s">
        <v>97</v>
      </c>
      <c r="H707" s="1" t="s">
        <v>406</v>
      </c>
      <c r="K707" s="1" t="s">
        <v>407</v>
      </c>
      <c r="L707" s="1" t="s">
        <v>408</v>
      </c>
      <c r="M707" s="1" t="s">
        <v>496</v>
      </c>
      <c r="N707" s="1" t="s">
        <v>2489</v>
      </c>
      <c r="O707" s="1" t="s">
        <v>2490</v>
      </c>
      <c r="P707" s="1"/>
      <c r="Q707" s="1" t="s">
        <v>70</v>
      </c>
      <c r="Z707" s="1" t="s">
        <v>71</v>
      </c>
      <c r="AE707" s="1" t="s">
        <v>2467</v>
      </c>
      <c r="AH707" s="1" t="s">
        <v>73</v>
      </c>
      <c r="AK707" s="1" t="s">
        <v>71</v>
      </c>
      <c r="AM707" s="1" t="s">
        <v>71</v>
      </c>
      <c r="AN707" s="1" t="s">
        <v>71</v>
      </c>
      <c r="AS707" s="1" t="s">
        <v>71</v>
      </c>
      <c r="AX707" s="1" t="s">
        <v>71</v>
      </c>
      <c r="BH707" s="1" t="s">
        <v>71</v>
      </c>
    </row>
    <row r="708" customFormat="false" ht="15" hidden="false" customHeight="false" outlineLevel="0" collapsed="false">
      <c r="A708" s="1" t="s">
        <v>2491</v>
      </c>
      <c r="B708" s="1" t="s">
        <v>2492</v>
      </c>
      <c r="C708" s="1" t="s">
        <v>150</v>
      </c>
      <c r="D708" s="1" t="s">
        <v>405</v>
      </c>
      <c r="E708" s="1" t="s">
        <v>82</v>
      </c>
      <c r="F708" s="1" t="s">
        <v>391</v>
      </c>
      <c r="G708" s="1" t="s">
        <v>97</v>
      </c>
      <c r="H708" s="1" t="s">
        <v>406</v>
      </c>
      <c r="K708" s="1" t="s">
        <v>407</v>
      </c>
      <c r="L708" s="1" t="s">
        <v>408</v>
      </c>
      <c r="M708" s="1" t="s">
        <v>550</v>
      </c>
      <c r="N708" s="1" t="s">
        <v>2489</v>
      </c>
      <c r="O708" s="1" t="s">
        <v>2490</v>
      </c>
      <c r="P708" s="1"/>
      <c r="Q708" s="1" t="s">
        <v>70</v>
      </c>
      <c r="Z708" s="1" t="s">
        <v>71</v>
      </c>
      <c r="AE708" s="1" t="s">
        <v>2467</v>
      </c>
      <c r="AH708" s="1" t="s">
        <v>73</v>
      </c>
      <c r="AK708" s="1" t="s">
        <v>71</v>
      </c>
      <c r="AM708" s="1" t="s">
        <v>71</v>
      </c>
      <c r="AN708" s="1" t="s">
        <v>71</v>
      </c>
      <c r="AS708" s="1" t="s">
        <v>71</v>
      </c>
      <c r="AX708" s="1" t="s">
        <v>71</v>
      </c>
      <c r="BH708" s="1" t="s">
        <v>71</v>
      </c>
    </row>
    <row r="709" customFormat="false" ht="15" hidden="false" customHeight="false" outlineLevel="0" collapsed="false">
      <c r="A709" s="1" t="s">
        <v>2493</v>
      </c>
      <c r="B709" s="1" t="s">
        <v>2494</v>
      </c>
      <c r="C709" s="1" t="s">
        <v>1955</v>
      </c>
      <c r="D709" s="1" t="s">
        <v>239</v>
      </c>
      <c r="E709" s="1" t="s">
        <v>61</v>
      </c>
      <c r="F709" s="1" t="s">
        <v>101</v>
      </c>
      <c r="G709" s="1" t="s">
        <v>275</v>
      </c>
      <c r="H709" s="1" t="s">
        <v>276</v>
      </c>
      <c r="K709" s="1" t="s">
        <v>2495</v>
      </c>
      <c r="L709" s="1" t="s">
        <v>2496</v>
      </c>
      <c r="M709" s="1" t="s">
        <v>278</v>
      </c>
      <c r="N709" s="1" t="s">
        <v>1498</v>
      </c>
      <c r="O709" s="1" t="s">
        <v>1499</v>
      </c>
      <c r="P709" s="1"/>
      <c r="Q709" s="1" t="s">
        <v>70</v>
      </c>
      <c r="U709" s="1" t="s">
        <v>263</v>
      </c>
      <c r="Z709" s="1" t="s">
        <v>71</v>
      </c>
      <c r="AE709" s="1" t="s">
        <v>2497</v>
      </c>
      <c r="AH709" s="1" t="s">
        <v>73</v>
      </c>
      <c r="AK709" s="1" t="s">
        <v>71</v>
      </c>
      <c r="AM709" s="1" t="s">
        <v>71</v>
      </c>
      <c r="AN709" s="1" t="s">
        <v>71</v>
      </c>
      <c r="AS709" s="1" t="s">
        <v>71</v>
      </c>
      <c r="AX709" s="1" t="s">
        <v>71</v>
      </c>
      <c r="AY709" s="1" t="s">
        <v>59</v>
      </c>
      <c r="AZ709" s="1" t="s">
        <v>74</v>
      </c>
      <c r="BH709" s="1" t="s">
        <v>71</v>
      </c>
    </row>
    <row r="710" customFormat="false" ht="15" hidden="false" customHeight="false" outlineLevel="0" collapsed="false">
      <c r="A710" s="1" t="s">
        <v>2498</v>
      </c>
      <c r="B710" s="1" t="s">
        <v>2499</v>
      </c>
      <c r="C710" s="1" t="s">
        <v>220</v>
      </c>
      <c r="D710" s="1" t="s">
        <v>540</v>
      </c>
      <c r="E710" s="1" t="s">
        <v>82</v>
      </c>
      <c r="F710" s="1" t="s">
        <v>391</v>
      </c>
      <c r="G710" s="1" t="s">
        <v>213</v>
      </c>
      <c r="H710" s="1" t="s">
        <v>477</v>
      </c>
      <c r="K710" s="1" t="s">
        <v>478</v>
      </c>
      <c r="L710" s="1" t="s">
        <v>479</v>
      </c>
      <c r="M710" s="1" t="s">
        <v>496</v>
      </c>
      <c r="N710" s="1" t="s">
        <v>541</v>
      </c>
      <c r="O710" s="1" t="s">
        <v>400</v>
      </c>
      <c r="P710" s="1"/>
      <c r="Q710" s="1" t="s">
        <v>70</v>
      </c>
      <c r="Z710" s="1" t="s">
        <v>71</v>
      </c>
      <c r="AE710" s="1" t="s">
        <v>2500</v>
      </c>
      <c r="AH710" s="1" t="s">
        <v>73</v>
      </c>
      <c r="AK710" s="1" t="s">
        <v>71</v>
      </c>
      <c r="AM710" s="1" t="s">
        <v>71</v>
      </c>
      <c r="AN710" s="1" t="s">
        <v>71</v>
      </c>
      <c r="AS710" s="1" t="s">
        <v>71</v>
      </c>
      <c r="AX710" s="1" t="s">
        <v>71</v>
      </c>
      <c r="BH710" s="1" t="s">
        <v>71</v>
      </c>
    </row>
    <row r="711" customFormat="false" ht="15" hidden="false" customHeight="false" outlineLevel="0" collapsed="false">
      <c r="A711" s="1" t="s">
        <v>2501</v>
      </c>
      <c r="B711" s="1" t="s">
        <v>2502</v>
      </c>
      <c r="C711" s="1" t="s">
        <v>573</v>
      </c>
      <c r="D711" s="1" t="s">
        <v>574</v>
      </c>
      <c r="E711" s="1" t="s">
        <v>82</v>
      </c>
      <c r="F711" s="1" t="s">
        <v>391</v>
      </c>
      <c r="G711" s="1" t="s">
        <v>213</v>
      </c>
      <c r="H711" s="1" t="s">
        <v>477</v>
      </c>
      <c r="K711" s="1" t="s">
        <v>575</v>
      </c>
      <c r="L711" s="1" t="s">
        <v>576</v>
      </c>
      <c r="M711" s="1" t="s">
        <v>496</v>
      </c>
      <c r="N711" s="1" t="s">
        <v>2503</v>
      </c>
      <c r="O711" s="1" t="s">
        <v>2504</v>
      </c>
      <c r="P711" s="1"/>
      <c r="Q711" s="1" t="s">
        <v>70</v>
      </c>
      <c r="Z711" s="1" t="s">
        <v>71</v>
      </c>
      <c r="AE711" s="1" t="s">
        <v>2505</v>
      </c>
      <c r="AH711" s="1" t="s">
        <v>73</v>
      </c>
      <c r="AK711" s="1" t="s">
        <v>71</v>
      </c>
      <c r="AM711" s="1" t="s">
        <v>71</v>
      </c>
      <c r="AN711" s="1" t="s">
        <v>71</v>
      </c>
      <c r="AS711" s="1" t="s">
        <v>71</v>
      </c>
      <c r="AX711" s="1" t="s">
        <v>71</v>
      </c>
      <c r="BH711" s="1" t="s">
        <v>71</v>
      </c>
    </row>
    <row r="712" customFormat="false" ht="15" hidden="false" customHeight="false" outlineLevel="0" collapsed="false">
      <c r="A712" s="1" t="s">
        <v>2506</v>
      </c>
      <c r="B712" s="1" t="s">
        <v>2507</v>
      </c>
      <c r="C712" s="1" t="s">
        <v>528</v>
      </c>
      <c r="D712" s="1" t="s">
        <v>1274</v>
      </c>
      <c r="E712" s="1" t="s">
        <v>82</v>
      </c>
      <c r="F712" s="1" t="s">
        <v>391</v>
      </c>
      <c r="G712" s="1" t="s">
        <v>443</v>
      </c>
      <c r="H712" s="1" t="s">
        <v>444</v>
      </c>
      <c r="K712" s="1" t="s">
        <v>618</v>
      </c>
      <c r="L712" s="1" t="s">
        <v>619</v>
      </c>
      <c r="M712" s="1" t="s">
        <v>496</v>
      </c>
      <c r="N712" s="1" t="s">
        <v>842</v>
      </c>
      <c r="O712" s="1" t="s">
        <v>400</v>
      </c>
      <c r="P712" s="1"/>
      <c r="Q712" s="1" t="s">
        <v>70</v>
      </c>
      <c r="Z712" s="1" t="s">
        <v>71</v>
      </c>
      <c r="AE712" s="1" t="s">
        <v>2508</v>
      </c>
      <c r="AH712" s="1" t="s">
        <v>73</v>
      </c>
      <c r="AK712" s="1" t="s">
        <v>71</v>
      </c>
      <c r="AM712" s="1" t="s">
        <v>71</v>
      </c>
      <c r="AN712" s="1" t="s">
        <v>71</v>
      </c>
      <c r="AS712" s="1" t="s">
        <v>71</v>
      </c>
      <c r="AX712" s="1" t="s">
        <v>71</v>
      </c>
      <c r="BH712" s="1" t="s">
        <v>71</v>
      </c>
    </row>
    <row r="713" customFormat="false" ht="15" hidden="false" customHeight="false" outlineLevel="0" collapsed="false">
      <c r="A713" s="1" t="s">
        <v>2509</v>
      </c>
      <c r="B713" s="1" t="s">
        <v>2510</v>
      </c>
      <c r="C713" s="1" t="s">
        <v>528</v>
      </c>
      <c r="D713" s="1" t="s">
        <v>1274</v>
      </c>
      <c r="E713" s="1" t="s">
        <v>82</v>
      </c>
      <c r="F713" s="1" t="s">
        <v>391</v>
      </c>
      <c r="G713" s="1" t="s">
        <v>443</v>
      </c>
      <c r="H713" s="1" t="s">
        <v>444</v>
      </c>
      <c r="K713" s="1" t="s">
        <v>618</v>
      </c>
      <c r="L713" s="1" t="s">
        <v>619</v>
      </c>
      <c r="M713" s="1" t="s">
        <v>496</v>
      </c>
      <c r="N713" s="1" t="s">
        <v>842</v>
      </c>
      <c r="O713" s="1" t="s">
        <v>400</v>
      </c>
      <c r="P713" s="1"/>
      <c r="Q713" s="1" t="s">
        <v>70</v>
      </c>
      <c r="Z713" s="1" t="s">
        <v>71</v>
      </c>
      <c r="AE713" s="1" t="s">
        <v>2508</v>
      </c>
      <c r="AH713" s="1" t="s">
        <v>73</v>
      </c>
      <c r="AK713" s="1" t="s">
        <v>71</v>
      </c>
      <c r="AM713" s="1" t="s">
        <v>71</v>
      </c>
      <c r="AN713" s="1" t="s">
        <v>71</v>
      </c>
      <c r="AS713" s="1" t="s">
        <v>71</v>
      </c>
      <c r="AX713" s="1" t="s">
        <v>71</v>
      </c>
      <c r="BH713" s="1" t="s">
        <v>71</v>
      </c>
    </row>
    <row r="714" customFormat="false" ht="15" hidden="false" customHeight="false" outlineLevel="0" collapsed="false">
      <c r="A714" s="1" t="s">
        <v>2511</v>
      </c>
      <c r="B714" s="1" t="s">
        <v>2512</v>
      </c>
      <c r="C714" s="1" t="s">
        <v>1823</v>
      </c>
      <c r="D714" s="1" t="s">
        <v>1824</v>
      </c>
      <c r="E714" s="1" t="s">
        <v>82</v>
      </c>
      <c r="F714" s="1" t="s">
        <v>391</v>
      </c>
      <c r="G714" s="1" t="s">
        <v>1356</v>
      </c>
      <c r="H714" s="1" t="s">
        <v>1825</v>
      </c>
      <c r="K714" s="1" t="s">
        <v>1826</v>
      </c>
      <c r="L714" s="1" t="s">
        <v>1827</v>
      </c>
      <c r="M714" s="1" t="s">
        <v>496</v>
      </c>
      <c r="N714" s="1" t="s">
        <v>2513</v>
      </c>
      <c r="O714" s="1" t="s">
        <v>2514</v>
      </c>
      <c r="P714" s="1"/>
      <c r="Q714" s="1" t="s">
        <v>70</v>
      </c>
      <c r="Z714" s="1" t="s">
        <v>71</v>
      </c>
      <c r="AE714" s="1" t="s">
        <v>2508</v>
      </c>
      <c r="AH714" s="1" t="s">
        <v>73</v>
      </c>
      <c r="AK714" s="1" t="s">
        <v>71</v>
      </c>
      <c r="AM714" s="1" t="s">
        <v>71</v>
      </c>
      <c r="AN714" s="1" t="s">
        <v>71</v>
      </c>
      <c r="AS714" s="1" t="s">
        <v>71</v>
      </c>
      <c r="AX714" s="1" t="s">
        <v>71</v>
      </c>
      <c r="BH714" s="1" t="s">
        <v>71</v>
      </c>
    </row>
    <row r="715" customFormat="false" ht="15" hidden="false" customHeight="false" outlineLevel="0" collapsed="false">
      <c r="A715" s="1" t="s">
        <v>2515</v>
      </c>
      <c r="B715" s="1" t="s">
        <v>2516</v>
      </c>
      <c r="C715" s="1" t="s">
        <v>528</v>
      </c>
      <c r="D715" s="1" t="s">
        <v>1274</v>
      </c>
      <c r="E715" s="1" t="s">
        <v>82</v>
      </c>
      <c r="F715" s="1" t="s">
        <v>391</v>
      </c>
      <c r="G715" s="1" t="s">
        <v>443</v>
      </c>
      <c r="H715" s="1" t="s">
        <v>444</v>
      </c>
      <c r="K715" s="1" t="s">
        <v>618</v>
      </c>
      <c r="L715" s="1" t="s">
        <v>619</v>
      </c>
      <c r="M715" s="1" t="s">
        <v>496</v>
      </c>
      <c r="N715" s="1" t="s">
        <v>842</v>
      </c>
      <c r="O715" s="1" t="s">
        <v>400</v>
      </c>
      <c r="P715" s="1"/>
      <c r="Q715" s="1" t="s">
        <v>70</v>
      </c>
      <c r="Z715" s="1" t="s">
        <v>71</v>
      </c>
      <c r="AE715" s="1" t="s">
        <v>2508</v>
      </c>
      <c r="AH715" s="1" t="s">
        <v>73</v>
      </c>
      <c r="AK715" s="1" t="s">
        <v>71</v>
      </c>
      <c r="AM715" s="1" t="s">
        <v>71</v>
      </c>
      <c r="AN715" s="1" t="s">
        <v>71</v>
      </c>
      <c r="AS715" s="1" t="s">
        <v>71</v>
      </c>
      <c r="AX715" s="1" t="s">
        <v>71</v>
      </c>
      <c r="BH715" s="1" t="s">
        <v>71</v>
      </c>
    </row>
    <row r="716" customFormat="false" ht="15" hidden="false" customHeight="false" outlineLevel="0" collapsed="false">
      <c r="A716" s="1" t="s">
        <v>2517</v>
      </c>
      <c r="B716" s="1" t="s">
        <v>2518</v>
      </c>
      <c r="C716" s="1" t="s">
        <v>528</v>
      </c>
      <c r="D716" s="1" t="s">
        <v>1274</v>
      </c>
      <c r="E716" s="1" t="s">
        <v>82</v>
      </c>
      <c r="F716" s="1" t="s">
        <v>391</v>
      </c>
      <c r="G716" s="1" t="s">
        <v>443</v>
      </c>
      <c r="H716" s="1" t="s">
        <v>444</v>
      </c>
      <c r="K716" s="1" t="s">
        <v>618</v>
      </c>
      <c r="L716" s="1" t="s">
        <v>619</v>
      </c>
      <c r="M716" s="1" t="s">
        <v>496</v>
      </c>
      <c r="N716" s="1" t="s">
        <v>842</v>
      </c>
      <c r="O716" s="1" t="s">
        <v>400</v>
      </c>
      <c r="P716" s="1"/>
      <c r="Q716" s="1" t="s">
        <v>70</v>
      </c>
      <c r="Z716" s="1" t="s">
        <v>71</v>
      </c>
      <c r="AE716" s="1" t="s">
        <v>2508</v>
      </c>
      <c r="AH716" s="1" t="s">
        <v>73</v>
      </c>
      <c r="AK716" s="1" t="s">
        <v>71</v>
      </c>
      <c r="AM716" s="1" t="s">
        <v>71</v>
      </c>
      <c r="AN716" s="1" t="s">
        <v>71</v>
      </c>
      <c r="AS716" s="1" t="s">
        <v>71</v>
      </c>
      <c r="AX716" s="1" t="s">
        <v>71</v>
      </c>
      <c r="BH716" s="1" t="s">
        <v>71</v>
      </c>
    </row>
    <row r="717" customFormat="false" ht="15" hidden="false" customHeight="false" outlineLevel="0" collapsed="false">
      <c r="A717" s="1" t="s">
        <v>2519</v>
      </c>
      <c r="B717" s="1" t="s">
        <v>2520</v>
      </c>
      <c r="C717" s="1" t="s">
        <v>528</v>
      </c>
      <c r="D717" s="1" t="s">
        <v>1274</v>
      </c>
      <c r="E717" s="1" t="s">
        <v>82</v>
      </c>
      <c r="F717" s="1" t="s">
        <v>391</v>
      </c>
      <c r="G717" s="1" t="s">
        <v>443</v>
      </c>
      <c r="H717" s="1" t="s">
        <v>444</v>
      </c>
      <c r="K717" s="1" t="s">
        <v>61</v>
      </c>
      <c r="L717" s="1" t="s">
        <v>445</v>
      </c>
      <c r="M717" s="1" t="s">
        <v>496</v>
      </c>
      <c r="N717" s="1" t="s">
        <v>842</v>
      </c>
      <c r="O717" s="1" t="s">
        <v>400</v>
      </c>
      <c r="P717" s="1"/>
      <c r="Q717" s="1" t="s">
        <v>70</v>
      </c>
      <c r="Z717" s="1" t="s">
        <v>71</v>
      </c>
      <c r="AE717" s="1" t="s">
        <v>2508</v>
      </c>
      <c r="AH717" s="1" t="s">
        <v>73</v>
      </c>
      <c r="AK717" s="1" t="s">
        <v>71</v>
      </c>
      <c r="AM717" s="1" t="s">
        <v>71</v>
      </c>
      <c r="AN717" s="1" t="s">
        <v>71</v>
      </c>
      <c r="AS717" s="1" t="s">
        <v>71</v>
      </c>
      <c r="AX717" s="1" t="s">
        <v>71</v>
      </c>
      <c r="BH717" s="1" t="s">
        <v>71</v>
      </c>
    </row>
    <row r="718" customFormat="false" ht="15" hidden="false" customHeight="false" outlineLevel="0" collapsed="false">
      <c r="A718" s="1" t="s">
        <v>2521</v>
      </c>
      <c r="B718" s="1" t="s">
        <v>2522</v>
      </c>
      <c r="C718" s="1" t="s">
        <v>528</v>
      </c>
      <c r="D718" s="1" t="s">
        <v>1274</v>
      </c>
      <c r="E718" s="1" t="s">
        <v>82</v>
      </c>
      <c r="F718" s="1" t="s">
        <v>391</v>
      </c>
      <c r="G718" s="1" t="s">
        <v>443</v>
      </c>
      <c r="H718" s="1" t="s">
        <v>444</v>
      </c>
      <c r="K718" s="1" t="s">
        <v>618</v>
      </c>
      <c r="L718" s="1" t="s">
        <v>619</v>
      </c>
      <c r="M718" s="1" t="s">
        <v>496</v>
      </c>
      <c r="N718" s="1" t="s">
        <v>842</v>
      </c>
      <c r="O718" s="1" t="s">
        <v>400</v>
      </c>
      <c r="P718" s="1"/>
      <c r="Q718" s="1" t="s">
        <v>70</v>
      </c>
      <c r="Z718" s="1" t="s">
        <v>71</v>
      </c>
      <c r="AE718" s="1" t="s">
        <v>2508</v>
      </c>
      <c r="AH718" s="1" t="s">
        <v>73</v>
      </c>
      <c r="AK718" s="1" t="s">
        <v>71</v>
      </c>
      <c r="AM718" s="1" t="s">
        <v>71</v>
      </c>
      <c r="AN718" s="1" t="s">
        <v>71</v>
      </c>
      <c r="AS718" s="1" t="s">
        <v>71</v>
      </c>
      <c r="AX718" s="1" t="s">
        <v>71</v>
      </c>
      <c r="BH718" s="1" t="s">
        <v>71</v>
      </c>
    </row>
    <row r="719" customFormat="false" ht="15" hidden="false" customHeight="false" outlineLevel="0" collapsed="false">
      <c r="A719" s="1" t="s">
        <v>2523</v>
      </c>
      <c r="B719" s="1" t="s">
        <v>2524</v>
      </c>
      <c r="C719" s="1" t="s">
        <v>528</v>
      </c>
      <c r="D719" s="1" t="s">
        <v>1274</v>
      </c>
      <c r="E719" s="1" t="s">
        <v>82</v>
      </c>
      <c r="F719" s="1" t="s">
        <v>391</v>
      </c>
      <c r="G719" s="1" t="s">
        <v>443</v>
      </c>
      <c r="H719" s="1" t="s">
        <v>444</v>
      </c>
      <c r="K719" s="1" t="s">
        <v>618</v>
      </c>
      <c r="L719" s="1" t="s">
        <v>619</v>
      </c>
      <c r="M719" s="1" t="s">
        <v>496</v>
      </c>
      <c r="N719" s="1" t="s">
        <v>2525</v>
      </c>
      <c r="O719" s="1" t="s">
        <v>447</v>
      </c>
      <c r="P719" s="1"/>
      <c r="Q719" s="1" t="s">
        <v>70</v>
      </c>
      <c r="Z719" s="1" t="s">
        <v>71</v>
      </c>
      <c r="AE719" s="1" t="s">
        <v>2508</v>
      </c>
      <c r="AH719" s="1" t="s">
        <v>73</v>
      </c>
      <c r="AK719" s="1" t="s">
        <v>71</v>
      </c>
      <c r="AM719" s="1" t="s">
        <v>71</v>
      </c>
      <c r="AN719" s="1" t="s">
        <v>71</v>
      </c>
      <c r="AS719" s="1" t="s">
        <v>71</v>
      </c>
      <c r="AX719" s="1" t="s">
        <v>71</v>
      </c>
      <c r="BH719" s="1" t="s">
        <v>71</v>
      </c>
    </row>
    <row r="720" customFormat="false" ht="15" hidden="false" customHeight="false" outlineLevel="0" collapsed="false">
      <c r="A720" s="1" t="s">
        <v>2526</v>
      </c>
      <c r="B720" s="1" t="s">
        <v>2527</v>
      </c>
      <c r="C720" s="1" t="s">
        <v>528</v>
      </c>
      <c r="D720" s="1" t="s">
        <v>1274</v>
      </c>
      <c r="E720" s="1" t="s">
        <v>82</v>
      </c>
      <c r="F720" s="1" t="s">
        <v>391</v>
      </c>
      <c r="G720" s="1" t="s">
        <v>443</v>
      </c>
      <c r="H720" s="1" t="s">
        <v>444</v>
      </c>
      <c r="K720" s="1" t="s">
        <v>618</v>
      </c>
      <c r="L720" s="1" t="s">
        <v>619</v>
      </c>
      <c r="M720" s="1" t="s">
        <v>496</v>
      </c>
      <c r="N720" s="1" t="s">
        <v>779</v>
      </c>
      <c r="O720" s="1" t="s">
        <v>400</v>
      </c>
      <c r="P720" s="1"/>
      <c r="Q720" s="1" t="s">
        <v>70</v>
      </c>
      <c r="Z720" s="1" t="s">
        <v>71</v>
      </c>
      <c r="AE720" s="1" t="s">
        <v>2508</v>
      </c>
      <c r="AH720" s="1" t="s">
        <v>73</v>
      </c>
      <c r="AK720" s="1" t="s">
        <v>71</v>
      </c>
      <c r="AM720" s="1" t="s">
        <v>71</v>
      </c>
      <c r="AN720" s="1" t="s">
        <v>71</v>
      </c>
      <c r="AS720" s="1" t="s">
        <v>71</v>
      </c>
      <c r="AX720" s="1" t="s">
        <v>71</v>
      </c>
      <c r="BH720" s="1" t="s">
        <v>71</v>
      </c>
    </row>
    <row r="721" customFormat="false" ht="15" hidden="false" customHeight="false" outlineLevel="0" collapsed="false">
      <c r="A721" s="1" t="s">
        <v>2528</v>
      </c>
      <c r="B721" s="1" t="s">
        <v>2529</v>
      </c>
      <c r="C721" s="1" t="s">
        <v>718</v>
      </c>
      <c r="D721" s="1" t="s">
        <v>900</v>
      </c>
      <c r="E721" s="1" t="s">
        <v>82</v>
      </c>
      <c r="F721" s="1" t="s">
        <v>391</v>
      </c>
      <c r="G721" s="1" t="s">
        <v>213</v>
      </c>
      <c r="H721" s="1" t="s">
        <v>477</v>
      </c>
      <c r="K721" s="1" t="s">
        <v>478</v>
      </c>
      <c r="L721" s="1" t="s">
        <v>479</v>
      </c>
      <c r="M721" s="1" t="s">
        <v>496</v>
      </c>
      <c r="N721" s="1" t="s">
        <v>518</v>
      </c>
      <c r="O721" s="1" t="s">
        <v>519</v>
      </c>
      <c r="P721" s="1"/>
      <c r="Q721" s="1" t="s">
        <v>70</v>
      </c>
      <c r="Z721" s="1" t="s">
        <v>71</v>
      </c>
      <c r="AE721" s="1" t="s">
        <v>2530</v>
      </c>
      <c r="AH721" s="1" t="s">
        <v>73</v>
      </c>
      <c r="AK721" s="1" t="s">
        <v>71</v>
      </c>
      <c r="AM721" s="1" t="s">
        <v>71</v>
      </c>
      <c r="AN721" s="1" t="s">
        <v>71</v>
      </c>
      <c r="AS721" s="1" t="s">
        <v>71</v>
      </c>
      <c r="AX721" s="1" t="s">
        <v>71</v>
      </c>
      <c r="BH721" s="1" t="s">
        <v>71</v>
      </c>
    </row>
    <row r="722" customFormat="false" ht="15" hidden="false" customHeight="false" outlineLevel="0" collapsed="false">
      <c r="A722" s="1" t="s">
        <v>2531</v>
      </c>
      <c r="B722" s="1" t="s">
        <v>2532</v>
      </c>
      <c r="C722" s="1" t="s">
        <v>718</v>
      </c>
      <c r="D722" s="1" t="s">
        <v>900</v>
      </c>
      <c r="E722" s="1" t="s">
        <v>82</v>
      </c>
      <c r="F722" s="1" t="s">
        <v>391</v>
      </c>
      <c r="G722" s="1" t="s">
        <v>213</v>
      </c>
      <c r="H722" s="1" t="s">
        <v>477</v>
      </c>
      <c r="K722" s="1" t="s">
        <v>478</v>
      </c>
      <c r="L722" s="1" t="s">
        <v>479</v>
      </c>
      <c r="M722" s="1" t="s">
        <v>496</v>
      </c>
      <c r="N722" s="1" t="s">
        <v>536</v>
      </c>
      <c r="O722" s="1" t="s">
        <v>537</v>
      </c>
      <c r="P722" s="1"/>
      <c r="Q722" s="1" t="s">
        <v>70</v>
      </c>
      <c r="Z722" s="1" t="s">
        <v>71</v>
      </c>
      <c r="AE722" s="1" t="s">
        <v>2530</v>
      </c>
      <c r="AH722" s="1" t="s">
        <v>73</v>
      </c>
      <c r="AK722" s="1" t="s">
        <v>71</v>
      </c>
      <c r="AM722" s="1" t="s">
        <v>71</v>
      </c>
      <c r="AN722" s="1" t="s">
        <v>71</v>
      </c>
      <c r="AS722" s="1" t="s">
        <v>71</v>
      </c>
      <c r="AX722" s="1" t="s">
        <v>71</v>
      </c>
      <c r="BH722" s="1" t="s">
        <v>71</v>
      </c>
    </row>
    <row r="723" customFormat="false" ht="15" hidden="false" customHeight="false" outlineLevel="0" collapsed="false">
      <c r="A723" s="1" t="s">
        <v>2533</v>
      </c>
      <c r="B723" s="1" t="s">
        <v>2534</v>
      </c>
      <c r="C723" s="1" t="s">
        <v>738</v>
      </c>
      <c r="D723" s="1" t="s">
        <v>2535</v>
      </c>
      <c r="E723" s="1" t="s">
        <v>82</v>
      </c>
      <c r="F723" s="1" t="s">
        <v>391</v>
      </c>
      <c r="G723" s="1" t="s">
        <v>443</v>
      </c>
      <c r="H723" s="1" t="s">
        <v>444</v>
      </c>
      <c r="K723" s="1" t="s">
        <v>666</v>
      </c>
      <c r="L723" s="1" t="s">
        <v>667</v>
      </c>
      <c r="M723" s="1" t="s">
        <v>806</v>
      </c>
      <c r="N723" s="1" t="s">
        <v>2063</v>
      </c>
      <c r="O723" s="1" t="s">
        <v>2064</v>
      </c>
      <c r="P723" s="1"/>
      <c r="Q723" s="1" t="s">
        <v>70</v>
      </c>
      <c r="Z723" s="1" t="s">
        <v>71</v>
      </c>
      <c r="AE723" s="1" t="s">
        <v>2536</v>
      </c>
      <c r="AH723" s="1" t="s">
        <v>73</v>
      </c>
      <c r="AK723" s="1" t="s">
        <v>71</v>
      </c>
      <c r="AM723" s="1" t="s">
        <v>71</v>
      </c>
      <c r="AN723" s="1" t="s">
        <v>71</v>
      </c>
      <c r="AS723" s="1" t="s">
        <v>71</v>
      </c>
      <c r="AX723" s="1" t="s">
        <v>71</v>
      </c>
      <c r="BH723" s="1" t="s">
        <v>71</v>
      </c>
    </row>
    <row r="724" customFormat="false" ht="15" hidden="false" customHeight="false" outlineLevel="0" collapsed="false">
      <c r="A724" s="1" t="s">
        <v>2537</v>
      </c>
      <c r="B724" s="1" t="s">
        <v>2538</v>
      </c>
      <c r="C724" s="1" t="s">
        <v>742</v>
      </c>
      <c r="D724" s="1" t="s">
        <v>1977</v>
      </c>
      <c r="E724" s="1" t="s">
        <v>88</v>
      </c>
      <c r="F724" s="1" t="s">
        <v>432</v>
      </c>
      <c r="G724" s="1" t="s">
        <v>573</v>
      </c>
      <c r="H724" s="1" t="s">
        <v>2539</v>
      </c>
      <c r="K724" s="1" t="s">
        <v>2540</v>
      </c>
      <c r="L724" s="1" t="s">
        <v>2541</v>
      </c>
      <c r="M724" s="1" t="s">
        <v>465</v>
      </c>
      <c r="N724" s="1" t="s">
        <v>2542</v>
      </c>
      <c r="O724" s="1" t="s">
        <v>2543</v>
      </c>
      <c r="P724" s="1"/>
      <c r="Q724" s="1" t="s">
        <v>70</v>
      </c>
      <c r="Z724" s="1" t="s">
        <v>71</v>
      </c>
      <c r="AE724" s="1" t="s">
        <v>2544</v>
      </c>
      <c r="AH724" s="1" t="s">
        <v>73</v>
      </c>
      <c r="AK724" s="1" t="s">
        <v>71</v>
      </c>
      <c r="AM724" s="1" t="s">
        <v>71</v>
      </c>
      <c r="AN724" s="1" t="s">
        <v>71</v>
      </c>
      <c r="AS724" s="1" t="s">
        <v>71</v>
      </c>
      <c r="AX724" s="1" t="s">
        <v>71</v>
      </c>
      <c r="BH724" s="1" t="s">
        <v>71</v>
      </c>
    </row>
    <row r="725" customFormat="false" ht="15" hidden="false" customHeight="false" outlineLevel="0" collapsed="false">
      <c r="A725" s="1" t="s">
        <v>2545</v>
      </c>
      <c r="B725" s="1" t="s">
        <v>2546</v>
      </c>
      <c r="C725" s="1" t="s">
        <v>161</v>
      </c>
      <c r="D725" s="1" t="s">
        <v>162</v>
      </c>
      <c r="E725" s="1" t="s">
        <v>61</v>
      </c>
      <c r="F725" s="1" t="s">
        <v>101</v>
      </c>
      <c r="G725" s="1" t="s">
        <v>93</v>
      </c>
      <c r="H725" s="1" t="s">
        <v>64</v>
      </c>
      <c r="K725" s="1" t="s">
        <v>108</v>
      </c>
      <c r="L725" s="1" t="s">
        <v>2547</v>
      </c>
      <c r="M725" s="1" t="s">
        <v>1555</v>
      </c>
      <c r="N725" s="1" t="s">
        <v>105</v>
      </c>
      <c r="O725" s="1" t="s">
        <v>106</v>
      </c>
      <c r="P725" s="1"/>
      <c r="Q725" s="1" t="s">
        <v>70</v>
      </c>
      <c r="U725" s="1" t="s">
        <v>2545</v>
      </c>
      <c r="Z725" s="1" t="s">
        <v>71</v>
      </c>
      <c r="AE725" s="1" t="s">
        <v>2548</v>
      </c>
      <c r="AH725" s="1" t="s">
        <v>73</v>
      </c>
      <c r="AK725" s="1" t="s">
        <v>71</v>
      </c>
      <c r="AM725" s="1" t="s">
        <v>71</v>
      </c>
      <c r="AN725" s="1" t="s">
        <v>71</v>
      </c>
      <c r="AS725" s="1" t="s">
        <v>71</v>
      </c>
      <c r="AX725" s="1" t="s">
        <v>71</v>
      </c>
      <c r="AY725" s="1" t="s">
        <v>59</v>
      </c>
      <c r="AZ725" s="1" t="s">
        <v>74</v>
      </c>
      <c r="BH725" s="1" t="s">
        <v>71</v>
      </c>
    </row>
    <row r="726" customFormat="false" ht="15" hidden="false" customHeight="false" outlineLevel="0" collapsed="false">
      <c r="A726" s="1" t="s">
        <v>253</v>
      </c>
      <c r="B726" s="1" t="s">
        <v>2549</v>
      </c>
      <c r="C726" s="1" t="s">
        <v>356</v>
      </c>
      <c r="D726" s="1" t="s">
        <v>1478</v>
      </c>
      <c r="E726" s="1" t="s">
        <v>61</v>
      </c>
      <c r="F726" s="1" t="s">
        <v>101</v>
      </c>
      <c r="G726" s="1" t="s">
        <v>275</v>
      </c>
      <c r="H726" s="1" t="s">
        <v>276</v>
      </c>
      <c r="K726" s="1" t="s">
        <v>157</v>
      </c>
      <c r="L726" s="1" t="s">
        <v>1363</v>
      </c>
      <c r="M726" s="1" t="s">
        <v>1364</v>
      </c>
      <c r="N726" s="1" t="s">
        <v>279</v>
      </c>
      <c r="O726" s="1" t="s">
        <v>280</v>
      </c>
      <c r="P726" s="1"/>
      <c r="Q726" s="1" t="s">
        <v>70</v>
      </c>
      <c r="U726" s="1" t="s">
        <v>253</v>
      </c>
      <c r="Z726" s="1" t="s">
        <v>71</v>
      </c>
      <c r="AE726" s="1" t="s">
        <v>2548</v>
      </c>
      <c r="AH726" s="1" t="s">
        <v>73</v>
      </c>
      <c r="AK726" s="1" t="s">
        <v>71</v>
      </c>
      <c r="AM726" s="1" t="s">
        <v>71</v>
      </c>
      <c r="AN726" s="1" t="s">
        <v>71</v>
      </c>
      <c r="AS726" s="1" t="s">
        <v>71</v>
      </c>
      <c r="AX726" s="1" t="s">
        <v>71</v>
      </c>
      <c r="AY726" s="1" t="s">
        <v>59</v>
      </c>
      <c r="AZ726" s="1" t="s">
        <v>74</v>
      </c>
      <c r="BH726" s="1" t="s">
        <v>71</v>
      </c>
    </row>
    <row r="727" customFormat="false" ht="15" hidden="false" customHeight="false" outlineLevel="0" collapsed="false">
      <c r="A727" s="1" t="s">
        <v>2550</v>
      </c>
      <c r="B727" s="1" t="s">
        <v>2551</v>
      </c>
      <c r="C727" s="1" t="s">
        <v>161</v>
      </c>
      <c r="D727" s="1" t="s">
        <v>162</v>
      </c>
      <c r="E727" s="1" t="s">
        <v>61</v>
      </c>
      <c r="F727" s="1" t="s">
        <v>101</v>
      </c>
      <c r="G727" s="1" t="s">
        <v>93</v>
      </c>
      <c r="H727" s="1" t="s">
        <v>64</v>
      </c>
      <c r="K727" s="1" t="s">
        <v>195</v>
      </c>
      <c r="L727" s="1" t="s">
        <v>1542</v>
      </c>
      <c r="M727" s="1" t="s">
        <v>104</v>
      </c>
      <c r="N727" s="1" t="s">
        <v>1177</v>
      </c>
      <c r="O727" s="1" t="s">
        <v>1178</v>
      </c>
      <c r="P727" s="1" t="e">
        <f aca="false">image("https://drive.google.com/uc?export=view&amp;id=1XojiN5BMbD42A1FZILag_Yn3r8wI5G38")</f>
        <v>#NAME?</v>
      </c>
      <c r="Q727" s="1" t="s">
        <v>205</v>
      </c>
      <c r="U727" s="1" t="s">
        <v>2550</v>
      </c>
      <c r="Z727" s="1" t="s">
        <v>71</v>
      </c>
      <c r="AE727" s="1" t="s">
        <v>2552</v>
      </c>
      <c r="AH727" s="1" t="s">
        <v>73</v>
      </c>
      <c r="AK727" s="1" t="s">
        <v>71</v>
      </c>
      <c r="AM727" s="1" t="s">
        <v>71</v>
      </c>
      <c r="AN727" s="1" t="s">
        <v>71</v>
      </c>
      <c r="AS727" s="1" t="s">
        <v>71</v>
      </c>
      <c r="AX727" s="1" t="s">
        <v>71</v>
      </c>
      <c r="AY727" s="1" t="s">
        <v>59</v>
      </c>
      <c r="AZ727" s="1" t="s">
        <v>74</v>
      </c>
      <c r="BH727" s="1" t="s">
        <v>71</v>
      </c>
    </row>
    <row r="728" customFormat="false" ht="15" hidden="false" customHeight="false" outlineLevel="0" collapsed="false">
      <c r="A728" s="1" t="s">
        <v>2553</v>
      </c>
      <c r="B728" s="1" t="s">
        <v>2554</v>
      </c>
      <c r="C728" s="1" t="s">
        <v>161</v>
      </c>
      <c r="D728" s="1" t="s">
        <v>162</v>
      </c>
      <c r="E728" s="1" t="s">
        <v>61</v>
      </c>
      <c r="F728" s="1" t="s">
        <v>101</v>
      </c>
      <c r="G728" s="1" t="s">
        <v>93</v>
      </c>
      <c r="H728" s="1" t="s">
        <v>64</v>
      </c>
      <c r="K728" s="1" t="s">
        <v>229</v>
      </c>
      <c r="L728" s="1" t="s">
        <v>605</v>
      </c>
      <c r="M728" s="1" t="s">
        <v>2555</v>
      </c>
      <c r="N728" s="1" t="s">
        <v>105</v>
      </c>
      <c r="O728" s="1" t="s">
        <v>106</v>
      </c>
      <c r="P728" s="1"/>
      <c r="Q728" s="1" t="s">
        <v>70</v>
      </c>
      <c r="U728" s="1" t="s">
        <v>2553</v>
      </c>
      <c r="Z728" s="1" t="s">
        <v>71</v>
      </c>
      <c r="AA728" s="1" t="s">
        <v>91</v>
      </c>
      <c r="AE728" s="1" t="s">
        <v>2552</v>
      </c>
      <c r="AH728" s="1" t="s">
        <v>73</v>
      </c>
      <c r="AK728" s="1" t="s">
        <v>71</v>
      </c>
      <c r="AM728" s="1" t="s">
        <v>71</v>
      </c>
      <c r="AN728" s="1" t="s">
        <v>71</v>
      </c>
      <c r="AS728" s="1" t="s">
        <v>71</v>
      </c>
      <c r="AX728" s="1" t="s">
        <v>71</v>
      </c>
      <c r="AY728" s="1" t="s">
        <v>59</v>
      </c>
      <c r="AZ728" s="1" t="s">
        <v>74</v>
      </c>
      <c r="BH728" s="1" t="s">
        <v>71</v>
      </c>
    </row>
    <row r="729" customFormat="false" ht="15" hidden="false" customHeight="false" outlineLevel="0" collapsed="false">
      <c r="A729" s="1" t="s">
        <v>2556</v>
      </c>
      <c r="B729" s="1" t="s">
        <v>2557</v>
      </c>
      <c r="C729" s="1" t="s">
        <v>389</v>
      </c>
      <c r="D729" s="1" t="s">
        <v>390</v>
      </c>
      <c r="E729" s="1" t="s">
        <v>82</v>
      </c>
      <c r="F729" s="1" t="s">
        <v>391</v>
      </c>
      <c r="G729" s="1" t="s">
        <v>182</v>
      </c>
      <c r="H729" s="1" t="s">
        <v>392</v>
      </c>
      <c r="K729" s="1" t="s">
        <v>65</v>
      </c>
      <c r="L729" s="1" t="s">
        <v>517</v>
      </c>
      <c r="M729" s="1" t="s">
        <v>496</v>
      </c>
      <c r="N729" s="1" t="s">
        <v>2558</v>
      </c>
      <c r="O729" s="1" t="s">
        <v>400</v>
      </c>
      <c r="P729" s="1"/>
      <c r="Q729" s="1" t="s">
        <v>70</v>
      </c>
      <c r="Z729" s="1" t="s">
        <v>71</v>
      </c>
      <c r="AE729" s="1" t="s">
        <v>2559</v>
      </c>
      <c r="AH729" s="1" t="s">
        <v>73</v>
      </c>
      <c r="AK729" s="1" t="s">
        <v>71</v>
      </c>
      <c r="AM729" s="1" t="s">
        <v>71</v>
      </c>
      <c r="AN729" s="1" t="s">
        <v>71</v>
      </c>
      <c r="AS729" s="1" t="s">
        <v>71</v>
      </c>
      <c r="AX729" s="1" t="s">
        <v>71</v>
      </c>
      <c r="BH729" s="1" t="s">
        <v>71</v>
      </c>
    </row>
    <row r="730" customFormat="false" ht="15" hidden="false" customHeight="false" outlineLevel="0" collapsed="false">
      <c r="A730" s="1" t="s">
        <v>2560</v>
      </c>
      <c r="B730" s="1" t="s">
        <v>2561</v>
      </c>
      <c r="C730" s="1" t="s">
        <v>769</v>
      </c>
      <c r="D730" s="1" t="s">
        <v>390</v>
      </c>
      <c r="E730" s="1" t="s">
        <v>82</v>
      </c>
      <c r="F730" s="1" t="s">
        <v>391</v>
      </c>
      <c r="G730" s="1" t="s">
        <v>443</v>
      </c>
      <c r="H730" s="1" t="s">
        <v>444</v>
      </c>
      <c r="K730" s="1" t="s">
        <v>2214</v>
      </c>
      <c r="L730" s="1" t="s">
        <v>2215</v>
      </c>
      <c r="M730" s="1" t="s">
        <v>496</v>
      </c>
      <c r="N730" s="1" t="s">
        <v>2562</v>
      </c>
      <c r="O730" s="1" t="s">
        <v>2563</v>
      </c>
      <c r="P730" s="1"/>
      <c r="Q730" s="1" t="s">
        <v>70</v>
      </c>
      <c r="Z730" s="1" t="s">
        <v>71</v>
      </c>
      <c r="AE730" s="1" t="s">
        <v>2559</v>
      </c>
      <c r="AH730" s="1" t="s">
        <v>73</v>
      </c>
      <c r="AK730" s="1" t="s">
        <v>71</v>
      </c>
      <c r="AM730" s="1" t="s">
        <v>71</v>
      </c>
      <c r="AN730" s="1" t="s">
        <v>71</v>
      </c>
      <c r="AS730" s="1" t="s">
        <v>71</v>
      </c>
      <c r="AX730" s="1" t="s">
        <v>71</v>
      </c>
      <c r="BH730" s="1" t="s">
        <v>71</v>
      </c>
    </row>
    <row r="731" customFormat="false" ht="15" hidden="false" customHeight="false" outlineLevel="0" collapsed="false">
      <c r="A731" s="1" t="s">
        <v>2564</v>
      </c>
      <c r="B731" s="1" t="s">
        <v>2565</v>
      </c>
      <c r="C731" s="1" t="s">
        <v>769</v>
      </c>
      <c r="D731" s="1" t="s">
        <v>390</v>
      </c>
      <c r="E731" s="1" t="s">
        <v>82</v>
      </c>
      <c r="F731" s="1" t="s">
        <v>391</v>
      </c>
      <c r="G731" s="1" t="s">
        <v>182</v>
      </c>
      <c r="H731" s="1" t="s">
        <v>392</v>
      </c>
      <c r="K731" s="1" t="s">
        <v>65</v>
      </c>
      <c r="L731" s="1" t="s">
        <v>517</v>
      </c>
      <c r="M731" s="1" t="s">
        <v>496</v>
      </c>
      <c r="N731" s="1" t="s">
        <v>1133</v>
      </c>
      <c r="O731" s="1" t="s">
        <v>1134</v>
      </c>
      <c r="P731" s="1"/>
      <c r="Q731" s="1" t="s">
        <v>70</v>
      </c>
      <c r="Z731" s="1" t="s">
        <v>71</v>
      </c>
      <c r="AE731" s="1" t="s">
        <v>2559</v>
      </c>
      <c r="AH731" s="1" t="s">
        <v>73</v>
      </c>
      <c r="AK731" s="1" t="s">
        <v>71</v>
      </c>
      <c r="AM731" s="1" t="s">
        <v>71</v>
      </c>
      <c r="AN731" s="1" t="s">
        <v>71</v>
      </c>
      <c r="AS731" s="1" t="s">
        <v>71</v>
      </c>
      <c r="AX731" s="1" t="s">
        <v>71</v>
      </c>
      <c r="BH731" s="1" t="s">
        <v>71</v>
      </c>
    </row>
    <row r="732" customFormat="false" ht="15" hidden="false" customHeight="false" outlineLevel="0" collapsed="false">
      <c r="A732" s="1" t="s">
        <v>2566</v>
      </c>
      <c r="B732" s="1" t="s">
        <v>2567</v>
      </c>
      <c r="C732" s="1" t="s">
        <v>769</v>
      </c>
      <c r="D732" s="1" t="s">
        <v>390</v>
      </c>
      <c r="E732" s="1" t="s">
        <v>82</v>
      </c>
      <c r="F732" s="1" t="s">
        <v>391</v>
      </c>
      <c r="G732" s="1" t="s">
        <v>182</v>
      </c>
      <c r="H732" s="1" t="s">
        <v>392</v>
      </c>
      <c r="K732" s="1" t="s">
        <v>65</v>
      </c>
      <c r="L732" s="1" t="s">
        <v>517</v>
      </c>
      <c r="M732" s="1" t="s">
        <v>496</v>
      </c>
      <c r="N732" s="1" t="s">
        <v>1133</v>
      </c>
      <c r="O732" s="1" t="s">
        <v>1134</v>
      </c>
      <c r="P732" s="1"/>
      <c r="Q732" s="1" t="s">
        <v>70</v>
      </c>
      <c r="Z732" s="1" t="s">
        <v>71</v>
      </c>
      <c r="AE732" s="1" t="s">
        <v>2559</v>
      </c>
      <c r="AH732" s="1" t="s">
        <v>73</v>
      </c>
      <c r="AK732" s="1" t="s">
        <v>71</v>
      </c>
      <c r="AM732" s="1" t="s">
        <v>71</v>
      </c>
      <c r="AN732" s="1" t="s">
        <v>71</v>
      </c>
      <c r="AS732" s="1" t="s">
        <v>71</v>
      </c>
      <c r="AX732" s="1" t="s">
        <v>71</v>
      </c>
      <c r="BH732" s="1" t="s">
        <v>71</v>
      </c>
    </row>
    <row r="733" customFormat="false" ht="15" hidden="false" customHeight="false" outlineLevel="0" collapsed="false">
      <c r="A733" s="1" t="s">
        <v>2568</v>
      </c>
      <c r="B733" s="1" t="s">
        <v>2569</v>
      </c>
      <c r="C733" s="1" t="s">
        <v>769</v>
      </c>
      <c r="D733" s="1" t="s">
        <v>390</v>
      </c>
      <c r="E733" s="1" t="s">
        <v>82</v>
      </c>
      <c r="F733" s="1" t="s">
        <v>391</v>
      </c>
      <c r="G733" s="1" t="s">
        <v>182</v>
      </c>
      <c r="H733" s="1" t="s">
        <v>392</v>
      </c>
      <c r="K733" s="1" t="s">
        <v>65</v>
      </c>
      <c r="L733" s="1" t="s">
        <v>517</v>
      </c>
      <c r="M733" s="1" t="s">
        <v>496</v>
      </c>
      <c r="N733" s="1" t="s">
        <v>1133</v>
      </c>
      <c r="O733" s="1" t="s">
        <v>1134</v>
      </c>
      <c r="P733" s="1"/>
      <c r="Q733" s="1" t="s">
        <v>70</v>
      </c>
      <c r="Z733" s="1" t="s">
        <v>71</v>
      </c>
      <c r="AE733" s="1" t="s">
        <v>2559</v>
      </c>
      <c r="AH733" s="1" t="s">
        <v>73</v>
      </c>
      <c r="AK733" s="1" t="s">
        <v>71</v>
      </c>
      <c r="AM733" s="1" t="s">
        <v>71</v>
      </c>
      <c r="AN733" s="1" t="s">
        <v>71</v>
      </c>
      <c r="AS733" s="1" t="s">
        <v>71</v>
      </c>
      <c r="AX733" s="1" t="s">
        <v>71</v>
      </c>
      <c r="BH733" s="1" t="s">
        <v>71</v>
      </c>
    </row>
    <row r="734" customFormat="false" ht="15" hidden="false" customHeight="false" outlineLevel="0" collapsed="false">
      <c r="A734" s="1" t="s">
        <v>2570</v>
      </c>
      <c r="B734" s="1" t="s">
        <v>2571</v>
      </c>
      <c r="C734" s="1" t="s">
        <v>161</v>
      </c>
      <c r="D734" s="1" t="s">
        <v>162</v>
      </c>
      <c r="E734" s="1" t="s">
        <v>61</v>
      </c>
      <c r="F734" s="1" t="s">
        <v>101</v>
      </c>
      <c r="G734" s="1" t="s">
        <v>93</v>
      </c>
      <c r="H734" s="1" t="s">
        <v>64</v>
      </c>
      <c r="K734" s="1" t="s">
        <v>229</v>
      </c>
      <c r="L734" s="1" t="s">
        <v>605</v>
      </c>
      <c r="M734" s="1" t="s">
        <v>2572</v>
      </c>
      <c r="N734" s="1" t="s">
        <v>105</v>
      </c>
      <c r="O734" s="1" t="s">
        <v>106</v>
      </c>
      <c r="P734" s="1" t="e">
        <f aca="false">image("https://drive.google.com/uc?export=view&amp;id=1CIkHN9EEuONM_tHRQVqwInnu-gU9ELN8")</f>
        <v>#NAME?</v>
      </c>
      <c r="Q734" s="1" t="s">
        <v>205</v>
      </c>
      <c r="U734" s="1" t="s">
        <v>2573</v>
      </c>
      <c r="Z734" s="1" t="s">
        <v>71</v>
      </c>
      <c r="AE734" s="1" t="s">
        <v>2574</v>
      </c>
      <c r="AH734" s="1" t="s">
        <v>73</v>
      </c>
      <c r="AK734" s="1" t="s">
        <v>71</v>
      </c>
      <c r="AM734" s="1" t="s">
        <v>71</v>
      </c>
      <c r="AN734" s="1" t="s">
        <v>71</v>
      </c>
      <c r="AS734" s="1" t="s">
        <v>71</v>
      </c>
      <c r="AX734" s="1" t="s">
        <v>71</v>
      </c>
      <c r="AY734" s="1" t="s">
        <v>59</v>
      </c>
      <c r="AZ734" s="1" t="s">
        <v>74</v>
      </c>
      <c r="BH734" s="1" t="s">
        <v>71</v>
      </c>
    </row>
    <row r="735" customFormat="false" ht="15" hidden="false" customHeight="false" outlineLevel="0" collapsed="false">
      <c r="A735" s="1" t="s">
        <v>2575</v>
      </c>
      <c r="B735" s="1" t="s">
        <v>2576</v>
      </c>
      <c r="C735" s="1" t="s">
        <v>389</v>
      </c>
      <c r="D735" s="1" t="s">
        <v>390</v>
      </c>
      <c r="E735" s="1" t="s">
        <v>82</v>
      </c>
      <c r="F735" s="1" t="s">
        <v>391</v>
      </c>
      <c r="G735" s="1" t="s">
        <v>182</v>
      </c>
      <c r="H735" s="1" t="s">
        <v>392</v>
      </c>
      <c r="K735" s="1" t="s">
        <v>65</v>
      </c>
      <c r="L735" s="1" t="s">
        <v>517</v>
      </c>
      <c r="M735" s="1" t="s">
        <v>496</v>
      </c>
      <c r="N735" s="1" t="s">
        <v>2558</v>
      </c>
      <c r="O735" s="1" t="s">
        <v>400</v>
      </c>
      <c r="P735" s="1"/>
      <c r="Q735" s="1" t="s">
        <v>70</v>
      </c>
      <c r="Z735" s="1" t="s">
        <v>71</v>
      </c>
      <c r="AE735" s="1" t="s">
        <v>2577</v>
      </c>
      <c r="AH735" s="1" t="s">
        <v>73</v>
      </c>
      <c r="AK735" s="1" t="s">
        <v>71</v>
      </c>
      <c r="AM735" s="1" t="s">
        <v>71</v>
      </c>
      <c r="AN735" s="1" t="s">
        <v>71</v>
      </c>
      <c r="AS735" s="1" t="s">
        <v>71</v>
      </c>
      <c r="AX735" s="1" t="s">
        <v>71</v>
      </c>
      <c r="BH735" s="1" t="s">
        <v>71</v>
      </c>
    </row>
    <row r="736" customFormat="false" ht="15" hidden="false" customHeight="false" outlineLevel="0" collapsed="false">
      <c r="A736" s="1" t="s">
        <v>2578</v>
      </c>
      <c r="B736" s="1" t="s">
        <v>2579</v>
      </c>
      <c r="C736" s="1" t="s">
        <v>804</v>
      </c>
      <c r="D736" s="1" t="s">
        <v>2580</v>
      </c>
      <c r="E736" s="1" t="s">
        <v>82</v>
      </c>
      <c r="F736" s="1" t="s">
        <v>391</v>
      </c>
      <c r="G736" s="1" t="s">
        <v>182</v>
      </c>
      <c r="H736" s="1" t="s">
        <v>392</v>
      </c>
      <c r="K736" s="1" t="s">
        <v>65</v>
      </c>
      <c r="L736" s="1" t="s">
        <v>517</v>
      </c>
      <c r="M736" s="1" t="s">
        <v>496</v>
      </c>
      <c r="N736" s="1" t="s">
        <v>2581</v>
      </c>
      <c r="O736" s="1" t="s">
        <v>447</v>
      </c>
      <c r="P736" s="1"/>
      <c r="Q736" s="1" t="s">
        <v>70</v>
      </c>
      <c r="Z736" s="1" t="s">
        <v>71</v>
      </c>
      <c r="AE736" s="1" t="s">
        <v>2577</v>
      </c>
      <c r="AH736" s="1" t="s">
        <v>73</v>
      </c>
      <c r="AK736" s="1" t="s">
        <v>71</v>
      </c>
      <c r="AM736" s="1" t="s">
        <v>71</v>
      </c>
      <c r="AN736" s="1" t="s">
        <v>71</v>
      </c>
      <c r="AS736" s="1" t="s">
        <v>71</v>
      </c>
      <c r="AX736" s="1" t="s">
        <v>71</v>
      </c>
      <c r="BH736" s="1" t="s">
        <v>71</v>
      </c>
    </row>
    <row r="737" customFormat="false" ht="15" hidden="false" customHeight="false" outlineLevel="0" collapsed="false">
      <c r="A737" s="1" t="s">
        <v>2582</v>
      </c>
      <c r="B737" s="1" t="s">
        <v>2583</v>
      </c>
      <c r="C737" s="1" t="s">
        <v>804</v>
      </c>
      <c r="D737" s="1" t="s">
        <v>2580</v>
      </c>
      <c r="E737" s="1" t="s">
        <v>82</v>
      </c>
      <c r="F737" s="1" t="s">
        <v>391</v>
      </c>
      <c r="G737" s="1" t="s">
        <v>182</v>
      </c>
      <c r="H737" s="1" t="s">
        <v>392</v>
      </c>
      <c r="K737" s="1" t="s">
        <v>65</v>
      </c>
      <c r="L737" s="1" t="s">
        <v>517</v>
      </c>
      <c r="M737" s="1" t="s">
        <v>496</v>
      </c>
      <c r="N737" s="1" t="s">
        <v>2584</v>
      </c>
      <c r="O737" s="1" t="s">
        <v>400</v>
      </c>
      <c r="P737" s="1"/>
      <c r="Q737" s="1" t="s">
        <v>70</v>
      </c>
      <c r="Z737" s="1" t="s">
        <v>71</v>
      </c>
      <c r="AE737" s="1" t="s">
        <v>2577</v>
      </c>
      <c r="AH737" s="1" t="s">
        <v>73</v>
      </c>
      <c r="AK737" s="1" t="s">
        <v>71</v>
      </c>
      <c r="AM737" s="1" t="s">
        <v>71</v>
      </c>
      <c r="AN737" s="1" t="s">
        <v>71</v>
      </c>
      <c r="AS737" s="1" t="s">
        <v>71</v>
      </c>
      <c r="AX737" s="1" t="s">
        <v>71</v>
      </c>
      <c r="BH737" s="1" t="s">
        <v>71</v>
      </c>
    </row>
    <row r="738" customFormat="false" ht="15" hidden="false" customHeight="false" outlineLevel="0" collapsed="false">
      <c r="A738" s="1" t="s">
        <v>2585</v>
      </c>
      <c r="B738" s="1" t="s">
        <v>2586</v>
      </c>
      <c r="C738" s="1" t="s">
        <v>804</v>
      </c>
      <c r="D738" s="1" t="s">
        <v>2580</v>
      </c>
      <c r="E738" s="1" t="s">
        <v>82</v>
      </c>
      <c r="F738" s="1" t="s">
        <v>391</v>
      </c>
      <c r="G738" s="1" t="s">
        <v>182</v>
      </c>
      <c r="H738" s="1" t="s">
        <v>392</v>
      </c>
      <c r="K738" s="1" t="s">
        <v>65</v>
      </c>
      <c r="L738" s="1" t="s">
        <v>517</v>
      </c>
      <c r="M738" s="1" t="s">
        <v>496</v>
      </c>
      <c r="N738" s="1" t="s">
        <v>2587</v>
      </c>
      <c r="O738" s="1" t="s">
        <v>400</v>
      </c>
      <c r="P738" s="1"/>
      <c r="Q738" s="1" t="s">
        <v>70</v>
      </c>
      <c r="Z738" s="1" t="s">
        <v>71</v>
      </c>
      <c r="AE738" s="1" t="s">
        <v>2577</v>
      </c>
      <c r="AH738" s="1" t="s">
        <v>73</v>
      </c>
      <c r="AK738" s="1" t="s">
        <v>71</v>
      </c>
      <c r="AM738" s="1" t="s">
        <v>71</v>
      </c>
      <c r="AN738" s="1" t="s">
        <v>71</v>
      </c>
      <c r="AS738" s="1" t="s">
        <v>71</v>
      </c>
      <c r="AX738" s="1" t="s">
        <v>71</v>
      </c>
      <c r="BH738" s="1" t="s">
        <v>71</v>
      </c>
    </row>
    <row r="739" customFormat="false" ht="15" hidden="false" customHeight="false" outlineLevel="0" collapsed="false">
      <c r="A739" s="1" t="s">
        <v>2588</v>
      </c>
      <c r="B739" s="1" t="s">
        <v>2589</v>
      </c>
      <c r="C739" s="1" t="s">
        <v>804</v>
      </c>
      <c r="D739" s="1" t="s">
        <v>2580</v>
      </c>
      <c r="E739" s="1" t="s">
        <v>82</v>
      </c>
      <c r="F739" s="1" t="s">
        <v>391</v>
      </c>
      <c r="G739" s="1" t="s">
        <v>182</v>
      </c>
      <c r="H739" s="1" t="s">
        <v>392</v>
      </c>
      <c r="K739" s="1" t="s">
        <v>65</v>
      </c>
      <c r="L739" s="1" t="s">
        <v>517</v>
      </c>
      <c r="M739" s="1" t="s">
        <v>496</v>
      </c>
      <c r="N739" s="1" t="s">
        <v>1923</v>
      </c>
      <c r="O739" s="1" t="s">
        <v>1924</v>
      </c>
      <c r="P739" s="1"/>
      <c r="Q739" s="1" t="s">
        <v>70</v>
      </c>
      <c r="Z739" s="1" t="s">
        <v>71</v>
      </c>
      <c r="AE739" s="1" t="s">
        <v>2577</v>
      </c>
      <c r="AH739" s="1" t="s">
        <v>73</v>
      </c>
      <c r="AK739" s="1" t="s">
        <v>71</v>
      </c>
      <c r="AM739" s="1" t="s">
        <v>71</v>
      </c>
      <c r="AN739" s="1" t="s">
        <v>71</v>
      </c>
      <c r="AS739" s="1" t="s">
        <v>71</v>
      </c>
      <c r="AX739" s="1" t="s">
        <v>71</v>
      </c>
      <c r="BH739" s="1" t="s">
        <v>71</v>
      </c>
    </row>
    <row r="740" customFormat="false" ht="15" hidden="false" customHeight="false" outlineLevel="0" collapsed="false">
      <c r="A740" s="1" t="s">
        <v>2590</v>
      </c>
      <c r="B740" s="1" t="s">
        <v>2591</v>
      </c>
      <c r="C740" s="1" t="s">
        <v>804</v>
      </c>
      <c r="D740" s="1" t="s">
        <v>2580</v>
      </c>
      <c r="E740" s="1" t="s">
        <v>82</v>
      </c>
      <c r="F740" s="1" t="s">
        <v>391</v>
      </c>
      <c r="G740" s="1" t="s">
        <v>182</v>
      </c>
      <c r="H740" s="1" t="s">
        <v>392</v>
      </c>
      <c r="K740" s="1" t="s">
        <v>65</v>
      </c>
      <c r="L740" s="1" t="s">
        <v>517</v>
      </c>
      <c r="M740" s="1" t="s">
        <v>496</v>
      </c>
      <c r="N740" s="1" t="s">
        <v>1923</v>
      </c>
      <c r="O740" s="1" t="s">
        <v>1924</v>
      </c>
      <c r="P740" s="1"/>
      <c r="Q740" s="1" t="s">
        <v>70</v>
      </c>
      <c r="Z740" s="1" t="s">
        <v>71</v>
      </c>
      <c r="AE740" s="1" t="s">
        <v>2577</v>
      </c>
      <c r="AH740" s="1" t="s">
        <v>73</v>
      </c>
      <c r="AK740" s="1" t="s">
        <v>71</v>
      </c>
      <c r="AM740" s="1" t="s">
        <v>71</v>
      </c>
      <c r="AN740" s="1" t="s">
        <v>71</v>
      </c>
      <c r="AS740" s="1" t="s">
        <v>71</v>
      </c>
      <c r="AX740" s="1" t="s">
        <v>71</v>
      </c>
      <c r="BH740" s="1" t="s">
        <v>71</v>
      </c>
    </row>
    <row r="741" customFormat="false" ht="15" hidden="false" customHeight="false" outlineLevel="0" collapsed="false">
      <c r="A741" s="1" t="s">
        <v>2592</v>
      </c>
      <c r="B741" s="1" t="s">
        <v>2593</v>
      </c>
      <c r="C741" s="1" t="s">
        <v>809</v>
      </c>
      <c r="D741" s="1" t="s">
        <v>2594</v>
      </c>
      <c r="E741" s="1" t="s">
        <v>82</v>
      </c>
      <c r="F741" s="1" t="s">
        <v>391</v>
      </c>
      <c r="G741" s="1" t="s">
        <v>443</v>
      </c>
      <c r="H741" s="1" t="s">
        <v>444</v>
      </c>
      <c r="K741" s="1" t="s">
        <v>618</v>
      </c>
      <c r="L741" s="1" t="s">
        <v>619</v>
      </c>
      <c r="M741" s="1" t="s">
        <v>496</v>
      </c>
      <c r="N741" s="1" t="s">
        <v>842</v>
      </c>
      <c r="O741" s="1" t="s">
        <v>400</v>
      </c>
      <c r="P741" s="1"/>
      <c r="Q741" s="1" t="s">
        <v>70</v>
      </c>
      <c r="Z741" s="1" t="s">
        <v>71</v>
      </c>
      <c r="AE741" s="1" t="s">
        <v>2577</v>
      </c>
      <c r="AH741" s="1" t="s">
        <v>73</v>
      </c>
      <c r="AK741" s="1" t="s">
        <v>71</v>
      </c>
      <c r="AM741" s="1" t="s">
        <v>71</v>
      </c>
      <c r="AN741" s="1" t="s">
        <v>71</v>
      </c>
      <c r="AS741" s="1" t="s">
        <v>71</v>
      </c>
      <c r="AX741" s="1" t="s">
        <v>71</v>
      </c>
      <c r="BH741" s="1" t="s">
        <v>71</v>
      </c>
    </row>
    <row r="742" customFormat="false" ht="15" hidden="false" customHeight="false" outlineLevel="0" collapsed="false">
      <c r="A742" s="1" t="s">
        <v>2595</v>
      </c>
      <c r="B742" s="1" t="s">
        <v>2596</v>
      </c>
      <c r="C742" s="1" t="s">
        <v>2597</v>
      </c>
      <c r="D742" s="1" t="s">
        <v>2598</v>
      </c>
      <c r="E742" s="1" t="s">
        <v>82</v>
      </c>
      <c r="F742" s="1" t="s">
        <v>391</v>
      </c>
      <c r="G742" s="1" t="s">
        <v>443</v>
      </c>
      <c r="H742" s="1" t="s">
        <v>444</v>
      </c>
      <c r="K742" s="1" t="s">
        <v>618</v>
      </c>
      <c r="L742" s="1" t="s">
        <v>619</v>
      </c>
      <c r="M742" s="1" t="s">
        <v>496</v>
      </c>
      <c r="N742" s="1" t="s">
        <v>740</v>
      </c>
      <c r="O742" s="1" t="s">
        <v>741</v>
      </c>
      <c r="P742" s="1"/>
      <c r="Q742" s="1" t="s">
        <v>70</v>
      </c>
      <c r="Z742" s="1" t="s">
        <v>71</v>
      </c>
      <c r="AE742" s="1" t="s">
        <v>2599</v>
      </c>
      <c r="AH742" s="1" t="s">
        <v>73</v>
      </c>
      <c r="AK742" s="1" t="s">
        <v>71</v>
      </c>
      <c r="AM742" s="1" t="s">
        <v>71</v>
      </c>
      <c r="AN742" s="1" t="s">
        <v>71</v>
      </c>
      <c r="AS742" s="1" t="s">
        <v>71</v>
      </c>
      <c r="AX742" s="1" t="s">
        <v>71</v>
      </c>
      <c r="BH742" s="1" t="s">
        <v>71</v>
      </c>
    </row>
    <row r="743" customFormat="false" ht="15" hidden="false" customHeight="false" outlineLevel="0" collapsed="false">
      <c r="A743" s="1" t="s">
        <v>2600</v>
      </c>
      <c r="B743" s="1" t="s">
        <v>2601</v>
      </c>
      <c r="C743" s="1" t="s">
        <v>802</v>
      </c>
      <c r="D743" s="1" t="s">
        <v>2602</v>
      </c>
      <c r="E743" s="1" t="s">
        <v>82</v>
      </c>
      <c r="F743" s="1" t="s">
        <v>391</v>
      </c>
      <c r="G743" s="1" t="s">
        <v>443</v>
      </c>
      <c r="H743" s="1" t="s">
        <v>444</v>
      </c>
      <c r="K743" s="1" t="s">
        <v>618</v>
      </c>
      <c r="L743" s="1" t="s">
        <v>619</v>
      </c>
      <c r="M743" s="1" t="s">
        <v>496</v>
      </c>
      <c r="N743" s="1" t="s">
        <v>842</v>
      </c>
      <c r="O743" s="1" t="s">
        <v>400</v>
      </c>
      <c r="P743" s="1"/>
      <c r="Q743" s="1" t="s">
        <v>70</v>
      </c>
      <c r="Z743" s="1" t="s">
        <v>71</v>
      </c>
      <c r="AE743" s="1" t="s">
        <v>2599</v>
      </c>
      <c r="AH743" s="1" t="s">
        <v>73</v>
      </c>
      <c r="AK743" s="1" t="s">
        <v>71</v>
      </c>
      <c r="AM743" s="1" t="s">
        <v>71</v>
      </c>
      <c r="AN743" s="1" t="s">
        <v>71</v>
      </c>
      <c r="AS743" s="1" t="s">
        <v>71</v>
      </c>
      <c r="AX743" s="1" t="s">
        <v>71</v>
      </c>
      <c r="BH743" s="1" t="s">
        <v>71</v>
      </c>
    </row>
    <row r="744" customFormat="false" ht="15" hidden="false" customHeight="false" outlineLevel="0" collapsed="false">
      <c r="A744" s="1" t="s">
        <v>2603</v>
      </c>
      <c r="B744" s="1" t="s">
        <v>2604</v>
      </c>
      <c r="C744" s="1" t="s">
        <v>802</v>
      </c>
      <c r="D744" s="1" t="s">
        <v>2602</v>
      </c>
      <c r="E744" s="1" t="s">
        <v>82</v>
      </c>
      <c r="F744" s="1" t="s">
        <v>391</v>
      </c>
      <c r="G744" s="1" t="s">
        <v>443</v>
      </c>
      <c r="H744" s="1" t="s">
        <v>444</v>
      </c>
      <c r="K744" s="1" t="s">
        <v>618</v>
      </c>
      <c r="L744" s="1" t="s">
        <v>619</v>
      </c>
      <c r="M744" s="1" t="s">
        <v>496</v>
      </c>
      <c r="N744" s="1" t="s">
        <v>842</v>
      </c>
      <c r="O744" s="1" t="s">
        <v>400</v>
      </c>
      <c r="P744" s="1"/>
      <c r="Q744" s="1" t="s">
        <v>70</v>
      </c>
      <c r="Z744" s="1" t="s">
        <v>71</v>
      </c>
      <c r="AE744" s="1" t="s">
        <v>2599</v>
      </c>
      <c r="AH744" s="1" t="s">
        <v>73</v>
      </c>
      <c r="AK744" s="1" t="s">
        <v>71</v>
      </c>
      <c r="AM744" s="1" t="s">
        <v>71</v>
      </c>
      <c r="AN744" s="1" t="s">
        <v>71</v>
      </c>
      <c r="AS744" s="1" t="s">
        <v>71</v>
      </c>
      <c r="AX744" s="1" t="s">
        <v>71</v>
      </c>
      <c r="BH744" s="1" t="s">
        <v>71</v>
      </c>
    </row>
    <row r="745" customFormat="false" ht="15" hidden="false" customHeight="false" outlineLevel="0" collapsed="false">
      <c r="A745" s="1" t="s">
        <v>2605</v>
      </c>
      <c r="B745" s="1" t="s">
        <v>2606</v>
      </c>
      <c r="C745" s="1" t="s">
        <v>802</v>
      </c>
      <c r="D745" s="1" t="s">
        <v>2602</v>
      </c>
      <c r="E745" s="1" t="s">
        <v>82</v>
      </c>
      <c r="F745" s="1" t="s">
        <v>391</v>
      </c>
      <c r="G745" s="1" t="s">
        <v>443</v>
      </c>
      <c r="H745" s="1" t="s">
        <v>444</v>
      </c>
      <c r="K745" s="1" t="s">
        <v>618</v>
      </c>
      <c r="L745" s="1" t="s">
        <v>619</v>
      </c>
      <c r="M745" s="1" t="s">
        <v>496</v>
      </c>
      <c r="N745" s="1" t="s">
        <v>740</v>
      </c>
      <c r="O745" s="1" t="s">
        <v>741</v>
      </c>
      <c r="P745" s="1"/>
      <c r="Q745" s="1" t="s">
        <v>70</v>
      </c>
      <c r="Z745" s="1" t="s">
        <v>71</v>
      </c>
      <c r="AE745" s="1" t="s">
        <v>2599</v>
      </c>
      <c r="AH745" s="1" t="s">
        <v>73</v>
      </c>
      <c r="AK745" s="1" t="s">
        <v>71</v>
      </c>
      <c r="AM745" s="1" t="s">
        <v>71</v>
      </c>
      <c r="AN745" s="1" t="s">
        <v>71</v>
      </c>
      <c r="AS745" s="1" t="s">
        <v>71</v>
      </c>
      <c r="AX745" s="1" t="s">
        <v>71</v>
      </c>
      <c r="BH745" s="1" t="s">
        <v>71</v>
      </c>
    </row>
    <row r="746" customFormat="false" ht="15" hidden="false" customHeight="false" outlineLevel="0" collapsed="false">
      <c r="A746" s="1" t="s">
        <v>2607</v>
      </c>
      <c r="B746" s="1" t="s">
        <v>2608</v>
      </c>
      <c r="C746" s="1" t="s">
        <v>809</v>
      </c>
      <c r="D746" s="1" t="s">
        <v>2594</v>
      </c>
      <c r="E746" s="1" t="s">
        <v>82</v>
      </c>
      <c r="F746" s="1" t="s">
        <v>391</v>
      </c>
      <c r="G746" s="1" t="s">
        <v>443</v>
      </c>
      <c r="H746" s="1" t="s">
        <v>444</v>
      </c>
      <c r="K746" s="1" t="s">
        <v>618</v>
      </c>
      <c r="L746" s="1" t="s">
        <v>619</v>
      </c>
      <c r="M746" s="1" t="s">
        <v>2020</v>
      </c>
      <c r="N746" s="1" t="s">
        <v>2609</v>
      </c>
      <c r="O746" s="1" t="s">
        <v>400</v>
      </c>
      <c r="P746" s="1"/>
      <c r="Q746" s="1" t="s">
        <v>70</v>
      </c>
      <c r="Z746" s="1" t="s">
        <v>71</v>
      </c>
      <c r="AE746" s="1" t="s">
        <v>2599</v>
      </c>
      <c r="AH746" s="1" t="s">
        <v>73</v>
      </c>
      <c r="AK746" s="1" t="s">
        <v>71</v>
      </c>
      <c r="AM746" s="1" t="s">
        <v>71</v>
      </c>
      <c r="AN746" s="1" t="s">
        <v>71</v>
      </c>
      <c r="AS746" s="1" t="s">
        <v>71</v>
      </c>
      <c r="AX746" s="1" t="s">
        <v>71</v>
      </c>
      <c r="BH746" s="1" t="s">
        <v>71</v>
      </c>
    </row>
    <row r="747" customFormat="false" ht="15" hidden="false" customHeight="false" outlineLevel="0" collapsed="false">
      <c r="A747" s="1" t="s">
        <v>2610</v>
      </c>
      <c r="B747" s="1" t="s">
        <v>2611</v>
      </c>
      <c r="C747" s="1" t="s">
        <v>809</v>
      </c>
      <c r="D747" s="1" t="s">
        <v>2594</v>
      </c>
      <c r="E747" s="1" t="s">
        <v>82</v>
      </c>
      <c r="F747" s="1" t="s">
        <v>391</v>
      </c>
      <c r="G747" s="1" t="s">
        <v>443</v>
      </c>
      <c r="H747" s="1" t="s">
        <v>444</v>
      </c>
      <c r="K747" s="1" t="s">
        <v>618</v>
      </c>
      <c r="L747" s="1" t="s">
        <v>619</v>
      </c>
      <c r="M747" s="1" t="s">
        <v>2020</v>
      </c>
      <c r="N747" s="1" t="s">
        <v>2612</v>
      </c>
      <c r="O747" s="1" t="s">
        <v>400</v>
      </c>
      <c r="P747" s="1"/>
      <c r="Q747" s="1" t="s">
        <v>70</v>
      </c>
      <c r="Z747" s="1" t="s">
        <v>71</v>
      </c>
      <c r="AE747" s="1" t="s">
        <v>2599</v>
      </c>
      <c r="AH747" s="1" t="s">
        <v>73</v>
      </c>
      <c r="AK747" s="1" t="s">
        <v>71</v>
      </c>
      <c r="AM747" s="1" t="s">
        <v>71</v>
      </c>
      <c r="AN747" s="1" t="s">
        <v>71</v>
      </c>
      <c r="AS747" s="1" t="s">
        <v>71</v>
      </c>
      <c r="AX747" s="1" t="s">
        <v>71</v>
      </c>
      <c r="BH747" s="1" t="s">
        <v>71</v>
      </c>
    </row>
    <row r="748" customFormat="false" ht="15" hidden="false" customHeight="false" outlineLevel="0" collapsed="false">
      <c r="A748" s="1" t="s">
        <v>2613</v>
      </c>
      <c r="B748" s="1" t="s">
        <v>2614</v>
      </c>
      <c r="C748" s="1" t="s">
        <v>742</v>
      </c>
      <c r="D748" s="1" t="s">
        <v>1977</v>
      </c>
      <c r="E748" s="1" t="s">
        <v>82</v>
      </c>
      <c r="F748" s="1" t="s">
        <v>391</v>
      </c>
      <c r="G748" s="1" t="s">
        <v>213</v>
      </c>
      <c r="H748" s="1" t="s">
        <v>477</v>
      </c>
      <c r="K748" s="1" t="s">
        <v>478</v>
      </c>
      <c r="L748" s="1" t="s">
        <v>479</v>
      </c>
      <c r="M748" s="1" t="s">
        <v>465</v>
      </c>
      <c r="N748" s="1" t="s">
        <v>2615</v>
      </c>
      <c r="O748" s="1" t="s">
        <v>400</v>
      </c>
      <c r="P748" s="1"/>
      <c r="Q748" s="1" t="s">
        <v>70</v>
      </c>
      <c r="Z748" s="1" t="s">
        <v>71</v>
      </c>
      <c r="AE748" s="1" t="s">
        <v>2616</v>
      </c>
      <c r="AH748" s="1" t="s">
        <v>73</v>
      </c>
      <c r="AK748" s="1" t="s">
        <v>71</v>
      </c>
      <c r="AM748" s="1" t="s">
        <v>71</v>
      </c>
      <c r="AN748" s="1" t="s">
        <v>71</v>
      </c>
      <c r="AS748" s="1" t="s">
        <v>71</v>
      </c>
      <c r="AX748" s="1" t="s">
        <v>71</v>
      </c>
      <c r="BH748" s="1" t="s">
        <v>71</v>
      </c>
    </row>
    <row r="749" customFormat="false" ht="15" hidden="false" customHeight="false" outlineLevel="0" collapsed="false">
      <c r="A749" s="1" t="s">
        <v>2617</v>
      </c>
      <c r="B749" s="1" t="s">
        <v>2618</v>
      </c>
      <c r="C749" s="1" t="s">
        <v>809</v>
      </c>
      <c r="D749" s="1" t="s">
        <v>2594</v>
      </c>
      <c r="E749" s="1" t="s">
        <v>82</v>
      </c>
      <c r="F749" s="1" t="s">
        <v>391</v>
      </c>
      <c r="G749" s="1" t="s">
        <v>443</v>
      </c>
      <c r="H749" s="1" t="s">
        <v>444</v>
      </c>
      <c r="K749" s="1" t="s">
        <v>618</v>
      </c>
      <c r="L749" s="1" t="s">
        <v>619</v>
      </c>
      <c r="M749" s="1" t="s">
        <v>2020</v>
      </c>
      <c r="N749" s="1" t="s">
        <v>2203</v>
      </c>
      <c r="O749" s="1" t="s">
        <v>2204</v>
      </c>
      <c r="P749" s="1"/>
      <c r="Q749" s="1" t="s">
        <v>70</v>
      </c>
      <c r="Z749" s="1" t="s">
        <v>71</v>
      </c>
      <c r="AE749" s="1" t="s">
        <v>2616</v>
      </c>
      <c r="AH749" s="1" t="s">
        <v>73</v>
      </c>
      <c r="AK749" s="1" t="s">
        <v>71</v>
      </c>
      <c r="AM749" s="1" t="s">
        <v>71</v>
      </c>
      <c r="AN749" s="1" t="s">
        <v>71</v>
      </c>
      <c r="AS749" s="1" t="s">
        <v>71</v>
      </c>
      <c r="AX749" s="1" t="s">
        <v>71</v>
      </c>
      <c r="BH749" s="1" t="s">
        <v>71</v>
      </c>
    </row>
    <row r="750" customFormat="false" ht="15" hidden="false" customHeight="false" outlineLevel="0" collapsed="false">
      <c r="A750" s="1" t="s">
        <v>2619</v>
      </c>
      <c r="B750" s="1" t="s">
        <v>2620</v>
      </c>
      <c r="C750" s="1" t="s">
        <v>312</v>
      </c>
      <c r="D750" s="1" t="s">
        <v>2073</v>
      </c>
      <c r="E750" s="1" t="s">
        <v>82</v>
      </c>
      <c r="F750" s="1" t="s">
        <v>391</v>
      </c>
      <c r="G750" s="1" t="s">
        <v>97</v>
      </c>
      <c r="H750" s="1" t="s">
        <v>406</v>
      </c>
      <c r="K750" s="1" t="s">
        <v>59</v>
      </c>
      <c r="L750" s="1" t="s">
        <v>791</v>
      </c>
      <c r="M750" s="1" t="s">
        <v>496</v>
      </c>
      <c r="N750" s="1" t="s">
        <v>2621</v>
      </c>
      <c r="O750" s="1" t="s">
        <v>2622</v>
      </c>
      <c r="P750" s="1"/>
      <c r="Q750" s="1" t="s">
        <v>70</v>
      </c>
      <c r="Z750" s="1" t="s">
        <v>71</v>
      </c>
      <c r="AE750" s="1" t="s">
        <v>2623</v>
      </c>
      <c r="AH750" s="1" t="s">
        <v>73</v>
      </c>
      <c r="AK750" s="1" t="s">
        <v>71</v>
      </c>
      <c r="AM750" s="1" t="s">
        <v>71</v>
      </c>
      <c r="AN750" s="1" t="s">
        <v>71</v>
      </c>
      <c r="AS750" s="1" t="s">
        <v>71</v>
      </c>
      <c r="AX750" s="1" t="s">
        <v>71</v>
      </c>
      <c r="BH750" s="1" t="s">
        <v>71</v>
      </c>
    </row>
    <row r="751" customFormat="false" ht="15" hidden="false" customHeight="false" outlineLevel="0" collapsed="false">
      <c r="A751" s="1" t="s">
        <v>2624</v>
      </c>
      <c r="B751" s="1" t="s">
        <v>2625</v>
      </c>
      <c r="C751" s="1" t="s">
        <v>821</v>
      </c>
      <c r="D751" s="1" t="s">
        <v>2626</v>
      </c>
      <c r="E751" s="1" t="s">
        <v>82</v>
      </c>
      <c r="F751" s="1" t="s">
        <v>391</v>
      </c>
      <c r="G751" s="1" t="s">
        <v>443</v>
      </c>
      <c r="H751" s="1" t="s">
        <v>444</v>
      </c>
      <c r="K751" s="1" t="s">
        <v>618</v>
      </c>
      <c r="L751" s="1" t="s">
        <v>619</v>
      </c>
      <c r="M751" s="1" t="s">
        <v>496</v>
      </c>
      <c r="N751" s="1" t="s">
        <v>2334</v>
      </c>
      <c r="O751" s="1" t="s">
        <v>2335</v>
      </c>
      <c r="P751" s="1"/>
      <c r="Q751" s="1" t="s">
        <v>70</v>
      </c>
      <c r="Z751" s="1" t="s">
        <v>71</v>
      </c>
      <c r="AE751" s="1" t="s">
        <v>2623</v>
      </c>
      <c r="AH751" s="1" t="s">
        <v>73</v>
      </c>
      <c r="AK751" s="1" t="s">
        <v>71</v>
      </c>
      <c r="AM751" s="1" t="s">
        <v>71</v>
      </c>
      <c r="AN751" s="1" t="s">
        <v>71</v>
      </c>
      <c r="AS751" s="1" t="s">
        <v>71</v>
      </c>
      <c r="AX751" s="1" t="s">
        <v>71</v>
      </c>
      <c r="BH751" s="1" t="s">
        <v>71</v>
      </c>
    </row>
    <row r="752" customFormat="false" ht="15" hidden="false" customHeight="false" outlineLevel="0" collapsed="false">
      <c r="A752" s="1" t="s">
        <v>2627</v>
      </c>
      <c r="B752" s="1" t="s">
        <v>2628</v>
      </c>
      <c r="C752" s="1" t="s">
        <v>758</v>
      </c>
      <c r="D752" s="1" t="s">
        <v>1112</v>
      </c>
      <c r="E752" s="1" t="s">
        <v>82</v>
      </c>
      <c r="F752" s="1" t="s">
        <v>391</v>
      </c>
      <c r="G752" s="1" t="s">
        <v>443</v>
      </c>
      <c r="H752" s="1" t="s">
        <v>444</v>
      </c>
      <c r="K752" s="1" t="s">
        <v>988</v>
      </c>
      <c r="L752" s="1" t="s">
        <v>989</v>
      </c>
      <c r="M752" s="1" t="s">
        <v>496</v>
      </c>
      <c r="N752" s="1" t="s">
        <v>1000</v>
      </c>
      <c r="O752" s="1" t="s">
        <v>1001</v>
      </c>
      <c r="P752" s="1"/>
      <c r="Q752" s="1" t="s">
        <v>70</v>
      </c>
      <c r="Z752" s="1" t="s">
        <v>71</v>
      </c>
      <c r="AE752" s="1" t="s">
        <v>2623</v>
      </c>
      <c r="AH752" s="1" t="s">
        <v>73</v>
      </c>
      <c r="AK752" s="1" t="s">
        <v>71</v>
      </c>
      <c r="AM752" s="1" t="s">
        <v>71</v>
      </c>
      <c r="AN752" s="1" t="s">
        <v>71</v>
      </c>
      <c r="AS752" s="1" t="s">
        <v>71</v>
      </c>
      <c r="AX752" s="1" t="s">
        <v>71</v>
      </c>
      <c r="BH752" s="1" t="s">
        <v>71</v>
      </c>
    </row>
    <row r="753" customFormat="false" ht="15" hidden="false" customHeight="false" outlineLevel="0" collapsed="false">
      <c r="A753" s="1" t="s">
        <v>2629</v>
      </c>
      <c r="B753" s="1" t="s">
        <v>2630</v>
      </c>
      <c r="C753" s="1" t="s">
        <v>811</v>
      </c>
      <c r="D753" s="1" t="s">
        <v>2631</v>
      </c>
      <c r="E753" s="1" t="s">
        <v>88</v>
      </c>
      <c r="F753" s="1" t="s">
        <v>432</v>
      </c>
      <c r="G753" s="1" t="s">
        <v>433</v>
      </c>
      <c r="H753" s="1" t="s">
        <v>434</v>
      </c>
      <c r="K753" s="1" t="s">
        <v>435</v>
      </c>
      <c r="L753" s="1" t="s">
        <v>436</v>
      </c>
      <c r="M753" s="1" t="s">
        <v>496</v>
      </c>
      <c r="N753" s="1" t="s">
        <v>2632</v>
      </c>
      <c r="O753" s="1" t="s">
        <v>2633</v>
      </c>
      <c r="P753" s="1"/>
      <c r="Q753" s="1" t="s">
        <v>70</v>
      </c>
      <c r="Z753" s="1" t="s">
        <v>71</v>
      </c>
      <c r="AE753" s="1" t="s">
        <v>2623</v>
      </c>
      <c r="AH753" s="1" t="s">
        <v>73</v>
      </c>
      <c r="AK753" s="1" t="s">
        <v>71</v>
      </c>
      <c r="AM753" s="1" t="s">
        <v>71</v>
      </c>
      <c r="AN753" s="1" t="s">
        <v>71</v>
      </c>
      <c r="AS753" s="1" t="s">
        <v>71</v>
      </c>
      <c r="AX753" s="1" t="s">
        <v>71</v>
      </c>
      <c r="BH753" s="1" t="s">
        <v>71</v>
      </c>
    </row>
    <row r="754" customFormat="false" ht="15" hidden="false" customHeight="false" outlineLevel="0" collapsed="false">
      <c r="A754" s="1" t="s">
        <v>2634</v>
      </c>
      <c r="B754" s="1" t="s">
        <v>2635</v>
      </c>
      <c r="C754" s="1" t="s">
        <v>718</v>
      </c>
      <c r="D754" s="1" t="s">
        <v>900</v>
      </c>
      <c r="E754" s="1" t="s">
        <v>82</v>
      </c>
      <c r="F754" s="1" t="s">
        <v>391</v>
      </c>
      <c r="G754" s="1" t="s">
        <v>213</v>
      </c>
      <c r="H754" s="1" t="s">
        <v>477</v>
      </c>
      <c r="K754" s="1" t="s">
        <v>478</v>
      </c>
      <c r="L754" s="1" t="s">
        <v>479</v>
      </c>
      <c r="M754" s="1" t="s">
        <v>496</v>
      </c>
      <c r="N754" s="1" t="s">
        <v>518</v>
      </c>
      <c r="O754" s="1" t="s">
        <v>519</v>
      </c>
      <c r="P754" s="1"/>
      <c r="Q754" s="1" t="s">
        <v>70</v>
      </c>
      <c r="Z754" s="1" t="s">
        <v>71</v>
      </c>
      <c r="AE754" s="1" t="s">
        <v>2636</v>
      </c>
      <c r="AH754" s="1" t="s">
        <v>73</v>
      </c>
      <c r="AK754" s="1" t="s">
        <v>71</v>
      </c>
      <c r="AM754" s="1" t="s">
        <v>71</v>
      </c>
      <c r="AN754" s="1" t="s">
        <v>71</v>
      </c>
      <c r="AS754" s="1" t="s">
        <v>71</v>
      </c>
      <c r="AX754" s="1" t="s">
        <v>71</v>
      </c>
      <c r="BH754" s="1" t="s">
        <v>71</v>
      </c>
    </row>
    <row r="755" customFormat="false" ht="15" hidden="false" customHeight="false" outlineLevel="0" collapsed="false">
      <c r="A755" s="1" t="s">
        <v>2637</v>
      </c>
      <c r="B755" s="1" t="s">
        <v>2638</v>
      </c>
      <c r="C755" s="1" t="s">
        <v>742</v>
      </c>
      <c r="D755" s="1" t="s">
        <v>1977</v>
      </c>
      <c r="E755" s="1" t="s">
        <v>82</v>
      </c>
      <c r="F755" s="1" t="s">
        <v>391</v>
      </c>
      <c r="G755" s="1" t="s">
        <v>97</v>
      </c>
      <c r="H755" s="1" t="s">
        <v>406</v>
      </c>
      <c r="K755" s="1" t="s">
        <v>59</v>
      </c>
      <c r="L755" s="1" t="s">
        <v>791</v>
      </c>
      <c r="M755" s="1" t="s">
        <v>465</v>
      </c>
      <c r="N755" s="1" t="s">
        <v>2639</v>
      </c>
      <c r="O755" s="1" t="s">
        <v>447</v>
      </c>
      <c r="P755" s="1"/>
      <c r="Q755" s="1" t="s">
        <v>70</v>
      </c>
      <c r="Z755" s="1" t="s">
        <v>71</v>
      </c>
      <c r="AE755" s="1" t="s">
        <v>2636</v>
      </c>
      <c r="AH755" s="1" t="s">
        <v>73</v>
      </c>
      <c r="AK755" s="1" t="s">
        <v>71</v>
      </c>
      <c r="AM755" s="1" t="s">
        <v>71</v>
      </c>
      <c r="AN755" s="1" t="s">
        <v>71</v>
      </c>
      <c r="AS755" s="1" t="s">
        <v>71</v>
      </c>
      <c r="AX755" s="1" t="s">
        <v>71</v>
      </c>
      <c r="BH755" s="1" t="s">
        <v>71</v>
      </c>
    </row>
    <row r="756" customFormat="false" ht="15" hidden="false" customHeight="false" outlineLevel="0" collapsed="false">
      <c r="A756" s="1" t="s">
        <v>2640</v>
      </c>
      <c r="B756" s="1" t="s">
        <v>2641</v>
      </c>
      <c r="C756" s="1" t="s">
        <v>742</v>
      </c>
      <c r="D756" s="1" t="s">
        <v>1977</v>
      </c>
      <c r="E756" s="1" t="s">
        <v>82</v>
      </c>
      <c r="F756" s="1" t="s">
        <v>391</v>
      </c>
      <c r="G756" s="1" t="s">
        <v>97</v>
      </c>
      <c r="H756" s="1" t="s">
        <v>406</v>
      </c>
      <c r="K756" s="1" t="s">
        <v>59</v>
      </c>
      <c r="L756" s="1" t="s">
        <v>791</v>
      </c>
      <c r="M756" s="1" t="s">
        <v>465</v>
      </c>
      <c r="N756" s="1" t="s">
        <v>1751</v>
      </c>
      <c r="O756" s="1" t="s">
        <v>400</v>
      </c>
      <c r="P756" s="1"/>
      <c r="Q756" s="1" t="s">
        <v>70</v>
      </c>
      <c r="Z756" s="1" t="s">
        <v>71</v>
      </c>
      <c r="AE756" s="1" t="s">
        <v>2636</v>
      </c>
      <c r="AH756" s="1" t="s">
        <v>73</v>
      </c>
      <c r="AK756" s="1" t="s">
        <v>71</v>
      </c>
      <c r="AM756" s="1" t="s">
        <v>71</v>
      </c>
      <c r="AN756" s="1" t="s">
        <v>71</v>
      </c>
      <c r="AS756" s="1" t="s">
        <v>71</v>
      </c>
      <c r="AX756" s="1" t="s">
        <v>71</v>
      </c>
      <c r="BH756" s="1" t="s">
        <v>71</v>
      </c>
    </row>
    <row r="757" customFormat="false" ht="15" hidden="false" customHeight="false" outlineLevel="0" collapsed="false">
      <c r="A757" s="1" t="s">
        <v>2642</v>
      </c>
      <c r="B757" s="1" t="s">
        <v>2643</v>
      </c>
      <c r="C757" s="1" t="s">
        <v>742</v>
      </c>
      <c r="D757" s="1" t="s">
        <v>1977</v>
      </c>
      <c r="E757" s="1" t="s">
        <v>82</v>
      </c>
      <c r="F757" s="1" t="s">
        <v>391</v>
      </c>
      <c r="G757" s="1" t="s">
        <v>97</v>
      </c>
      <c r="H757" s="1" t="s">
        <v>406</v>
      </c>
      <c r="K757" s="1" t="s">
        <v>59</v>
      </c>
      <c r="L757" s="1" t="s">
        <v>791</v>
      </c>
      <c r="M757" s="1" t="s">
        <v>465</v>
      </c>
      <c r="N757" s="1" t="s">
        <v>2644</v>
      </c>
      <c r="O757" s="1" t="s">
        <v>2645</v>
      </c>
      <c r="P757" s="1"/>
      <c r="Q757" s="1" t="s">
        <v>70</v>
      </c>
      <c r="Z757" s="1" t="s">
        <v>71</v>
      </c>
      <c r="AE757" s="1" t="s">
        <v>2636</v>
      </c>
      <c r="AH757" s="1" t="s">
        <v>73</v>
      </c>
      <c r="AK757" s="1" t="s">
        <v>71</v>
      </c>
      <c r="AM757" s="1" t="s">
        <v>71</v>
      </c>
      <c r="AN757" s="1" t="s">
        <v>71</v>
      </c>
      <c r="AS757" s="1" t="s">
        <v>71</v>
      </c>
      <c r="AX757" s="1" t="s">
        <v>71</v>
      </c>
      <c r="BH757" s="1" t="s">
        <v>71</v>
      </c>
    </row>
    <row r="758" customFormat="false" ht="15" hidden="false" customHeight="false" outlineLevel="0" collapsed="false">
      <c r="A758" s="1" t="s">
        <v>2646</v>
      </c>
      <c r="B758" s="1" t="s">
        <v>2647</v>
      </c>
      <c r="C758" s="1" t="s">
        <v>742</v>
      </c>
      <c r="D758" s="1" t="s">
        <v>1977</v>
      </c>
      <c r="E758" s="1" t="s">
        <v>82</v>
      </c>
      <c r="F758" s="1" t="s">
        <v>391</v>
      </c>
      <c r="G758" s="1" t="s">
        <v>97</v>
      </c>
      <c r="H758" s="1" t="s">
        <v>406</v>
      </c>
      <c r="K758" s="1" t="s">
        <v>59</v>
      </c>
      <c r="L758" s="1" t="s">
        <v>791</v>
      </c>
      <c r="M758" s="1" t="s">
        <v>465</v>
      </c>
      <c r="N758" s="1" t="s">
        <v>2648</v>
      </c>
      <c r="O758" s="1" t="s">
        <v>2649</v>
      </c>
      <c r="P758" s="1"/>
      <c r="Q758" s="1" t="s">
        <v>70</v>
      </c>
      <c r="Z758" s="1" t="s">
        <v>71</v>
      </c>
      <c r="AE758" s="1" t="s">
        <v>2636</v>
      </c>
      <c r="AH758" s="1" t="s">
        <v>73</v>
      </c>
      <c r="AK758" s="1" t="s">
        <v>71</v>
      </c>
      <c r="AM758" s="1" t="s">
        <v>71</v>
      </c>
      <c r="AN758" s="1" t="s">
        <v>71</v>
      </c>
      <c r="AS758" s="1" t="s">
        <v>71</v>
      </c>
      <c r="AX758" s="1" t="s">
        <v>71</v>
      </c>
      <c r="BH758" s="1" t="s">
        <v>71</v>
      </c>
    </row>
    <row r="759" customFormat="false" ht="15" hidden="false" customHeight="false" outlineLevel="0" collapsed="false">
      <c r="A759" s="1" t="s">
        <v>2650</v>
      </c>
      <c r="B759" s="1" t="s">
        <v>2651</v>
      </c>
      <c r="C759" s="1" t="s">
        <v>742</v>
      </c>
      <c r="D759" s="1" t="s">
        <v>1977</v>
      </c>
      <c r="E759" s="1" t="s">
        <v>88</v>
      </c>
      <c r="F759" s="1" t="s">
        <v>432</v>
      </c>
      <c r="G759" s="1" t="s">
        <v>283</v>
      </c>
      <c r="H759" s="1" t="s">
        <v>2652</v>
      </c>
      <c r="K759" s="1" t="s">
        <v>170</v>
      </c>
      <c r="L759" s="1" t="s">
        <v>2653</v>
      </c>
      <c r="M759" s="1" t="s">
        <v>465</v>
      </c>
      <c r="N759" s="1" t="s">
        <v>2654</v>
      </c>
      <c r="O759" s="1" t="s">
        <v>400</v>
      </c>
      <c r="P759" s="1"/>
      <c r="Q759" s="1" t="s">
        <v>70</v>
      </c>
      <c r="Z759" s="1" t="s">
        <v>71</v>
      </c>
      <c r="AE759" s="1" t="s">
        <v>2636</v>
      </c>
      <c r="AH759" s="1" t="s">
        <v>73</v>
      </c>
      <c r="AK759" s="1" t="s">
        <v>71</v>
      </c>
      <c r="AM759" s="1" t="s">
        <v>71</v>
      </c>
      <c r="AN759" s="1" t="s">
        <v>71</v>
      </c>
      <c r="AS759" s="1" t="s">
        <v>71</v>
      </c>
      <c r="AX759" s="1" t="s">
        <v>71</v>
      </c>
      <c r="BH759" s="1" t="s">
        <v>71</v>
      </c>
    </row>
    <row r="760" customFormat="false" ht="15" hidden="false" customHeight="false" outlineLevel="0" collapsed="false">
      <c r="A760" s="1" t="s">
        <v>2655</v>
      </c>
      <c r="B760" s="1" t="s">
        <v>2656</v>
      </c>
      <c r="C760" s="1" t="s">
        <v>742</v>
      </c>
      <c r="D760" s="1" t="s">
        <v>1977</v>
      </c>
      <c r="E760" s="1" t="s">
        <v>82</v>
      </c>
      <c r="F760" s="1" t="s">
        <v>391</v>
      </c>
      <c r="G760" s="1" t="s">
        <v>97</v>
      </c>
      <c r="H760" s="1" t="s">
        <v>406</v>
      </c>
      <c r="K760" s="1" t="s">
        <v>59</v>
      </c>
      <c r="L760" s="1" t="s">
        <v>791</v>
      </c>
      <c r="M760" s="1" t="s">
        <v>465</v>
      </c>
      <c r="N760" s="1" t="s">
        <v>2657</v>
      </c>
      <c r="O760" s="1" t="s">
        <v>400</v>
      </c>
      <c r="P760" s="1"/>
      <c r="Q760" s="1" t="s">
        <v>70</v>
      </c>
      <c r="Z760" s="1" t="s">
        <v>71</v>
      </c>
      <c r="AE760" s="1" t="s">
        <v>2636</v>
      </c>
      <c r="AH760" s="1" t="s">
        <v>73</v>
      </c>
      <c r="AK760" s="1" t="s">
        <v>71</v>
      </c>
      <c r="AM760" s="1" t="s">
        <v>71</v>
      </c>
      <c r="AN760" s="1" t="s">
        <v>71</v>
      </c>
      <c r="AS760" s="1" t="s">
        <v>71</v>
      </c>
      <c r="AX760" s="1" t="s">
        <v>71</v>
      </c>
      <c r="BH760" s="1" t="s">
        <v>71</v>
      </c>
    </row>
    <row r="761" customFormat="false" ht="15" hidden="false" customHeight="false" outlineLevel="0" collapsed="false">
      <c r="A761" s="1" t="s">
        <v>2658</v>
      </c>
      <c r="B761" s="1" t="s">
        <v>2659</v>
      </c>
      <c r="C761" s="1" t="s">
        <v>742</v>
      </c>
      <c r="D761" s="1" t="s">
        <v>1977</v>
      </c>
      <c r="E761" s="1" t="s">
        <v>82</v>
      </c>
      <c r="F761" s="1" t="s">
        <v>391</v>
      </c>
      <c r="G761" s="1" t="s">
        <v>97</v>
      </c>
      <c r="H761" s="1" t="s">
        <v>406</v>
      </c>
      <c r="K761" s="1" t="s">
        <v>59</v>
      </c>
      <c r="L761" s="1" t="s">
        <v>791</v>
      </c>
      <c r="M761" s="1" t="s">
        <v>2020</v>
      </c>
      <c r="N761" s="1" t="s">
        <v>2660</v>
      </c>
      <c r="O761" s="1" t="s">
        <v>400</v>
      </c>
      <c r="P761" s="1"/>
      <c r="Q761" s="1" t="s">
        <v>70</v>
      </c>
      <c r="Z761" s="1" t="s">
        <v>71</v>
      </c>
      <c r="AE761" s="1" t="s">
        <v>2636</v>
      </c>
      <c r="AH761" s="1" t="s">
        <v>73</v>
      </c>
      <c r="AK761" s="1" t="s">
        <v>71</v>
      </c>
      <c r="AM761" s="1" t="s">
        <v>71</v>
      </c>
      <c r="AN761" s="1" t="s">
        <v>71</v>
      </c>
      <c r="AS761" s="1" t="s">
        <v>71</v>
      </c>
      <c r="AX761" s="1" t="s">
        <v>71</v>
      </c>
      <c r="BH761" s="1" t="s">
        <v>71</v>
      </c>
    </row>
    <row r="762" customFormat="false" ht="15" hidden="false" customHeight="false" outlineLevel="0" collapsed="false">
      <c r="A762" s="1" t="s">
        <v>2661</v>
      </c>
      <c r="B762" s="1" t="s">
        <v>2662</v>
      </c>
      <c r="C762" s="1" t="s">
        <v>1399</v>
      </c>
      <c r="D762" s="1" t="s">
        <v>1400</v>
      </c>
      <c r="E762" s="1" t="s">
        <v>88</v>
      </c>
      <c r="F762" s="1" t="s">
        <v>432</v>
      </c>
      <c r="G762" s="1" t="s">
        <v>229</v>
      </c>
      <c r="H762" s="1" t="s">
        <v>495</v>
      </c>
      <c r="K762" s="1" t="s">
        <v>501</v>
      </c>
      <c r="L762" s="1" t="s">
        <v>502</v>
      </c>
      <c r="M762" s="1" t="s">
        <v>496</v>
      </c>
      <c r="N762" s="1" t="s">
        <v>2663</v>
      </c>
      <c r="O762" s="1" t="s">
        <v>2664</v>
      </c>
      <c r="P762" s="1"/>
      <c r="Q762" s="1" t="s">
        <v>70</v>
      </c>
      <c r="Z762" s="1" t="s">
        <v>71</v>
      </c>
      <c r="AE762" s="1" t="s">
        <v>2665</v>
      </c>
      <c r="AH762" s="1" t="s">
        <v>73</v>
      </c>
      <c r="AK762" s="1" t="s">
        <v>71</v>
      </c>
      <c r="AM762" s="1" t="s">
        <v>71</v>
      </c>
      <c r="AN762" s="1" t="s">
        <v>71</v>
      </c>
      <c r="AS762" s="1" t="s">
        <v>71</v>
      </c>
      <c r="AX762" s="1" t="s">
        <v>71</v>
      </c>
      <c r="BH762" s="1" t="s">
        <v>71</v>
      </c>
    </row>
    <row r="763" customFormat="false" ht="15" hidden="false" customHeight="false" outlineLevel="0" collapsed="false">
      <c r="A763" s="1" t="s">
        <v>2666</v>
      </c>
      <c r="B763" s="1" t="s">
        <v>2667</v>
      </c>
      <c r="C763" s="1" t="s">
        <v>1823</v>
      </c>
      <c r="D763" s="1" t="s">
        <v>1824</v>
      </c>
      <c r="E763" s="1" t="s">
        <v>82</v>
      </c>
      <c r="F763" s="1" t="s">
        <v>391</v>
      </c>
      <c r="G763" s="1" t="s">
        <v>1356</v>
      </c>
      <c r="H763" s="1" t="s">
        <v>1825</v>
      </c>
      <c r="K763" s="1" t="s">
        <v>1826</v>
      </c>
      <c r="L763" s="1" t="s">
        <v>1827</v>
      </c>
      <c r="M763" s="1" t="s">
        <v>496</v>
      </c>
      <c r="N763" s="1" t="s">
        <v>1828</v>
      </c>
      <c r="O763" s="1" t="s">
        <v>1829</v>
      </c>
      <c r="P763" s="1"/>
      <c r="Q763" s="1" t="s">
        <v>70</v>
      </c>
      <c r="Z763" s="1" t="s">
        <v>71</v>
      </c>
      <c r="AE763" s="1" t="s">
        <v>2668</v>
      </c>
      <c r="AH763" s="1" t="s">
        <v>73</v>
      </c>
      <c r="AK763" s="1" t="s">
        <v>71</v>
      </c>
      <c r="AM763" s="1" t="s">
        <v>71</v>
      </c>
      <c r="AN763" s="1" t="s">
        <v>71</v>
      </c>
      <c r="AS763" s="1" t="s">
        <v>71</v>
      </c>
      <c r="AX763" s="1" t="s">
        <v>71</v>
      </c>
      <c r="BH763" s="1" t="s">
        <v>71</v>
      </c>
    </row>
    <row r="764" customFormat="false" ht="15" hidden="false" customHeight="false" outlineLevel="0" collapsed="false">
      <c r="A764" s="1" t="s">
        <v>2669</v>
      </c>
      <c r="B764" s="1" t="s">
        <v>2670</v>
      </c>
      <c r="C764" s="1" t="s">
        <v>769</v>
      </c>
      <c r="D764" s="1" t="s">
        <v>390</v>
      </c>
      <c r="E764" s="1" t="s">
        <v>82</v>
      </c>
      <c r="F764" s="1" t="s">
        <v>391</v>
      </c>
      <c r="G764" s="1" t="s">
        <v>182</v>
      </c>
      <c r="H764" s="1" t="s">
        <v>392</v>
      </c>
      <c r="K764" s="1" t="s">
        <v>65</v>
      </c>
      <c r="L764" s="1" t="s">
        <v>517</v>
      </c>
      <c r="M764" s="1" t="s">
        <v>1716</v>
      </c>
      <c r="N764" s="1" t="s">
        <v>2432</v>
      </c>
      <c r="O764" s="1" t="s">
        <v>400</v>
      </c>
      <c r="P764" s="1"/>
      <c r="Q764" s="1" t="s">
        <v>70</v>
      </c>
      <c r="Z764" s="1" t="s">
        <v>71</v>
      </c>
      <c r="AE764" s="1" t="s">
        <v>2671</v>
      </c>
      <c r="AH764" s="1" t="s">
        <v>73</v>
      </c>
      <c r="AK764" s="1" t="s">
        <v>71</v>
      </c>
      <c r="AM764" s="1" t="s">
        <v>71</v>
      </c>
      <c r="AN764" s="1" t="s">
        <v>71</v>
      </c>
      <c r="AS764" s="1" t="s">
        <v>71</v>
      </c>
      <c r="AX764" s="1" t="s">
        <v>71</v>
      </c>
      <c r="BH764" s="1" t="s">
        <v>71</v>
      </c>
    </row>
    <row r="765" customFormat="false" ht="15" hidden="false" customHeight="false" outlineLevel="0" collapsed="false">
      <c r="A765" s="1" t="s">
        <v>2672</v>
      </c>
      <c r="B765" s="1" t="s">
        <v>2673</v>
      </c>
      <c r="C765" s="1" t="s">
        <v>769</v>
      </c>
      <c r="D765" s="1" t="s">
        <v>390</v>
      </c>
      <c r="E765" s="1" t="s">
        <v>82</v>
      </c>
      <c r="F765" s="1" t="s">
        <v>391</v>
      </c>
      <c r="G765" s="1" t="s">
        <v>182</v>
      </c>
      <c r="H765" s="1" t="s">
        <v>392</v>
      </c>
      <c r="K765" s="1" t="s">
        <v>65</v>
      </c>
      <c r="L765" s="1" t="s">
        <v>517</v>
      </c>
      <c r="M765" s="1" t="s">
        <v>496</v>
      </c>
      <c r="N765" s="1" t="s">
        <v>1124</v>
      </c>
      <c r="O765" s="1" t="s">
        <v>400</v>
      </c>
      <c r="P765" s="1"/>
      <c r="Q765" s="1" t="s">
        <v>70</v>
      </c>
      <c r="Z765" s="1" t="s">
        <v>71</v>
      </c>
      <c r="AE765" s="1" t="s">
        <v>2671</v>
      </c>
      <c r="AH765" s="1" t="s">
        <v>73</v>
      </c>
      <c r="AK765" s="1" t="s">
        <v>71</v>
      </c>
      <c r="AM765" s="1" t="s">
        <v>71</v>
      </c>
      <c r="AN765" s="1" t="s">
        <v>71</v>
      </c>
      <c r="AS765" s="1" t="s">
        <v>71</v>
      </c>
      <c r="AX765" s="1" t="s">
        <v>71</v>
      </c>
      <c r="BH765" s="1" t="s">
        <v>71</v>
      </c>
    </row>
    <row r="766" customFormat="false" ht="15" hidden="false" customHeight="false" outlineLevel="0" collapsed="false">
      <c r="A766" s="1" t="s">
        <v>2674</v>
      </c>
      <c r="B766" s="1" t="s">
        <v>2675</v>
      </c>
      <c r="C766" s="1" t="s">
        <v>769</v>
      </c>
      <c r="D766" s="1" t="s">
        <v>390</v>
      </c>
      <c r="E766" s="1" t="s">
        <v>82</v>
      </c>
      <c r="F766" s="1" t="s">
        <v>391</v>
      </c>
      <c r="G766" s="1" t="s">
        <v>182</v>
      </c>
      <c r="H766" s="1" t="s">
        <v>392</v>
      </c>
      <c r="K766" s="1" t="s">
        <v>65</v>
      </c>
      <c r="L766" s="1" t="s">
        <v>517</v>
      </c>
      <c r="M766" s="1" t="s">
        <v>496</v>
      </c>
      <c r="N766" s="1" t="s">
        <v>2676</v>
      </c>
      <c r="O766" s="1" t="s">
        <v>2677</v>
      </c>
      <c r="P766" s="1"/>
      <c r="Q766" s="1" t="s">
        <v>70</v>
      </c>
      <c r="Z766" s="1" t="s">
        <v>71</v>
      </c>
      <c r="AE766" s="1" t="s">
        <v>2671</v>
      </c>
      <c r="AH766" s="1" t="s">
        <v>73</v>
      </c>
      <c r="AK766" s="1" t="s">
        <v>71</v>
      </c>
      <c r="AM766" s="1" t="s">
        <v>71</v>
      </c>
      <c r="AN766" s="1" t="s">
        <v>71</v>
      </c>
      <c r="AS766" s="1" t="s">
        <v>71</v>
      </c>
      <c r="AX766" s="1" t="s">
        <v>71</v>
      </c>
      <c r="BH766" s="1" t="s">
        <v>71</v>
      </c>
    </row>
    <row r="767" customFormat="false" ht="15" hidden="false" customHeight="false" outlineLevel="0" collapsed="false">
      <c r="A767" s="1" t="s">
        <v>2678</v>
      </c>
      <c r="B767" s="1" t="s">
        <v>2679</v>
      </c>
      <c r="C767" s="1" t="s">
        <v>769</v>
      </c>
      <c r="D767" s="1" t="s">
        <v>390</v>
      </c>
      <c r="E767" s="1" t="s">
        <v>82</v>
      </c>
      <c r="F767" s="1" t="s">
        <v>391</v>
      </c>
      <c r="G767" s="1" t="s">
        <v>182</v>
      </c>
      <c r="H767" s="1" t="s">
        <v>392</v>
      </c>
      <c r="K767" s="1" t="s">
        <v>65</v>
      </c>
      <c r="L767" s="1" t="s">
        <v>517</v>
      </c>
      <c r="M767" s="1" t="s">
        <v>496</v>
      </c>
      <c r="N767" s="1" t="s">
        <v>984</v>
      </c>
      <c r="O767" s="1" t="s">
        <v>985</v>
      </c>
      <c r="P767" s="1"/>
      <c r="Q767" s="1" t="s">
        <v>70</v>
      </c>
      <c r="Z767" s="1" t="s">
        <v>71</v>
      </c>
      <c r="AE767" s="1" t="s">
        <v>2671</v>
      </c>
      <c r="AH767" s="1" t="s">
        <v>73</v>
      </c>
      <c r="AK767" s="1" t="s">
        <v>71</v>
      </c>
      <c r="AM767" s="1" t="s">
        <v>71</v>
      </c>
      <c r="AN767" s="1" t="s">
        <v>71</v>
      </c>
      <c r="AS767" s="1" t="s">
        <v>71</v>
      </c>
      <c r="AX767" s="1" t="s">
        <v>71</v>
      </c>
      <c r="BH767" s="1" t="s">
        <v>71</v>
      </c>
    </row>
    <row r="768" customFormat="false" ht="15" hidden="false" customHeight="false" outlineLevel="0" collapsed="false">
      <c r="A768" s="1" t="s">
        <v>2680</v>
      </c>
      <c r="B768" s="1" t="s">
        <v>2681</v>
      </c>
      <c r="C768" s="1" t="s">
        <v>769</v>
      </c>
      <c r="D768" s="1" t="s">
        <v>390</v>
      </c>
      <c r="E768" s="1" t="s">
        <v>82</v>
      </c>
      <c r="F768" s="1" t="s">
        <v>391</v>
      </c>
      <c r="G768" s="1" t="s">
        <v>182</v>
      </c>
      <c r="H768" s="1" t="s">
        <v>392</v>
      </c>
      <c r="K768" s="1" t="s">
        <v>65</v>
      </c>
      <c r="L768" s="1" t="s">
        <v>517</v>
      </c>
      <c r="M768" s="1" t="s">
        <v>496</v>
      </c>
      <c r="N768" s="1" t="s">
        <v>2682</v>
      </c>
      <c r="O768" s="1" t="s">
        <v>2683</v>
      </c>
      <c r="P768" s="1"/>
      <c r="Q768" s="1" t="s">
        <v>70</v>
      </c>
      <c r="Z768" s="1" t="s">
        <v>71</v>
      </c>
      <c r="AE768" s="1" t="s">
        <v>2671</v>
      </c>
      <c r="AH768" s="1" t="s">
        <v>73</v>
      </c>
      <c r="AK768" s="1" t="s">
        <v>71</v>
      </c>
      <c r="AM768" s="1" t="s">
        <v>71</v>
      </c>
      <c r="AN768" s="1" t="s">
        <v>71</v>
      </c>
      <c r="AS768" s="1" t="s">
        <v>71</v>
      </c>
      <c r="AX768" s="1" t="s">
        <v>71</v>
      </c>
      <c r="BH768" s="1" t="s">
        <v>71</v>
      </c>
    </row>
    <row r="769" customFormat="false" ht="15" hidden="false" customHeight="false" outlineLevel="0" collapsed="false">
      <c r="A769" s="1" t="s">
        <v>2684</v>
      </c>
      <c r="B769" s="1" t="s">
        <v>2685</v>
      </c>
      <c r="C769" s="1" t="s">
        <v>769</v>
      </c>
      <c r="D769" s="1" t="s">
        <v>390</v>
      </c>
      <c r="E769" s="1" t="s">
        <v>82</v>
      </c>
      <c r="F769" s="1" t="s">
        <v>391</v>
      </c>
      <c r="G769" s="1" t="s">
        <v>182</v>
      </c>
      <c r="H769" s="1" t="s">
        <v>392</v>
      </c>
      <c r="K769" s="1" t="s">
        <v>65</v>
      </c>
      <c r="L769" s="1" t="s">
        <v>517</v>
      </c>
      <c r="M769" s="1" t="s">
        <v>496</v>
      </c>
      <c r="N769" s="1" t="s">
        <v>2686</v>
      </c>
      <c r="O769" s="1" t="s">
        <v>447</v>
      </c>
      <c r="P769" s="1"/>
      <c r="Q769" s="1" t="s">
        <v>70</v>
      </c>
      <c r="Z769" s="1" t="s">
        <v>71</v>
      </c>
      <c r="AE769" s="1" t="s">
        <v>2671</v>
      </c>
      <c r="AH769" s="1" t="s">
        <v>73</v>
      </c>
      <c r="AK769" s="1" t="s">
        <v>71</v>
      </c>
      <c r="AM769" s="1" t="s">
        <v>71</v>
      </c>
      <c r="AN769" s="1" t="s">
        <v>71</v>
      </c>
      <c r="AS769" s="1" t="s">
        <v>71</v>
      </c>
      <c r="AX769" s="1" t="s">
        <v>71</v>
      </c>
      <c r="BH769" s="1" t="s">
        <v>71</v>
      </c>
    </row>
    <row r="770" customFormat="false" ht="15" hidden="false" customHeight="false" outlineLevel="0" collapsed="false">
      <c r="A770" s="1" t="s">
        <v>2687</v>
      </c>
      <c r="B770" s="1" t="s">
        <v>2688</v>
      </c>
      <c r="C770" s="1" t="s">
        <v>769</v>
      </c>
      <c r="D770" s="1" t="s">
        <v>390</v>
      </c>
      <c r="E770" s="1" t="s">
        <v>82</v>
      </c>
      <c r="F770" s="1" t="s">
        <v>391</v>
      </c>
      <c r="G770" s="1" t="s">
        <v>182</v>
      </c>
      <c r="H770" s="1" t="s">
        <v>392</v>
      </c>
      <c r="K770" s="1" t="s">
        <v>65</v>
      </c>
      <c r="L770" s="1" t="s">
        <v>517</v>
      </c>
      <c r="M770" s="1" t="s">
        <v>496</v>
      </c>
      <c r="N770" s="1" t="s">
        <v>842</v>
      </c>
      <c r="O770" s="1" t="s">
        <v>400</v>
      </c>
      <c r="P770" s="1"/>
      <c r="Q770" s="1" t="s">
        <v>70</v>
      </c>
      <c r="Z770" s="1" t="s">
        <v>71</v>
      </c>
      <c r="AE770" s="1" t="s">
        <v>2671</v>
      </c>
      <c r="AH770" s="1" t="s">
        <v>73</v>
      </c>
      <c r="AK770" s="1" t="s">
        <v>71</v>
      </c>
      <c r="AM770" s="1" t="s">
        <v>71</v>
      </c>
      <c r="AN770" s="1" t="s">
        <v>71</v>
      </c>
      <c r="AS770" s="1" t="s">
        <v>71</v>
      </c>
      <c r="AX770" s="1" t="s">
        <v>71</v>
      </c>
      <c r="BH770" s="1" t="s">
        <v>71</v>
      </c>
    </row>
    <row r="771" customFormat="false" ht="15" hidden="false" customHeight="false" outlineLevel="0" collapsed="false">
      <c r="A771" s="1" t="s">
        <v>2689</v>
      </c>
      <c r="B771" s="1" t="s">
        <v>2690</v>
      </c>
      <c r="C771" s="1" t="s">
        <v>769</v>
      </c>
      <c r="D771" s="1" t="s">
        <v>390</v>
      </c>
      <c r="E771" s="1" t="s">
        <v>82</v>
      </c>
      <c r="F771" s="1" t="s">
        <v>391</v>
      </c>
      <c r="G771" s="1" t="s">
        <v>182</v>
      </c>
      <c r="H771" s="1" t="s">
        <v>392</v>
      </c>
      <c r="K771" s="1" t="s">
        <v>65</v>
      </c>
      <c r="L771" s="1" t="s">
        <v>517</v>
      </c>
      <c r="M771" s="1" t="s">
        <v>496</v>
      </c>
      <c r="N771" s="1" t="s">
        <v>2691</v>
      </c>
      <c r="O771" s="1" t="s">
        <v>400</v>
      </c>
      <c r="P771" s="1"/>
      <c r="Q771" s="1" t="s">
        <v>70</v>
      </c>
      <c r="Z771" s="1" t="s">
        <v>71</v>
      </c>
      <c r="AE771" s="1" t="s">
        <v>2671</v>
      </c>
      <c r="AH771" s="1" t="s">
        <v>73</v>
      </c>
      <c r="AK771" s="1" t="s">
        <v>71</v>
      </c>
      <c r="AM771" s="1" t="s">
        <v>71</v>
      </c>
      <c r="AN771" s="1" t="s">
        <v>71</v>
      </c>
      <c r="AS771" s="1" t="s">
        <v>71</v>
      </c>
      <c r="AX771" s="1" t="s">
        <v>71</v>
      </c>
      <c r="BH771" s="1" t="s">
        <v>71</v>
      </c>
    </row>
    <row r="772" customFormat="false" ht="15" hidden="false" customHeight="false" outlineLevel="0" collapsed="false">
      <c r="A772" s="1" t="s">
        <v>2692</v>
      </c>
      <c r="B772" s="1" t="s">
        <v>2693</v>
      </c>
      <c r="C772" s="1" t="s">
        <v>769</v>
      </c>
      <c r="D772" s="1" t="s">
        <v>390</v>
      </c>
      <c r="E772" s="1" t="s">
        <v>82</v>
      </c>
      <c r="F772" s="1" t="s">
        <v>391</v>
      </c>
      <c r="G772" s="1" t="s">
        <v>182</v>
      </c>
      <c r="H772" s="1" t="s">
        <v>392</v>
      </c>
      <c r="K772" s="1" t="s">
        <v>65</v>
      </c>
      <c r="L772" s="1" t="s">
        <v>517</v>
      </c>
      <c r="M772" s="1" t="s">
        <v>496</v>
      </c>
      <c r="N772" s="1" t="s">
        <v>2694</v>
      </c>
      <c r="O772" s="1" t="s">
        <v>447</v>
      </c>
      <c r="P772" s="1"/>
      <c r="Q772" s="1" t="s">
        <v>70</v>
      </c>
      <c r="Z772" s="1" t="s">
        <v>71</v>
      </c>
      <c r="AE772" s="1" t="s">
        <v>2671</v>
      </c>
      <c r="AH772" s="1" t="s">
        <v>73</v>
      </c>
      <c r="AK772" s="1" t="s">
        <v>71</v>
      </c>
      <c r="AM772" s="1" t="s">
        <v>71</v>
      </c>
      <c r="AN772" s="1" t="s">
        <v>71</v>
      </c>
      <c r="AS772" s="1" t="s">
        <v>71</v>
      </c>
      <c r="AX772" s="1" t="s">
        <v>71</v>
      </c>
      <c r="BH772" s="1" t="s">
        <v>71</v>
      </c>
    </row>
    <row r="773" customFormat="false" ht="15" hidden="false" customHeight="false" outlineLevel="0" collapsed="false">
      <c r="A773" s="1" t="s">
        <v>2695</v>
      </c>
      <c r="B773" s="1" t="s">
        <v>2696</v>
      </c>
      <c r="C773" s="1" t="s">
        <v>742</v>
      </c>
      <c r="D773" s="1" t="s">
        <v>1977</v>
      </c>
      <c r="E773" s="1" t="s">
        <v>82</v>
      </c>
      <c r="F773" s="1" t="s">
        <v>391</v>
      </c>
      <c r="G773" s="1" t="s">
        <v>213</v>
      </c>
      <c r="H773" s="1" t="s">
        <v>477</v>
      </c>
      <c r="K773" s="1" t="s">
        <v>478</v>
      </c>
      <c r="L773" s="1" t="s">
        <v>479</v>
      </c>
      <c r="M773" s="1" t="s">
        <v>465</v>
      </c>
      <c r="N773" s="1" t="s">
        <v>2021</v>
      </c>
      <c r="O773" s="1" t="s">
        <v>400</v>
      </c>
      <c r="P773" s="1"/>
      <c r="Q773" s="1" t="s">
        <v>70</v>
      </c>
      <c r="Z773" s="1" t="s">
        <v>71</v>
      </c>
      <c r="AE773" s="1" t="s">
        <v>2697</v>
      </c>
      <c r="AH773" s="1" t="s">
        <v>73</v>
      </c>
      <c r="AK773" s="1" t="s">
        <v>71</v>
      </c>
      <c r="AM773" s="1" t="s">
        <v>71</v>
      </c>
      <c r="AN773" s="1" t="s">
        <v>71</v>
      </c>
      <c r="AS773" s="1" t="s">
        <v>71</v>
      </c>
      <c r="AX773" s="1" t="s">
        <v>71</v>
      </c>
      <c r="BH773" s="1" t="s">
        <v>71</v>
      </c>
    </row>
    <row r="774" customFormat="false" ht="15" hidden="false" customHeight="false" outlineLevel="0" collapsed="false">
      <c r="A774" s="1" t="s">
        <v>2698</v>
      </c>
      <c r="B774" s="1" t="s">
        <v>2699</v>
      </c>
      <c r="C774" s="1" t="s">
        <v>1823</v>
      </c>
      <c r="D774" s="1" t="s">
        <v>1824</v>
      </c>
      <c r="E774" s="1" t="s">
        <v>82</v>
      </c>
      <c r="F774" s="1" t="s">
        <v>391</v>
      </c>
      <c r="G774" s="1" t="s">
        <v>1356</v>
      </c>
      <c r="H774" s="1" t="s">
        <v>1825</v>
      </c>
      <c r="K774" s="1" t="s">
        <v>1826</v>
      </c>
      <c r="L774" s="1" t="s">
        <v>1827</v>
      </c>
      <c r="M774" s="1" t="s">
        <v>496</v>
      </c>
      <c r="N774" s="1" t="s">
        <v>1832</v>
      </c>
      <c r="O774" s="1" t="s">
        <v>400</v>
      </c>
      <c r="P774" s="1"/>
      <c r="Q774" s="1" t="s">
        <v>70</v>
      </c>
      <c r="Z774" s="1" t="s">
        <v>71</v>
      </c>
      <c r="AE774" s="1" t="s">
        <v>2697</v>
      </c>
      <c r="AH774" s="1" t="s">
        <v>73</v>
      </c>
      <c r="AK774" s="1" t="s">
        <v>71</v>
      </c>
      <c r="AM774" s="1" t="s">
        <v>71</v>
      </c>
      <c r="AN774" s="1" t="s">
        <v>71</v>
      </c>
      <c r="AS774" s="1" t="s">
        <v>71</v>
      </c>
      <c r="AX774" s="1" t="s">
        <v>71</v>
      </c>
      <c r="BH774" s="1" t="s">
        <v>71</v>
      </c>
    </row>
    <row r="775" customFormat="false" ht="15" hidden="false" customHeight="false" outlineLevel="0" collapsed="false">
      <c r="A775" s="1" t="s">
        <v>2700</v>
      </c>
      <c r="B775" s="1" t="s">
        <v>2701</v>
      </c>
      <c r="C775" s="1" t="s">
        <v>1823</v>
      </c>
      <c r="D775" s="1" t="s">
        <v>1824</v>
      </c>
      <c r="E775" s="1" t="s">
        <v>82</v>
      </c>
      <c r="F775" s="1" t="s">
        <v>391</v>
      </c>
      <c r="G775" s="1" t="s">
        <v>1356</v>
      </c>
      <c r="H775" s="1" t="s">
        <v>1825</v>
      </c>
      <c r="K775" s="1" t="s">
        <v>1826</v>
      </c>
      <c r="L775" s="1" t="s">
        <v>1827</v>
      </c>
      <c r="M775" s="1" t="s">
        <v>496</v>
      </c>
      <c r="N775" s="1" t="s">
        <v>2702</v>
      </c>
      <c r="O775" s="1" t="s">
        <v>2703</v>
      </c>
      <c r="P775" s="1"/>
      <c r="Q775" s="1" t="s">
        <v>70</v>
      </c>
      <c r="Z775" s="1" t="s">
        <v>71</v>
      </c>
      <c r="AE775" s="1" t="s">
        <v>2697</v>
      </c>
      <c r="AH775" s="1" t="s">
        <v>73</v>
      </c>
      <c r="AK775" s="1" t="s">
        <v>71</v>
      </c>
      <c r="AM775" s="1" t="s">
        <v>71</v>
      </c>
      <c r="AN775" s="1" t="s">
        <v>71</v>
      </c>
      <c r="AS775" s="1" t="s">
        <v>71</v>
      </c>
      <c r="AX775" s="1" t="s">
        <v>71</v>
      </c>
      <c r="BH775" s="1" t="s">
        <v>71</v>
      </c>
    </row>
    <row r="776" customFormat="false" ht="15" hidden="false" customHeight="false" outlineLevel="0" collapsed="false">
      <c r="A776" s="1" t="s">
        <v>2704</v>
      </c>
      <c r="B776" s="1" t="s">
        <v>2705</v>
      </c>
      <c r="C776" s="1" t="s">
        <v>2706</v>
      </c>
      <c r="D776" s="1" t="s">
        <v>2707</v>
      </c>
      <c r="E776" s="1" t="s">
        <v>82</v>
      </c>
      <c r="F776" s="1" t="s">
        <v>391</v>
      </c>
      <c r="G776" s="1" t="s">
        <v>97</v>
      </c>
      <c r="H776" s="1" t="s">
        <v>406</v>
      </c>
      <c r="K776" s="1" t="s">
        <v>2144</v>
      </c>
      <c r="L776" s="1" t="s">
        <v>2145</v>
      </c>
      <c r="M776" s="1" t="s">
        <v>496</v>
      </c>
      <c r="N776" s="1" t="s">
        <v>2708</v>
      </c>
      <c r="O776" s="1" t="s">
        <v>1793</v>
      </c>
      <c r="P776" s="1"/>
      <c r="Q776" s="1" t="s">
        <v>70</v>
      </c>
      <c r="Z776" s="1" t="s">
        <v>71</v>
      </c>
      <c r="AE776" s="1" t="s">
        <v>2697</v>
      </c>
      <c r="AH776" s="1" t="s">
        <v>73</v>
      </c>
      <c r="AK776" s="1" t="s">
        <v>71</v>
      </c>
      <c r="AM776" s="1" t="s">
        <v>71</v>
      </c>
      <c r="AN776" s="1" t="s">
        <v>71</v>
      </c>
      <c r="AS776" s="1" t="s">
        <v>71</v>
      </c>
      <c r="AX776" s="1" t="s">
        <v>71</v>
      </c>
      <c r="BH776" s="1" t="s">
        <v>71</v>
      </c>
    </row>
    <row r="777" customFormat="false" ht="15" hidden="false" customHeight="false" outlineLevel="0" collapsed="false">
      <c r="A777" s="1" t="s">
        <v>2709</v>
      </c>
      <c r="B777" s="1" t="s">
        <v>2710</v>
      </c>
      <c r="C777" s="1" t="s">
        <v>2706</v>
      </c>
      <c r="D777" s="1" t="s">
        <v>2707</v>
      </c>
      <c r="E777" s="1" t="s">
        <v>82</v>
      </c>
      <c r="F777" s="1" t="s">
        <v>391</v>
      </c>
      <c r="G777" s="1" t="s">
        <v>97</v>
      </c>
      <c r="H777" s="1" t="s">
        <v>406</v>
      </c>
      <c r="K777" s="1" t="s">
        <v>2144</v>
      </c>
      <c r="L777" s="1" t="s">
        <v>2145</v>
      </c>
      <c r="M777" s="1" t="s">
        <v>496</v>
      </c>
      <c r="N777" s="1" t="s">
        <v>2711</v>
      </c>
      <c r="O777" s="1" t="s">
        <v>2712</v>
      </c>
      <c r="P777" s="1"/>
      <c r="Q777" s="1" t="s">
        <v>70</v>
      </c>
      <c r="Z777" s="1" t="s">
        <v>71</v>
      </c>
      <c r="AE777" s="1" t="s">
        <v>2697</v>
      </c>
      <c r="AH777" s="1" t="s">
        <v>73</v>
      </c>
      <c r="AK777" s="1" t="s">
        <v>71</v>
      </c>
      <c r="AM777" s="1" t="s">
        <v>71</v>
      </c>
      <c r="AN777" s="1" t="s">
        <v>71</v>
      </c>
      <c r="AS777" s="1" t="s">
        <v>71</v>
      </c>
      <c r="AX777" s="1" t="s">
        <v>71</v>
      </c>
      <c r="BH777" s="1" t="s">
        <v>71</v>
      </c>
    </row>
    <row r="778" customFormat="false" ht="15" hidden="false" customHeight="false" outlineLevel="0" collapsed="false">
      <c r="A778" s="1" t="s">
        <v>2713</v>
      </c>
      <c r="B778" s="1" t="s">
        <v>2714</v>
      </c>
      <c r="C778" s="1" t="s">
        <v>2706</v>
      </c>
      <c r="D778" s="1" t="s">
        <v>2707</v>
      </c>
      <c r="E778" s="1" t="s">
        <v>82</v>
      </c>
      <c r="F778" s="1" t="s">
        <v>391</v>
      </c>
      <c r="G778" s="1" t="s">
        <v>97</v>
      </c>
      <c r="H778" s="1" t="s">
        <v>406</v>
      </c>
      <c r="K778" s="1" t="s">
        <v>2144</v>
      </c>
      <c r="L778" s="1" t="s">
        <v>2145</v>
      </c>
      <c r="M778" s="1" t="s">
        <v>496</v>
      </c>
      <c r="N778" s="1" t="s">
        <v>2237</v>
      </c>
      <c r="O778" s="1" t="s">
        <v>2238</v>
      </c>
      <c r="P778" s="1"/>
      <c r="Q778" s="1" t="s">
        <v>70</v>
      </c>
      <c r="Z778" s="1" t="s">
        <v>71</v>
      </c>
      <c r="AE778" s="1" t="s">
        <v>2697</v>
      </c>
      <c r="AH778" s="1" t="s">
        <v>73</v>
      </c>
      <c r="AK778" s="1" t="s">
        <v>71</v>
      </c>
      <c r="AM778" s="1" t="s">
        <v>71</v>
      </c>
      <c r="AN778" s="1" t="s">
        <v>71</v>
      </c>
      <c r="AS778" s="1" t="s">
        <v>71</v>
      </c>
      <c r="AX778" s="1" t="s">
        <v>71</v>
      </c>
      <c r="BH778" s="1" t="s">
        <v>71</v>
      </c>
    </row>
    <row r="779" customFormat="false" ht="15" hidden="false" customHeight="false" outlineLevel="0" collapsed="false">
      <c r="A779" s="1" t="s">
        <v>2715</v>
      </c>
      <c r="B779" s="1" t="s">
        <v>2716</v>
      </c>
      <c r="C779" s="1" t="s">
        <v>2706</v>
      </c>
      <c r="D779" s="1" t="s">
        <v>2707</v>
      </c>
      <c r="E779" s="1" t="s">
        <v>82</v>
      </c>
      <c r="F779" s="1" t="s">
        <v>391</v>
      </c>
      <c r="G779" s="1" t="s">
        <v>97</v>
      </c>
      <c r="H779" s="1" t="s">
        <v>406</v>
      </c>
      <c r="K779" s="1" t="s">
        <v>2144</v>
      </c>
      <c r="L779" s="1" t="s">
        <v>2145</v>
      </c>
      <c r="M779" s="1" t="s">
        <v>496</v>
      </c>
      <c r="N779" s="1" t="s">
        <v>2717</v>
      </c>
      <c r="O779" s="1" t="s">
        <v>2718</v>
      </c>
      <c r="P779" s="1"/>
      <c r="Q779" s="1" t="s">
        <v>70</v>
      </c>
      <c r="Z779" s="1" t="s">
        <v>71</v>
      </c>
      <c r="AE779" s="1" t="s">
        <v>2697</v>
      </c>
      <c r="AH779" s="1" t="s">
        <v>73</v>
      </c>
      <c r="AK779" s="1" t="s">
        <v>71</v>
      </c>
      <c r="AM779" s="1" t="s">
        <v>71</v>
      </c>
      <c r="AN779" s="1" t="s">
        <v>71</v>
      </c>
      <c r="AS779" s="1" t="s">
        <v>71</v>
      </c>
      <c r="AX779" s="1" t="s">
        <v>71</v>
      </c>
      <c r="BH779" s="1" t="s">
        <v>71</v>
      </c>
    </row>
    <row r="780" customFormat="false" ht="15" hidden="false" customHeight="false" outlineLevel="0" collapsed="false">
      <c r="A780" s="1" t="s">
        <v>2719</v>
      </c>
      <c r="B780" s="1" t="s">
        <v>2720</v>
      </c>
      <c r="C780" s="1" t="s">
        <v>834</v>
      </c>
      <c r="D780" s="1" t="s">
        <v>2721</v>
      </c>
      <c r="E780" s="1" t="s">
        <v>82</v>
      </c>
      <c r="F780" s="1" t="s">
        <v>391</v>
      </c>
      <c r="G780" s="1" t="s">
        <v>443</v>
      </c>
      <c r="H780" s="1" t="s">
        <v>444</v>
      </c>
      <c r="K780" s="1" t="s">
        <v>618</v>
      </c>
      <c r="L780" s="1" t="s">
        <v>619</v>
      </c>
      <c r="M780" s="1" t="s">
        <v>496</v>
      </c>
      <c r="N780" s="1" t="s">
        <v>779</v>
      </c>
      <c r="O780" s="1" t="s">
        <v>400</v>
      </c>
      <c r="P780" s="1"/>
      <c r="Q780" s="1" t="s">
        <v>70</v>
      </c>
      <c r="Z780" s="1" t="s">
        <v>71</v>
      </c>
      <c r="AE780" s="1" t="s">
        <v>2697</v>
      </c>
      <c r="AH780" s="1" t="s">
        <v>73</v>
      </c>
      <c r="AK780" s="1" t="s">
        <v>71</v>
      </c>
      <c r="AM780" s="1" t="s">
        <v>71</v>
      </c>
      <c r="AN780" s="1" t="s">
        <v>71</v>
      </c>
      <c r="AS780" s="1" t="s">
        <v>71</v>
      </c>
      <c r="AX780" s="1" t="s">
        <v>71</v>
      </c>
      <c r="BH780" s="1" t="s">
        <v>71</v>
      </c>
    </row>
    <row r="781" customFormat="false" ht="15" hidden="false" customHeight="false" outlineLevel="0" collapsed="false">
      <c r="A781" s="1" t="s">
        <v>2722</v>
      </c>
      <c r="B781" s="1" t="s">
        <v>2723</v>
      </c>
      <c r="C781" s="1" t="s">
        <v>528</v>
      </c>
      <c r="D781" s="1" t="s">
        <v>1274</v>
      </c>
      <c r="E781" s="1" t="s">
        <v>82</v>
      </c>
      <c r="F781" s="1" t="s">
        <v>391</v>
      </c>
      <c r="G781" s="1" t="s">
        <v>443</v>
      </c>
      <c r="H781" s="1" t="s">
        <v>444</v>
      </c>
      <c r="K781" s="1" t="s">
        <v>618</v>
      </c>
      <c r="L781" s="1" t="s">
        <v>619</v>
      </c>
      <c r="M781" s="1" t="s">
        <v>2020</v>
      </c>
      <c r="N781" s="1" t="s">
        <v>2562</v>
      </c>
      <c r="O781" s="1" t="s">
        <v>2563</v>
      </c>
      <c r="P781" s="1"/>
      <c r="Q781" s="1" t="s">
        <v>70</v>
      </c>
      <c r="Z781" s="1" t="s">
        <v>71</v>
      </c>
      <c r="AE781" s="1" t="s">
        <v>2697</v>
      </c>
      <c r="AH781" s="1" t="s">
        <v>73</v>
      </c>
      <c r="AK781" s="1" t="s">
        <v>71</v>
      </c>
      <c r="AM781" s="1" t="s">
        <v>71</v>
      </c>
      <c r="AN781" s="1" t="s">
        <v>71</v>
      </c>
      <c r="AS781" s="1" t="s">
        <v>71</v>
      </c>
      <c r="AX781" s="1" t="s">
        <v>71</v>
      </c>
      <c r="BH781" s="1" t="s">
        <v>71</v>
      </c>
    </row>
    <row r="782" customFormat="false" ht="15" hidden="false" customHeight="false" outlineLevel="0" collapsed="false">
      <c r="A782" s="1" t="s">
        <v>2724</v>
      </c>
      <c r="B782" s="1" t="s">
        <v>2725</v>
      </c>
      <c r="C782" s="1" t="s">
        <v>528</v>
      </c>
      <c r="D782" s="1" t="s">
        <v>1274</v>
      </c>
      <c r="E782" s="1" t="s">
        <v>82</v>
      </c>
      <c r="F782" s="1" t="s">
        <v>391</v>
      </c>
      <c r="G782" s="1" t="s">
        <v>443</v>
      </c>
      <c r="H782" s="1" t="s">
        <v>444</v>
      </c>
      <c r="K782" s="1" t="s">
        <v>618</v>
      </c>
      <c r="L782" s="1" t="s">
        <v>619</v>
      </c>
      <c r="M782" s="1" t="s">
        <v>2726</v>
      </c>
      <c r="N782" s="1" t="s">
        <v>2562</v>
      </c>
      <c r="O782" s="1" t="s">
        <v>2563</v>
      </c>
      <c r="P782" s="1"/>
      <c r="Q782" s="1" t="s">
        <v>70</v>
      </c>
      <c r="Z782" s="1" t="s">
        <v>71</v>
      </c>
      <c r="AE782" s="1" t="s">
        <v>2697</v>
      </c>
      <c r="AH782" s="1" t="s">
        <v>73</v>
      </c>
      <c r="AK782" s="1" t="s">
        <v>71</v>
      </c>
      <c r="AM782" s="1" t="s">
        <v>71</v>
      </c>
      <c r="AN782" s="1" t="s">
        <v>71</v>
      </c>
      <c r="AS782" s="1" t="s">
        <v>71</v>
      </c>
      <c r="AX782" s="1" t="s">
        <v>71</v>
      </c>
      <c r="BH782" s="1" t="s">
        <v>71</v>
      </c>
    </row>
    <row r="783" customFormat="false" ht="15" hidden="false" customHeight="false" outlineLevel="0" collapsed="false">
      <c r="A783" s="1" t="s">
        <v>2727</v>
      </c>
      <c r="B783" s="1" t="s">
        <v>2728</v>
      </c>
      <c r="C783" s="1" t="s">
        <v>528</v>
      </c>
      <c r="D783" s="1" t="s">
        <v>1274</v>
      </c>
      <c r="E783" s="1" t="s">
        <v>82</v>
      </c>
      <c r="F783" s="1" t="s">
        <v>391</v>
      </c>
      <c r="G783" s="1" t="s">
        <v>443</v>
      </c>
      <c r="H783" s="1" t="s">
        <v>444</v>
      </c>
      <c r="K783" s="1" t="s">
        <v>618</v>
      </c>
      <c r="L783" s="1" t="s">
        <v>619</v>
      </c>
      <c r="M783" s="1" t="s">
        <v>496</v>
      </c>
      <c r="N783" s="1" t="s">
        <v>2562</v>
      </c>
      <c r="O783" s="1" t="s">
        <v>2563</v>
      </c>
      <c r="P783" s="1"/>
      <c r="Q783" s="1" t="s">
        <v>70</v>
      </c>
      <c r="Z783" s="1" t="s">
        <v>71</v>
      </c>
      <c r="AE783" s="1" t="s">
        <v>2697</v>
      </c>
      <c r="AH783" s="1" t="s">
        <v>73</v>
      </c>
      <c r="AK783" s="1" t="s">
        <v>71</v>
      </c>
      <c r="AM783" s="1" t="s">
        <v>71</v>
      </c>
      <c r="AN783" s="1" t="s">
        <v>71</v>
      </c>
      <c r="AS783" s="1" t="s">
        <v>71</v>
      </c>
      <c r="AX783" s="1" t="s">
        <v>71</v>
      </c>
      <c r="BH783" s="1" t="s">
        <v>71</v>
      </c>
    </row>
    <row r="784" customFormat="false" ht="15" hidden="false" customHeight="false" outlineLevel="0" collapsed="false">
      <c r="A784" s="1" t="s">
        <v>2729</v>
      </c>
      <c r="B784" s="1" t="s">
        <v>2730</v>
      </c>
      <c r="C784" s="1" t="s">
        <v>528</v>
      </c>
      <c r="D784" s="1" t="s">
        <v>1274</v>
      </c>
      <c r="E784" s="1" t="s">
        <v>82</v>
      </c>
      <c r="F784" s="1" t="s">
        <v>391</v>
      </c>
      <c r="G784" s="1" t="s">
        <v>443</v>
      </c>
      <c r="H784" s="1" t="s">
        <v>444</v>
      </c>
      <c r="K784" s="1" t="s">
        <v>618</v>
      </c>
      <c r="L784" s="1" t="s">
        <v>619</v>
      </c>
      <c r="M784" s="1" t="s">
        <v>496</v>
      </c>
      <c r="N784" s="1" t="s">
        <v>1124</v>
      </c>
      <c r="O784" s="1" t="s">
        <v>400</v>
      </c>
      <c r="P784" s="1"/>
      <c r="Q784" s="1" t="s">
        <v>70</v>
      </c>
      <c r="U784" s="1" t="s">
        <v>2729</v>
      </c>
      <c r="Z784" s="1" t="s">
        <v>71</v>
      </c>
      <c r="AE784" s="1" t="s">
        <v>2731</v>
      </c>
      <c r="AH784" s="1" t="s">
        <v>73</v>
      </c>
      <c r="AK784" s="1" t="s">
        <v>71</v>
      </c>
      <c r="AM784" s="1" t="s">
        <v>71</v>
      </c>
      <c r="AN784" s="1" t="s">
        <v>71</v>
      </c>
      <c r="AS784" s="1" t="s">
        <v>71</v>
      </c>
      <c r="AX784" s="1" t="s">
        <v>71</v>
      </c>
      <c r="BH784" s="1" t="s">
        <v>71</v>
      </c>
    </row>
    <row r="785" customFormat="false" ht="15" hidden="false" customHeight="false" outlineLevel="0" collapsed="false">
      <c r="A785" s="1" t="s">
        <v>2732</v>
      </c>
      <c r="B785" s="1" t="s">
        <v>2733</v>
      </c>
      <c r="C785" s="1" t="s">
        <v>528</v>
      </c>
      <c r="D785" s="1" t="s">
        <v>1274</v>
      </c>
      <c r="E785" s="1" t="s">
        <v>82</v>
      </c>
      <c r="F785" s="1" t="s">
        <v>391</v>
      </c>
      <c r="G785" s="1" t="s">
        <v>443</v>
      </c>
      <c r="H785" s="1" t="s">
        <v>444</v>
      </c>
      <c r="K785" s="1" t="s">
        <v>618</v>
      </c>
      <c r="L785" s="1" t="s">
        <v>619</v>
      </c>
      <c r="M785" s="1" t="s">
        <v>496</v>
      </c>
      <c r="N785" s="1" t="s">
        <v>1124</v>
      </c>
      <c r="O785" s="1" t="s">
        <v>400</v>
      </c>
      <c r="P785" s="1"/>
      <c r="Q785" s="1" t="s">
        <v>70</v>
      </c>
      <c r="Z785" s="1" t="s">
        <v>71</v>
      </c>
      <c r="AE785" s="1" t="s">
        <v>2731</v>
      </c>
      <c r="AH785" s="1" t="s">
        <v>73</v>
      </c>
      <c r="AK785" s="1" t="s">
        <v>71</v>
      </c>
      <c r="AM785" s="1" t="s">
        <v>71</v>
      </c>
      <c r="AN785" s="1" t="s">
        <v>71</v>
      </c>
      <c r="AS785" s="1" t="s">
        <v>71</v>
      </c>
      <c r="AX785" s="1" t="s">
        <v>71</v>
      </c>
      <c r="BH785" s="1" t="s">
        <v>71</v>
      </c>
    </row>
    <row r="786" customFormat="false" ht="15" hidden="false" customHeight="false" outlineLevel="0" collapsed="false">
      <c r="A786" s="1" t="s">
        <v>2734</v>
      </c>
      <c r="B786" s="1" t="s">
        <v>2735</v>
      </c>
      <c r="C786" s="1" t="s">
        <v>528</v>
      </c>
      <c r="D786" s="1" t="s">
        <v>1274</v>
      </c>
      <c r="E786" s="1" t="s">
        <v>82</v>
      </c>
      <c r="F786" s="1" t="s">
        <v>391</v>
      </c>
      <c r="G786" s="1" t="s">
        <v>443</v>
      </c>
      <c r="H786" s="1" t="s">
        <v>444</v>
      </c>
      <c r="K786" s="1" t="s">
        <v>618</v>
      </c>
      <c r="L786" s="1" t="s">
        <v>619</v>
      </c>
      <c r="M786" s="1" t="s">
        <v>496</v>
      </c>
      <c r="N786" s="1" t="s">
        <v>2265</v>
      </c>
      <c r="O786" s="1" t="s">
        <v>2266</v>
      </c>
      <c r="P786" s="1"/>
      <c r="Q786" s="1" t="s">
        <v>70</v>
      </c>
      <c r="Z786" s="1" t="s">
        <v>71</v>
      </c>
      <c r="AE786" s="1" t="s">
        <v>2731</v>
      </c>
      <c r="AH786" s="1" t="s">
        <v>73</v>
      </c>
      <c r="AK786" s="1" t="s">
        <v>71</v>
      </c>
      <c r="AM786" s="1" t="s">
        <v>71</v>
      </c>
      <c r="AN786" s="1" t="s">
        <v>71</v>
      </c>
      <c r="AS786" s="1" t="s">
        <v>71</v>
      </c>
      <c r="AX786" s="1" t="s">
        <v>71</v>
      </c>
      <c r="BH786" s="1" t="s">
        <v>71</v>
      </c>
    </row>
    <row r="787" customFormat="false" ht="15" hidden="false" customHeight="false" outlineLevel="0" collapsed="false">
      <c r="A787" s="1" t="s">
        <v>2736</v>
      </c>
      <c r="B787" s="1" t="s">
        <v>2737</v>
      </c>
      <c r="C787" s="1" t="s">
        <v>528</v>
      </c>
      <c r="D787" s="1" t="s">
        <v>1274</v>
      </c>
      <c r="E787" s="1" t="s">
        <v>82</v>
      </c>
      <c r="F787" s="1" t="s">
        <v>391</v>
      </c>
      <c r="G787" s="1" t="s">
        <v>443</v>
      </c>
      <c r="H787" s="1" t="s">
        <v>444</v>
      </c>
      <c r="K787" s="1" t="s">
        <v>618</v>
      </c>
      <c r="L787" s="1" t="s">
        <v>619</v>
      </c>
      <c r="M787" s="1" t="s">
        <v>496</v>
      </c>
      <c r="N787" s="1" t="s">
        <v>2562</v>
      </c>
      <c r="O787" s="1" t="s">
        <v>2563</v>
      </c>
      <c r="P787" s="1"/>
      <c r="Q787" s="1" t="s">
        <v>70</v>
      </c>
      <c r="Z787" s="1" t="s">
        <v>71</v>
      </c>
      <c r="AE787" s="1" t="s">
        <v>2731</v>
      </c>
      <c r="AH787" s="1" t="s">
        <v>73</v>
      </c>
      <c r="AK787" s="1" t="s">
        <v>71</v>
      </c>
      <c r="AM787" s="1" t="s">
        <v>71</v>
      </c>
      <c r="AN787" s="1" t="s">
        <v>71</v>
      </c>
      <c r="AS787" s="1" t="s">
        <v>71</v>
      </c>
      <c r="AX787" s="1" t="s">
        <v>71</v>
      </c>
      <c r="BH787" s="1" t="s">
        <v>71</v>
      </c>
    </row>
    <row r="788" customFormat="false" ht="15" hidden="false" customHeight="false" outlineLevel="0" collapsed="false">
      <c r="A788" s="1" t="s">
        <v>2738</v>
      </c>
      <c r="B788" s="1" t="s">
        <v>908</v>
      </c>
      <c r="C788" s="1" t="s">
        <v>528</v>
      </c>
      <c r="D788" s="1" t="s">
        <v>1274</v>
      </c>
      <c r="E788" s="1" t="s">
        <v>82</v>
      </c>
      <c r="F788" s="1" t="s">
        <v>391</v>
      </c>
      <c r="G788" s="1" t="s">
        <v>443</v>
      </c>
      <c r="H788" s="1" t="s">
        <v>444</v>
      </c>
      <c r="K788" s="1" t="s">
        <v>618</v>
      </c>
      <c r="L788" s="1" t="s">
        <v>619</v>
      </c>
      <c r="M788" s="1" t="s">
        <v>496</v>
      </c>
      <c r="N788" s="1" t="s">
        <v>905</v>
      </c>
      <c r="O788" s="1" t="s">
        <v>906</v>
      </c>
      <c r="P788" s="1"/>
      <c r="Q788" s="1" t="s">
        <v>70</v>
      </c>
      <c r="Z788" s="1" t="s">
        <v>71</v>
      </c>
      <c r="AE788" s="1" t="s">
        <v>2731</v>
      </c>
      <c r="AH788" s="1" t="s">
        <v>73</v>
      </c>
      <c r="AK788" s="1" t="s">
        <v>71</v>
      </c>
      <c r="AM788" s="1" t="s">
        <v>71</v>
      </c>
      <c r="AN788" s="1" t="s">
        <v>71</v>
      </c>
      <c r="AS788" s="1" t="s">
        <v>71</v>
      </c>
      <c r="AX788" s="1" t="s">
        <v>71</v>
      </c>
      <c r="BH788" s="1" t="s">
        <v>71</v>
      </c>
    </row>
    <row r="789" customFormat="false" ht="15" hidden="false" customHeight="false" outlineLevel="0" collapsed="false">
      <c r="A789" s="1" t="s">
        <v>2739</v>
      </c>
      <c r="B789" s="1" t="s">
        <v>2740</v>
      </c>
      <c r="C789" s="1" t="s">
        <v>150</v>
      </c>
      <c r="D789" s="1" t="s">
        <v>405</v>
      </c>
      <c r="E789" s="1" t="s">
        <v>82</v>
      </c>
      <c r="F789" s="1" t="s">
        <v>391</v>
      </c>
      <c r="G789" s="1" t="s">
        <v>97</v>
      </c>
      <c r="H789" s="1" t="s">
        <v>406</v>
      </c>
      <c r="K789" s="1" t="s">
        <v>407</v>
      </c>
      <c r="L789" s="1" t="s">
        <v>408</v>
      </c>
      <c r="M789" s="1" t="s">
        <v>496</v>
      </c>
      <c r="N789" s="1" t="s">
        <v>2741</v>
      </c>
      <c r="O789" s="1" t="s">
        <v>2742</v>
      </c>
      <c r="P789" s="1"/>
      <c r="Q789" s="1" t="s">
        <v>70</v>
      </c>
      <c r="Z789" s="1" t="s">
        <v>71</v>
      </c>
      <c r="AE789" s="1" t="s">
        <v>2731</v>
      </c>
      <c r="AH789" s="1" t="s">
        <v>73</v>
      </c>
      <c r="AK789" s="1" t="s">
        <v>71</v>
      </c>
      <c r="AM789" s="1" t="s">
        <v>71</v>
      </c>
      <c r="AN789" s="1" t="s">
        <v>71</v>
      </c>
      <c r="AS789" s="1" t="s">
        <v>71</v>
      </c>
      <c r="AX789" s="1" t="s">
        <v>71</v>
      </c>
      <c r="BH789" s="1" t="s">
        <v>71</v>
      </c>
    </row>
    <row r="790" customFormat="false" ht="15" hidden="false" customHeight="false" outlineLevel="0" collapsed="false">
      <c r="A790" s="1" t="s">
        <v>2743</v>
      </c>
      <c r="B790" s="1" t="s">
        <v>2744</v>
      </c>
      <c r="C790" s="1" t="s">
        <v>150</v>
      </c>
      <c r="D790" s="1" t="s">
        <v>405</v>
      </c>
      <c r="E790" s="1" t="s">
        <v>82</v>
      </c>
      <c r="F790" s="1" t="s">
        <v>391</v>
      </c>
      <c r="G790" s="1" t="s">
        <v>97</v>
      </c>
      <c r="H790" s="1" t="s">
        <v>406</v>
      </c>
      <c r="K790" s="1" t="s">
        <v>453</v>
      </c>
      <c r="L790" s="1" t="s">
        <v>454</v>
      </c>
      <c r="M790" s="1" t="s">
        <v>496</v>
      </c>
      <c r="N790" s="1" t="s">
        <v>2745</v>
      </c>
      <c r="O790" s="1" t="s">
        <v>2746</v>
      </c>
      <c r="P790" s="1"/>
      <c r="Q790" s="1" t="s">
        <v>70</v>
      </c>
      <c r="Z790" s="1" t="s">
        <v>71</v>
      </c>
      <c r="AE790" s="1" t="s">
        <v>2731</v>
      </c>
      <c r="AH790" s="1" t="s">
        <v>73</v>
      </c>
      <c r="AK790" s="1" t="s">
        <v>71</v>
      </c>
      <c r="AM790" s="1" t="s">
        <v>71</v>
      </c>
      <c r="AN790" s="1" t="s">
        <v>71</v>
      </c>
      <c r="AS790" s="1" t="s">
        <v>71</v>
      </c>
      <c r="AX790" s="1" t="s">
        <v>71</v>
      </c>
      <c r="BH790" s="1" t="s">
        <v>71</v>
      </c>
    </row>
    <row r="791" customFormat="false" ht="15" hidden="false" customHeight="false" outlineLevel="0" collapsed="false">
      <c r="A791" s="1" t="s">
        <v>2747</v>
      </c>
      <c r="B791" s="1" t="s">
        <v>2748</v>
      </c>
      <c r="C791" s="1" t="s">
        <v>150</v>
      </c>
      <c r="D791" s="1" t="s">
        <v>405</v>
      </c>
      <c r="E791" s="1" t="s">
        <v>82</v>
      </c>
      <c r="F791" s="1" t="s">
        <v>391</v>
      </c>
      <c r="G791" s="1" t="s">
        <v>97</v>
      </c>
      <c r="H791" s="1" t="s">
        <v>406</v>
      </c>
      <c r="K791" s="1" t="s">
        <v>407</v>
      </c>
      <c r="L791" s="1" t="s">
        <v>408</v>
      </c>
      <c r="M791" s="1" t="s">
        <v>2225</v>
      </c>
      <c r="N791" s="1" t="s">
        <v>2749</v>
      </c>
      <c r="O791" s="1" t="s">
        <v>2750</v>
      </c>
      <c r="P791" s="1"/>
      <c r="Q791" s="1" t="s">
        <v>70</v>
      </c>
      <c r="Z791" s="1" t="s">
        <v>71</v>
      </c>
      <c r="AE791" s="1" t="s">
        <v>2731</v>
      </c>
      <c r="AH791" s="1" t="s">
        <v>73</v>
      </c>
      <c r="AK791" s="1" t="s">
        <v>71</v>
      </c>
      <c r="AM791" s="1" t="s">
        <v>71</v>
      </c>
      <c r="AN791" s="1" t="s">
        <v>71</v>
      </c>
      <c r="AS791" s="1" t="s">
        <v>71</v>
      </c>
      <c r="AX791" s="1" t="s">
        <v>71</v>
      </c>
      <c r="BH791" s="1" t="s">
        <v>71</v>
      </c>
    </row>
    <row r="792" customFormat="false" ht="15" hidden="false" customHeight="false" outlineLevel="0" collapsed="false">
      <c r="A792" s="1" t="s">
        <v>2751</v>
      </c>
      <c r="B792" s="1" t="s">
        <v>2752</v>
      </c>
      <c r="C792" s="1" t="s">
        <v>150</v>
      </c>
      <c r="D792" s="1" t="s">
        <v>405</v>
      </c>
      <c r="E792" s="1" t="s">
        <v>82</v>
      </c>
      <c r="F792" s="1" t="s">
        <v>391</v>
      </c>
      <c r="G792" s="1" t="s">
        <v>97</v>
      </c>
      <c r="H792" s="1" t="s">
        <v>406</v>
      </c>
      <c r="K792" s="1" t="s">
        <v>453</v>
      </c>
      <c r="L792" s="1" t="s">
        <v>454</v>
      </c>
      <c r="M792" s="1" t="s">
        <v>465</v>
      </c>
      <c r="N792" s="1" t="s">
        <v>2753</v>
      </c>
      <c r="O792" s="1" t="s">
        <v>400</v>
      </c>
      <c r="P792" s="1"/>
      <c r="Q792" s="1" t="s">
        <v>70</v>
      </c>
      <c r="Z792" s="1" t="s">
        <v>71</v>
      </c>
      <c r="AE792" s="1" t="s">
        <v>2731</v>
      </c>
      <c r="AH792" s="1" t="s">
        <v>73</v>
      </c>
      <c r="AK792" s="1" t="s">
        <v>71</v>
      </c>
      <c r="AM792" s="1" t="s">
        <v>71</v>
      </c>
      <c r="AN792" s="1" t="s">
        <v>71</v>
      </c>
      <c r="AS792" s="1" t="s">
        <v>71</v>
      </c>
      <c r="AX792" s="1" t="s">
        <v>71</v>
      </c>
      <c r="BH792" s="1" t="s">
        <v>71</v>
      </c>
    </row>
    <row r="793" customFormat="false" ht="15" hidden="false" customHeight="false" outlineLevel="0" collapsed="false">
      <c r="A793" s="1" t="s">
        <v>2754</v>
      </c>
      <c r="B793" s="1" t="s">
        <v>2755</v>
      </c>
      <c r="C793" s="1" t="s">
        <v>150</v>
      </c>
      <c r="D793" s="1" t="s">
        <v>405</v>
      </c>
      <c r="E793" s="1" t="s">
        <v>82</v>
      </c>
      <c r="F793" s="1" t="s">
        <v>391</v>
      </c>
      <c r="G793" s="1" t="s">
        <v>97</v>
      </c>
      <c r="H793" s="1" t="s">
        <v>406</v>
      </c>
      <c r="K793" s="1" t="s">
        <v>453</v>
      </c>
      <c r="L793" s="1" t="s">
        <v>454</v>
      </c>
      <c r="M793" s="1" t="s">
        <v>465</v>
      </c>
      <c r="N793" s="1" t="s">
        <v>416</v>
      </c>
      <c r="O793" s="1" t="s">
        <v>417</v>
      </c>
      <c r="P793" s="1"/>
      <c r="Q793" s="1" t="s">
        <v>70</v>
      </c>
      <c r="Z793" s="1" t="s">
        <v>71</v>
      </c>
      <c r="AE793" s="1" t="s">
        <v>2731</v>
      </c>
      <c r="AH793" s="1" t="s">
        <v>73</v>
      </c>
      <c r="AK793" s="1" t="s">
        <v>71</v>
      </c>
      <c r="AM793" s="1" t="s">
        <v>71</v>
      </c>
      <c r="AN793" s="1" t="s">
        <v>71</v>
      </c>
      <c r="AS793" s="1" t="s">
        <v>71</v>
      </c>
      <c r="AX793" s="1" t="s">
        <v>71</v>
      </c>
      <c r="BH793" s="1" t="s">
        <v>71</v>
      </c>
    </row>
    <row r="794" customFormat="false" ht="15" hidden="false" customHeight="false" outlineLevel="0" collapsed="false">
      <c r="A794" s="1" t="s">
        <v>2756</v>
      </c>
      <c r="B794" s="1" t="s">
        <v>2757</v>
      </c>
      <c r="C794" s="1" t="s">
        <v>150</v>
      </c>
      <c r="D794" s="1" t="s">
        <v>405</v>
      </c>
      <c r="E794" s="1" t="s">
        <v>82</v>
      </c>
      <c r="F794" s="1" t="s">
        <v>391</v>
      </c>
      <c r="G794" s="1" t="s">
        <v>97</v>
      </c>
      <c r="H794" s="1" t="s">
        <v>406</v>
      </c>
      <c r="K794" s="1" t="s">
        <v>453</v>
      </c>
      <c r="L794" s="1" t="s">
        <v>454</v>
      </c>
      <c r="M794" s="1" t="s">
        <v>496</v>
      </c>
      <c r="N794" s="1" t="s">
        <v>2758</v>
      </c>
      <c r="O794" s="1" t="s">
        <v>400</v>
      </c>
      <c r="P794" s="1"/>
      <c r="Q794" s="1" t="s">
        <v>70</v>
      </c>
      <c r="Z794" s="1" t="s">
        <v>71</v>
      </c>
      <c r="AE794" s="1" t="s">
        <v>2731</v>
      </c>
      <c r="AH794" s="1" t="s">
        <v>73</v>
      </c>
      <c r="AK794" s="1" t="s">
        <v>71</v>
      </c>
      <c r="AM794" s="1" t="s">
        <v>71</v>
      </c>
      <c r="AN794" s="1" t="s">
        <v>71</v>
      </c>
      <c r="AS794" s="1" t="s">
        <v>71</v>
      </c>
      <c r="AX794" s="1" t="s">
        <v>71</v>
      </c>
      <c r="BH794" s="1" t="s">
        <v>71</v>
      </c>
    </row>
    <row r="795" customFormat="false" ht="15" hidden="false" customHeight="false" outlineLevel="0" collapsed="false">
      <c r="A795" s="1" t="s">
        <v>2759</v>
      </c>
      <c r="B795" s="1" t="s">
        <v>2760</v>
      </c>
      <c r="C795" s="1" t="s">
        <v>150</v>
      </c>
      <c r="D795" s="1" t="s">
        <v>405</v>
      </c>
      <c r="E795" s="1" t="s">
        <v>82</v>
      </c>
      <c r="F795" s="1" t="s">
        <v>391</v>
      </c>
      <c r="G795" s="1" t="s">
        <v>97</v>
      </c>
      <c r="H795" s="1" t="s">
        <v>406</v>
      </c>
      <c r="K795" s="1" t="s">
        <v>453</v>
      </c>
      <c r="L795" s="1" t="s">
        <v>454</v>
      </c>
      <c r="M795" s="1" t="s">
        <v>550</v>
      </c>
      <c r="N795" s="1" t="s">
        <v>2761</v>
      </c>
      <c r="O795" s="1" t="s">
        <v>400</v>
      </c>
      <c r="P795" s="1"/>
      <c r="Q795" s="1" t="s">
        <v>70</v>
      </c>
      <c r="Z795" s="1" t="s">
        <v>71</v>
      </c>
      <c r="AE795" s="1" t="s">
        <v>2731</v>
      </c>
      <c r="AH795" s="1" t="s">
        <v>73</v>
      </c>
      <c r="AK795" s="1" t="s">
        <v>71</v>
      </c>
      <c r="AM795" s="1" t="s">
        <v>71</v>
      </c>
      <c r="AN795" s="1" t="s">
        <v>71</v>
      </c>
      <c r="AS795" s="1" t="s">
        <v>71</v>
      </c>
      <c r="AX795" s="1" t="s">
        <v>71</v>
      </c>
      <c r="BH795" s="1" t="s">
        <v>71</v>
      </c>
    </row>
    <row r="796" customFormat="false" ht="15" hidden="false" customHeight="false" outlineLevel="0" collapsed="false">
      <c r="A796" s="1" t="s">
        <v>2762</v>
      </c>
      <c r="B796" s="1" t="s">
        <v>2763</v>
      </c>
      <c r="C796" s="1" t="s">
        <v>821</v>
      </c>
      <c r="D796" s="1" t="s">
        <v>2626</v>
      </c>
      <c r="E796" s="1" t="s">
        <v>82</v>
      </c>
      <c r="F796" s="1" t="s">
        <v>391</v>
      </c>
      <c r="G796" s="1" t="s">
        <v>443</v>
      </c>
      <c r="H796" s="1" t="s">
        <v>444</v>
      </c>
      <c r="K796" s="1" t="s">
        <v>618</v>
      </c>
      <c r="L796" s="1" t="s">
        <v>619</v>
      </c>
      <c r="M796" s="1" t="s">
        <v>496</v>
      </c>
      <c r="N796" s="1" t="s">
        <v>2334</v>
      </c>
      <c r="O796" s="1" t="s">
        <v>2335</v>
      </c>
      <c r="P796" s="1"/>
      <c r="Q796" s="1" t="s">
        <v>70</v>
      </c>
      <c r="Z796" s="1" t="s">
        <v>71</v>
      </c>
      <c r="AE796" s="1" t="s">
        <v>2731</v>
      </c>
      <c r="AH796" s="1" t="s">
        <v>73</v>
      </c>
      <c r="AK796" s="1" t="s">
        <v>71</v>
      </c>
      <c r="AM796" s="1" t="s">
        <v>71</v>
      </c>
      <c r="AN796" s="1" t="s">
        <v>71</v>
      </c>
      <c r="AS796" s="1" t="s">
        <v>71</v>
      </c>
      <c r="AX796" s="1" t="s">
        <v>71</v>
      </c>
      <c r="BH796" s="1" t="s">
        <v>71</v>
      </c>
    </row>
    <row r="797" customFormat="false" ht="15" hidden="false" customHeight="false" outlineLevel="0" collapsed="false">
      <c r="A797" s="1" t="s">
        <v>2764</v>
      </c>
      <c r="B797" s="1" t="s">
        <v>2765</v>
      </c>
      <c r="C797" s="1" t="s">
        <v>1399</v>
      </c>
      <c r="D797" s="1" t="s">
        <v>1400</v>
      </c>
      <c r="E797" s="1" t="s">
        <v>82</v>
      </c>
      <c r="F797" s="1" t="s">
        <v>391</v>
      </c>
      <c r="G797" s="1" t="s">
        <v>1356</v>
      </c>
      <c r="H797" s="1" t="s">
        <v>1825</v>
      </c>
      <c r="K797" s="1" t="s">
        <v>706</v>
      </c>
      <c r="L797" s="1" t="s">
        <v>1918</v>
      </c>
      <c r="M797" s="1" t="s">
        <v>496</v>
      </c>
      <c r="N797" s="1" t="s">
        <v>2450</v>
      </c>
      <c r="O797" s="1" t="s">
        <v>447</v>
      </c>
      <c r="P797" s="1"/>
      <c r="Q797" s="1" t="s">
        <v>70</v>
      </c>
      <c r="Z797" s="1" t="s">
        <v>71</v>
      </c>
      <c r="AE797" s="1" t="s">
        <v>2731</v>
      </c>
      <c r="AH797" s="1" t="s">
        <v>73</v>
      </c>
      <c r="AK797" s="1" t="s">
        <v>71</v>
      </c>
      <c r="AM797" s="1" t="s">
        <v>71</v>
      </c>
      <c r="AN797" s="1" t="s">
        <v>71</v>
      </c>
      <c r="AS797" s="1" t="s">
        <v>71</v>
      </c>
      <c r="AX797" s="1" t="s">
        <v>71</v>
      </c>
      <c r="BH797" s="1" t="s">
        <v>71</v>
      </c>
    </row>
    <row r="798" customFormat="false" ht="15" hidden="false" customHeight="false" outlineLevel="0" collapsed="false">
      <c r="A798" s="1" t="s">
        <v>2766</v>
      </c>
      <c r="B798" s="1" t="s">
        <v>2767</v>
      </c>
      <c r="C798" s="1" t="s">
        <v>834</v>
      </c>
      <c r="D798" s="1" t="s">
        <v>2721</v>
      </c>
      <c r="E798" s="1" t="s">
        <v>82</v>
      </c>
      <c r="F798" s="1" t="s">
        <v>391</v>
      </c>
      <c r="G798" s="1" t="s">
        <v>443</v>
      </c>
      <c r="H798" s="1" t="s">
        <v>444</v>
      </c>
      <c r="K798" s="1" t="s">
        <v>618</v>
      </c>
      <c r="L798" s="1" t="s">
        <v>619</v>
      </c>
      <c r="M798" s="1" t="s">
        <v>496</v>
      </c>
      <c r="N798" s="1" t="s">
        <v>2562</v>
      </c>
      <c r="O798" s="1" t="s">
        <v>2563</v>
      </c>
      <c r="P798" s="1"/>
      <c r="Q798" s="1" t="s">
        <v>70</v>
      </c>
      <c r="U798" s="1" t="s">
        <v>2766</v>
      </c>
      <c r="Z798" s="1" t="s">
        <v>71</v>
      </c>
      <c r="AE798" s="1" t="s">
        <v>2731</v>
      </c>
      <c r="AH798" s="1" t="s">
        <v>73</v>
      </c>
      <c r="AK798" s="1" t="s">
        <v>71</v>
      </c>
      <c r="AM798" s="1" t="s">
        <v>71</v>
      </c>
      <c r="AN798" s="1" t="s">
        <v>71</v>
      </c>
      <c r="AS798" s="1" t="s">
        <v>71</v>
      </c>
      <c r="AX798" s="1" t="s">
        <v>71</v>
      </c>
      <c r="BH798" s="1" t="s">
        <v>71</v>
      </c>
    </row>
    <row r="799" customFormat="false" ht="15" hidden="false" customHeight="false" outlineLevel="0" collapsed="false">
      <c r="A799" s="1" t="s">
        <v>2768</v>
      </c>
      <c r="B799" s="1" t="s">
        <v>2769</v>
      </c>
      <c r="C799" s="1" t="s">
        <v>834</v>
      </c>
      <c r="D799" s="1" t="s">
        <v>2721</v>
      </c>
      <c r="E799" s="1" t="s">
        <v>82</v>
      </c>
      <c r="F799" s="1" t="s">
        <v>391</v>
      </c>
      <c r="G799" s="1" t="s">
        <v>443</v>
      </c>
      <c r="H799" s="1" t="s">
        <v>444</v>
      </c>
      <c r="K799" s="1" t="s">
        <v>618</v>
      </c>
      <c r="L799" s="1" t="s">
        <v>619</v>
      </c>
      <c r="M799" s="1" t="s">
        <v>496</v>
      </c>
      <c r="N799" s="1" t="s">
        <v>842</v>
      </c>
      <c r="O799" s="1" t="s">
        <v>400</v>
      </c>
      <c r="P799" s="1"/>
      <c r="Q799" s="1" t="s">
        <v>70</v>
      </c>
      <c r="Z799" s="1" t="s">
        <v>71</v>
      </c>
      <c r="AE799" s="1" t="s">
        <v>2731</v>
      </c>
      <c r="AH799" s="1" t="s">
        <v>73</v>
      </c>
      <c r="AK799" s="1" t="s">
        <v>71</v>
      </c>
      <c r="AM799" s="1" t="s">
        <v>71</v>
      </c>
      <c r="AN799" s="1" t="s">
        <v>71</v>
      </c>
      <c r="AS799" s="1" t="s">
        <v>71</v>
      </c>
      <c r="AX799" s="1" t="s">
        <v>71</v>
      </c>
      <c r="BH799" s="1" t="s">
        <v>71</v>
      </c>
    </row>
    <row r="800" customFormat="false" ht="15" hidden="false" customHeight="false" outlineLevel="0" collapsed="false">
      <c r="A800" s="1" t="s">
        <v>2770</v>
      </c>
      <c r="B800" s="1" t="s">
        <v>2771</v>
      </c>
      <c r="C800" s="1" t="s">
        <v>834</v>
      </c>
      <c r="D800" s="1" t="s">
        <v>2721</v>
      </c>
      <c r="E800" s="1" t="s">
        <v>82</v>
      </c>
      <c r="F800" s="1" t="s">
        <v>391</v>
      </c>
      <c r="G800" s="1" t="s">
        <v>443</v>
      </c>
      <c r="H800" s="1" t="s">
        <v>444</v>
      </c>
      <c r="K800" s="1" t="s">
        <v>618</v>
      </c>
      <c r="L800" s="1" t="s">
        <v>619</v>
      </c>
      <c r="M800" s="1" t="s">
        <v>496</v>
      </c>
      <c r="N800" s="1" t="s">
        <v>842</v>
      </c>
      <c r="O800" s="1" t="s">
        <v>400</v>
      </c>
      <c r="P800" s="1"/>
      <c r="Q800" s="1" t="s">
        <v>70</v>
      </c>
      <c r="Z800" s="1" t="s">
        <v>71</v>
      </c>
      <c r="AE800" s="1" t="s">
        <v>2731</v>
      </c>
      <c r="AH800" s="1" t="s">
        <v>73</v>
      </c>
      <c r="AK800" s="1" t="s">
        <v>71</v>
      </c>
      <c r="AM800" s="1" t="s">
        <v>71</v>
      </c>
      <c r="AN800" s="1" t="s">
        <v>71</v>
      </c>
      <c r="AS800" s="1" t="s">
        <v>71</v>
      </c>
      <c r="AX800" s="1" t="s">
        <v>71</v>
      </c>
      <c r="BH800" s="1" t="s">
        <v>71</v>
      </c>
    </row>
    <row r="801" customFormat="false" ht="15" hidden="false" customHeight="false" outlineLevel="0" collapsed="false">
      <c r="A801" s="1" t="s">
        <v>1031</v>
      </c>
      <c r="B801" s="1" t="s">
        <v>2772</v>
      </c>
      <c r="C801" s="1" t="s">
        <v>834</v>
      </c>
      <c r="D801" s="1" t="s">
        <v>2721</v>
      </c>
      <c r="E801" s="1" t="s">
        <v>82</v>
      </c>
      <c r="F801" s="1" t="s">
        <v>391</v>
      </c>
      <c r="G801" s="1" t="s">
        <v>443</v>
      </c>
      <c r="H801" s="1" t="s">
        <v>444</v>
      </c>
      <c r="K801" s="1" t="s">
        <v>618</v>
      </c>
      <c r="L801" s="1" t="s">
        <v>619</v>
      </c>
      <c r="M801" s="1" t="s">
        <v>496</v>
      </c>
      <c r="N801" s="1" t="s">
        <v>842</v>
      </c>
      <c r="O801" s="1" t="s">
        <v>400</v>
      </c>
      <c r="P801" s="1"/>
      <c r="Q801" s="1" t="s">
        <v>70</v>
      </c>
      <c r="Z801" s="1" t="s">
        <v>71</v>
      </c>
      <c r="AE801" s="1" t="s">
        <v>2731</v>
      </c>
      <c r="AH801" s="1" t="s">
        <v>73</v>
      </c>
      <c r="AK801" s="1" t="s">
        <v>71</v>
      </c>
      <c r="AM801" s="1" t="s">
        <v>71</v>
      </c>
      <c r="AN801" s="1" t="s">
        <v>71</v>
      </c>
      <c r="AS801" s="1" t="s">
        <v>71</v>
      </c>
      <c r="AX801" s="1" t="s">
        <v>71</v>
      </c>
      <c r="BH801" s="1" t="s">
        <v>71</v>
      </c>
    </row>
    <row r="802" customFormat="false" ht="15" hidden="false" customHeight="false" outlineLevel="0" collapsed="false">
      <c r="A802" s="1" t="s">
        <v>2773</v>
      </c>
      <c r="B802" s="1" t="s">
        <v>2774</v>
      </c>
      <c r="C802" s="1" t="s">
        <v>834</v>
      </c>
      <c r="D802" s="1" t="s">
        <v>2721</v>
      </c>
      <c r="E802" s="1" t="s">
        <v>82</v>
      </c>
      <c r="F802" s="1" t="s">
        <v>391</v>
      </c>
      <c r="G802" s="1" t="s">
        <v>443</v>
      </c>
      <c r="H802" s="1" t="s">
        <v>444</v>
      </c>
      <c r="K802" s="1" t="s">
        <v>618</v>
      </c>
      <c r="L802" s="1" t="s">
        <v>619</v>
      </c>
      <c r="M802" s="1" t="s">
        <v>496</v>
      </c>
      <c r="N802" s="1" t="s">
        <v>842</v>
      </c>
      <c r="O802" s="1" t="s">
        <v>400</v>
      </c>
      <c r="P802" s="1"/>
      <c r="Q802" s="1" t="s">
        <v>70</v>
      </c>
      <c r="Z802" s="1" t="s">
        <v>71</v>
      </c>
      <c r="AE802" s="1" t="s">
        <v>2731</v>
      </c>
      <c r="AH802" s="1" t="s">
        <v>73</v>
      </c>
      <c r="AK802" s="1" t="s">
        <v>71</v>
      </c>
      <c r="AM802" s="1" t="s">
        <v>71</v>
      </c>
      <c r="AN802" s="1" t="s">
        <v>71</v>
      </c>
      <c r="AS802" s="1" t="s">
        <v>71</v>
      </c>
      <c r="AX802" s="1" t="s">
        <v>71</v>
      </c>
      <c r="BH802" s="1" t="s">
        <v>71</v>
      </c>
    </row>
    <row r="803" customFormat="false" ht="15" hidden="false" customHeight="false" outlineLevel="0" collapsed="false">
      <c r="A803" s="1" t="s">
        <v>2775</v>
      </c>
      <c r="B803" s="1" t="s">
        <v>2776</v>
      </c>
      <c r="C803" s="1" t="s">
        <v>834</v>
      </c>
      <c r="D803" s="1" t="s">
        <v>2721</v>
      </c>
      <c r="E803" s="1" t="s">
        <v>82</v>
      </c>
      <c r="F803" s="1" t="s">
        <v>391</v>
      </c>
      <c r="G803" s="1" t="s">
        <v>443</v>
      </c>
      <c r="H803" s="1" t="s">
        <v>444</v>
      </c>
      <c r="K803" s="1" t="s">
        <v>618</v>
      </c>
      <c r="L803" s="1" t="s">
        <v>619</v>
      </c>
      <c r="M803" s="1" t="s">
        <v>496</v>
      </c>
      <c r="N803" s="1" t="s">
        <v>842</v>
      </c>
      <c r="O803" s="1" t="s">
        <v>400</v>
      </c>
      <c r="P803" s="1"/>
      <c r="Q803" s="1" t="s">
        <v>70</v>
      </c>
      <c r="Z803" s="1" t="s">
        <v>71</v>
      </c>
      <c r="AE803" s="1" t="s">
        <v>2731</v>
      </c>
      <c r="AH803" s="1" t="s">
        <v>73</v>
      </c>
      <c r="AK803" s="1" t="s">
        <v>71</v>
      </c>
      <c r="AM803" s="1" t="s">
        <v>71</v>
      </c>
      <c r="AN803" s="1" t="s">
        <v>71</v>
      </c>
      <c r="AS803" s="1" t="s">
        <v>71</v>
      </c>
      <c r="AX803" s="1" t="s">
        <v>71</v>
      </c>
      <c r="BH803" s="1" t="s">
        <v>71</v>
      </c>
    </row>
    <row r="804" customFormat="false" ht="15" hidden="false" customHeight="false" outlineLevel="0" collapsed="false">
      <c r="A804" s="1" t="s">
        <v>2777</v>
      </c>
      <c r="B804" s="1" t="s">
        <v>2778</v>
      </c>
      <c r="C804" s="1" t="s">
        <v>834</v>
      </c>
      <c r="D804" s="1" t="s">
        <v>2721</v>
      </c>
      <c r="E804" s="1" t="s">
        <v>82</v>
      </c>
      <c r="F804" s="1" t="s">
        <v>391</v>
      </c>
      <c r="G804" s="1" t="s">
        <v>443</v>
      </c>
      <c r="H804" s="1" t="s">
        <v>444</v>
      </c>
      <c r="K804" s="1" t="s">
        <v>618</v>
      </c>
      <c r="L804" s="1" t="s">
        <v>619</v>
      </c>
      <c r="M804" s="1" t="s">
        <v>496</v>
      </c>
      <c r="N804" s="1" t="s">
        <v>779</v>
      </c>
      <c r="O804" s="1" t="s">
        <v>400</v>
      </c>
      <c r="P804" s="1"/>
      <c r="Q804" s="1" t="s">
        <v>70</v>
      </c>
      <c r="Z804" s="1" t="s">
        <v>71</v>
      </c>
      <c r="AE804" s="1" t="s">
        <v>2779</v>
      </c>
      <c r="AH804" s="1" t="s">
        <v>73</v>
      </c>
      <c r="AK804" s="1" t="s">
        <v>71</v>
      </c>
      <c r="AM804" s="1" t="s">
        <v>71</v>
      </c>
      <c r="AN804" s="1" t="s">
        <v>71</v>
      </c>
      <c r="AS804" s="1" t="s">
        <v>71</v>
      </c>
      <c r="AX804" s="1" t="s">
        <v>71</v>
      </c>
      <c r="BH804" s="1" t="s">
        <v>71</v>
      </c>
    </row>
    <row r="805" customFormat="false" ht="15" hidden="false" customHeight="false" outlineLevel="0" collapsed="false">
      <c r="A805" s="1" t="s">
        <v>2780</v>
      </c>
      <c r="B805" s="1" t="s">
        <v>2781</v>
      </c>
      <c r="C805" s="1" t="s">
        <v>834</v>
      </c>
      <c r="D805" s="1" t="s">
        <v>2721</v>
      </c>
      <c r="E805" s="1" t="s">
        <v>82</v>
      </c>
      <c r="F805" s="1" t="s">
        <v>391</v>
      </c>
      <c r="G805" s="1" t="s">
        <v>443</v>
      </c>
      <c r="H805" s="1" t="s">
        <v>444</v>
      </c>
      <c r="K805" s="1" t="s">
        <v>618</v>
      </c>
      <c r="L805" s="1" t="s">
        <v>619</v>
      </c>
      <c r="M805" s="1" t="s">
        <v>496</v>
      </c>
      <c r="N805" s="1" t="s">
        <v>2782</v>
      </c>
      <c r="O805" s="1" t="s">
        <v>2783</v>
      </c>
      <c r="P805" s="1"/>
      <c r="Q805" s="1" t="s">
        <v>70</v>
      </c>
      <c r="Z805" s="1" t="s">
        <v>71</v>
      </c>
      <c r="AE805" s="1" t="s">
        <v>2779</v>
      </c>
      <c r="AH805" s="1" t="s">
        <v>73</v>
      </c>
      <c r="AK805" s="1" t="s">
        <v>71</v>
      </c>
      <c r="AM805" s="1" t="s">
        <v>71</v>
      </c>
      <c r="AN805" s="1" t="s">
        <v>71</v>
      </c>
      <c r="AS805" s="1" t="s">
        <v>71</v>
      </c>
      <c r="AX805" s="1" t="s">
        <v>71</v>
      </c>
      <c r="BH805" s="1" t="s">
        <v>71</v>
      </c>
    </row>
    <row r="806" customFormat="false" ht="15" hidden="false" customHeight="false" outlineLevel="0" collapsed="false">
      <c r="A806" s="1" t="s">
        <v>2784</v>
      </c>
      <c r="B806" s="1" t="s">
        <v>2785</v>
      </c>
      <c r="C806" s="1" t="s">
        <v>834</v>
      </c>
      <c r="D806" s="1" t="s">
        <v>2721</v>
      </c>
      <c r="E806" s="1" t="s">
        <v>82</v>
      </c>
      <c r="F806" s="1" t="s">
        <v>391</v>
      </c>
      <c r="G806" s="1" t="s">
        <v>443</v>
      </c>
      <c r="H806" s="1" t="s">
        <v>444</v>
      </c>
      <c r="K806" s="1" t="s">
        <v>618</v>
      </c>
      <c r="L806" s="1" t="s">
        <v>619</v>
      </c>
      <c r="M806" s="1" t="s">
        <v>496</v>
      </c>
      <c r="N806" s="1" t="s">
        <v>2786</v>
      </c>
      <c r="O806" s="1" t="s">
        <v>2787</v>
      </c>
      <c r="P806" s="1"/>
      <c r="Q806" s="1" t="s">
        <v>70</v>
      </c>
      <c r="Z806" s="1" t="s">
        <v>71</v>
      </c>
      <c r="AE806" s="1" t="s">
        <v>2779</v>
      </c>
      <c r="AH806" s="1" t="s">
        <v>73</v>
      </c>
      <c r="AK806" s="1" t="s">
        <v>71</v>
      </c>
      <c r="AM806" s="1" t="s">
        <v>71</v>
      </c>
      <c r="AN806" s="1" t="s">
        <v>71</v>
      </c>
      <c r="AS806" s="1" t="s">
        <v>71</v>
      </c>
      <c r="AX806" s="1" t="s">
        <v>71</v>
      </c>
      <c r="BH806" s="1" t="s">
        <v>71</v>
      </c>
    </row>
    <row r="807" customFormat="false" ht="15" hidden="false" customHeight="false" outlineLevel="0" collapsed="false">
      <c r="A807" s="1" t="s">
        <v>2788</v>
      </c>
      <c r="B807" s="1" t="s">
        <v>2789</v>
      </c>
      <c r="C807" s="1" t="s">
        <v>834</v>
      </c>
      <c r="D807" s="1" t="s">
        <v>2721</v>
      </c>
      <c r="E807" s="1" t="s">
        <v>82</v>
      </c>
      <c r="F807" s="1" t="s">
        <v>391</v>
      </c>
      <c r="G807" s="1" t="s">
        <v>443</v>
      </c>
      <c r="H807" s="1" t="s">
        <v>444</v>
      </c>
      <c r="K807" s="1" t="s">
        <v>618</v>
      </c>
      <c r="L807" s="1" t="s">
        <v>619</v>
      </c>
      <c r="M807" s="1" t="s">
        <v>496</v>
      </c>
      <c r="N807" s="1" t="s">
        <v>842</v>
      </c>
      <c r="O807" s="1" t="s">
        <v>400</v>
      </c>
      <c r="P807" s="1"/>
      <c r="Q807" s="1" t="s">
        <v>70</v>
      </c>
      <c r="Z807" s="1" t="s">
        <v>71</v>
      </c>
      <c r="AE807" s="1" t="s">
        <v>2779</v>
      </c>
      <c r="AH807" s="1" t="s">
        <v>73</v>
      </c>
      <c r="AK807" s="1" t="s">
        <v>71</v>
      </c>
      <c r="AM807" s="1" t="s">
        <v>71</v>
      </c>
      <c r="AN807" s="1" t="s">
        <v>71</v>
      </c>
      <c r="AS807" s="1" t="s">
        <v>71</v>
      </c>
      <c r="AX807" s="1" t="s">
        <v>71</v>
      </c>
      <c r="BH807" s="1" t="s">
        <v>71</v>
      </c>
    </row>
    <row r="808" customFormat="false" ht="15" hidden="false" customHeight="false" outlineLevel="0" collapsed="false">
      <c r="A808" s="1" t="s">
        <v>2790</v>
      </c>
      <c r="B808" s="1" t="s">
        <v>2791</v>
      </c>
      <c r="C808" s="1" t="s">
        <v>834</v>
      </c>
      <c r="D808" s="1" t="s">
        <v>2721</v>
      </c>
      <c r="E808" s="1" t="s">
        <v>82</v>
      </c>
      <c r="F808" s="1" t="s">
        <v>391</v>
      </c>
      <c r="G808" s="1" t="s">
        <v>443</v>
      </c>
      <c r="H808" s="1" t="s">
        <v>444</v>
      </c>
      <c r="K808" s="1" t="s">
        <v>618</v>
      </c>
      <c r="L808" s="1" t="s">
        <v>619</v>
      </c>
      <c r="M808" s="1" t="s">
        <v>496</v>
      </c>
      <c r="N808" s="1" t="s">
        <v>842</v>
      </c>
      <c r="O808" s="1" t="s">
        <v>400</v>
      </c>
      <c r="P808" s="1"/>
      <c r="Q808" s="1" t="s">
        <v>70</v>
      </c>
      <c r="Z808" s="1" t="s">
        <v>71</v>
      </c>
      <c r="AE808" s="1" t="s">
        <v>2779</v>
      </c>
      <c r="AH808" s="1" t="s">
        <v>73</v>
      </c>
      <c r="AK808" s="1" t="s">
        <v>71</v>
      </c>
      <c r="AM808" s="1" t="s">
        <v>71</v>
      </c>
      <c r="AN808" s="1" t="s">
        <v>71</v>
      </c>
      <c r="AS808" s="1" t="s">
        <v>71</v>
      </c>
      <c r="AX808" s="1" t="s">
        <v>71</v>
      </c>
      <c r="BH808" s="1" t="s">
        <v>71</v>
      </c>
    </row>
    <row r="809" customFormat="false" ht="15" hidden="false" customHeight="false" outlineLevel="0" collapsed="false">
      <c r="A809" s="1" t="s">
        <v>2792</v>
      </c>
      <c r="B809" s="1" t="s">
        <v>2793</v>
      </c>
      <c r="C809" s="1" t="s">
        <v>834</v>
      </c>
      <c r="D809" s="1" t="s">
        <v>2721</v>
      </c>
      <c r="E809" s="1" t="s">
        <v>82</v>
      </c>
      <c r="F809" s="1" t="s">
        <v>391</v>
      </c>
      <c r="G809" s="1" t="s">
        <v>443</v>
      </c>
      <c r="H809" s="1" t="s">
        <v>444</v>
      </c>
      <c r="K809" s="1" t="s">
        <v>618</v>
      </c>
      <c r="L809" s="1" t="s">
        <v>619</v>
      </c>
      <c r="M809" s="1" t="s">
        <v>496</v>
      </c>
      <c r="N809" s="1" t="s">
        <v>842</v>
      </c>
      <c r="O809" s="1" t="s">
        <v>400</v>
      </c>
      <c r="P809" s="1"/>
      <c r="Q809" s="1" t="s">
        <v>70</v>
      </c>
      <c r="Z809" s="1" t="s">
        <v>71</v>
      </c>
      <c r="AE809" s="1" t="s">
        <v>2779</v>
      </c>
      <c r="AH809" s="1" t="s">
        <v>73</v>
      </c>
      <c r="AK809" s="1" t="s">
        <v>71</v>
      </c>
      <c r="AM809" s="1" t="s">
        <v>71</v>
      </c>
      <c r="AN809" s="1" t="s">
        <v>71</v>
      </c>
      <c r="AS809" s="1" t="s">
        <v>71</v>
      </c>
      <c r="AX809" s="1" t="s">
        <v>71</v>
      </c>
      <c r="BH809" s="1" t="s">
        <v>71</v>
      </c>
    </row>
    <row r="810" customFormat="false" ht="15" hidden="false" customHeight="false" outlineLevel="0" collapsed="false">
      <c r="A810" s="1" t="s">
        <v>2794</v>
      </c>
      <c r="B810" s="1" t="s">
        <v>2795</v>
      </c>
      <c r="C810" s="1" t="s">
        <v>769</v>
      </c>
      <c r="D810" s="1" t="s">
        <v>390</v>
      </c>
      <c r="E810" s="1" t="s">
        <v>82</v>
      </c>
      <c r="F810" s="1" t="s">
        <v>391</v>
      </c>
      <c r="G810" s="1" t="s">
        <v>182</v>
      </c>
      <c r="H810" s="1" t="s">
        <v>392</v>
      </c>
      <c r="K810" s="1" t="s">
        <v>65</v>
      </c>
      <c r="L810" s="1" t="s">
        <v>517</v>
      </c>
      <c r="M810" s="1" t="s">
        <v>496</v>
      </c>
      <c r="N810" s="1" t="s">
        <v>2796</v>
      </c>
      <c r="O810" s="1" t="s">
        <v>2797</v>
      </c>
      <c r="P810" s="1"/>
      <c r="Q810" s="1" t="s">
        <v>70</v>
      </c>
      <c r="Z810" s="1" t="s">
        <v>71</v>
      </c>
      <c r="AE810" s="1" t="s">
        <v>2779</v>
      </c>
      <c r="AH810" s="1" t="s">
        <v>73</v>
      </c>
      <c r="AK810" s="1" t="s">
        <v>71</v>
      </c>
      <c r="AM810" s="1" t="s">
        <v>71</v>
      </c>
      <c r="AN810" s="1" t="s">
        <v>71</v>
      </c>
      <c r="AS810" s="1" t="s">
        <v>71</v>
      </c>
      <c r="AX810" s="1" t="s">
        <v>71</v>
      </c>
      <c r="BH810" s="1" t="s">
        <v>71</v>
      </c>
    </row>
    <row r="811" customFormat="false" ht="15" hidden="false" customHeight="false" outlineLevel="0" collapsed="false">
      <c r="A811" s="1" t="s">
        <v>2798</v>
      </c>
      <c r="B811" s="1" t="s">
        <v>2799</v>
      </c>
      <c r="C811" s="1" t="s">
        <v>769</v>
      </c>
      <c r="D811" s="1" t="s">
        <v>390</v>
      </c>
      <c r="E811" s="1" t="s">
        <v>82</v>
      </c>
      <c r="F811" s="1" t="s">
        <v>391</v>
      </c>
      <c r="G811" s="1" t="s">
        <v>182</v>
      </c>
      <c r="H811" s="1" t="s">
        <v>392</v>
      </c>
      <c r="K811" s="1" t="s">
        <v>65</v>
      </c>
      <c r="L811" s="1" t="s">
        <v>517</v>
      </c>
      <c r="M811" s="1" t="s">
        <v>496</v>
      </c>
      <c r="N811" s="1" t="s">
        <v>2796</v>
      </c>
      <c r="O811" s="1" t="s">
        <v>2797</v>
      </c>
      <c r="P811" s="1"/>
      <c r="Q811" s="1" t="s">
        <v>70</v>
      </c>
      <c r="Z811" s="1" t="s">
        <v>71</v>
      </c>
      <c r="AE811" s="1" t="s">
        <v>2779</v>
      </c>
      <c r="AH811" s="1" t="s">
        <v>73</v>
      </c>
      <c r="AK811" s="1" t="s">
        <v>71</v>
      </c>
      <c r="AM811" s="1" t="s">
        <v>71</v>
      </c>
      <c r="AN811" s="1" t="s">
        <v>71</v>
      </c>
      <c r="AS811" s="1" t="s">
        <v>71</v>
      </c>
      <c r="AX811" s="1" t="s">
        <v>71</v>
      </c>
      <c r="BH811" s="1" t="s">
        <v>71</v>
      </c>
    </row>
    <row r="812" customFormat="false" ht="15" hidden="false" customHeight="false" outlineLevel="0" collapsed="false">
      <c r="A812" s="1" t="s">
        <v>2800</v>
      </c>
      <c r="B812" s="1" t="s">
        <v>2801</v>
      </c>
      <c r="C812" s="1" t="s">
        <v>769</v>
      </c>
      <c r="D812" s="1" t="s">
        <v>390</v>
      </c>
      <c r="E812" s="1" t="s">
        <v>82</v>
      </c>
      <c r="F812" s="1" t="s">
        <v>391</v>
      </c>
      <c r="G812" s="1" t="s">
        <v>182</v>
      </c>
      <c r="H812" s="1" t="s">
        <v>392</v>
      </c>
      <c r="K812" s="1" t="s">
        <v>65</v>
      </c>
      <c r="L812" s="1" t="s">
        <v>517</v>
      </c>
      <c r="M812" s="1" t="s">
        <v>1716</v>
      </c>
      <c r="N812" s="1" t="s">
        <v>994</v>
      </c>
      <c r="O812" s="1" t="s">
        <v>995</v>
      </c>
      <c r="P812" s="1"/>
      <c r="Q812" s="1" t="s">
        <v>70</v>
      </c>
      <c r="Z812" s="1" t="s">
        <v>71</v>
      </c>
      <c r="AE812" s="1" t="s">
        <v>2802</v>
      </c>
      <c r="AH812" s="1" t="s">
        <v>73</v>
      </c>
      <c r="AK812" s="1" t="s">
        <v>71</v>
      </c>
      <c r="AM812" s="1" t="s">
        <v>71</v>
      </c>
      <c r="AN812" s="1" t="s">
        <v>71</v>
      </c>
      <c r="AS812" s="1" t="s">
        <v>71</v>
      </c>
      <c r="AX812" s="1" t="s">
        <v>71</v>
      </c>
      <c r="BH812" s="1" t="s">
        <v>71</v>
      </c>
    </row>
    <row r="813" customFormat="false" ht="15" hidden="false" customHeight="false" outlineLevel="0" collapsed="false">
      <c r="A813" s="1" t="s">
        <v>2803</v>
      </c>
      <c r="B813" s="1" t="s">
        <v>2804</v>
      </c>
      <c r="C813" s="1" t="s">
        <v>769</v>
      </c>
      <c r="D813" s="1" t="s">
        <v>390</v>
      </c>
      <c r="E813" s="1" t="s">
        <v>82</v>
      </c>
      <c r="F813" s="1" t="s">
        <v>391</v>
      </c>
      <c r="G813" s="1" t="s">
        <v>182</v>
      </c>
      <c r="H813" s="1" t="s">
        <v>392</v>
      </c>
      <c r="K813" s="1" t="s">
        <v>65</v>
      </c>
      <c r="L813" s="1" t="s">
        <v>517</v>
      </c>
      <c r="M813" s="1" t="s">
        <v>496</v>
      </c>
      <c r="N813" s="1" t="s">
        <v>2796</v>
      </c>
      <c r="O813" s="1" t="s">
        <v>2797</v>
      </c>
      <c r="P813" s="1"/>
      <c r="Q813" s="1" t="s">
        <v>70</v>
      </c>
      <c r="Z813" s="1" t="s">
        <v>71</v>
      </c>
      <c r="AE813" s="1" t="s">
        <v>2802</v>
      </c>
      <c r="AH813" s="1" t="s">
        <v>73</v>
      </c>
      <c r="AK813" s="1" t="s">
        <v>71</v>
      </c>
      <c r="AM813" s="1" t="s">
        <v>71</v>
      </c>
      <c r="AN813" s="1" t="s">
        <v>71</v>
      </c>
      <c r="AS813" s="1" t="s">
        <v>71</v>
      </c>
      <c r="AX813" s="1" t="s">
        <v>71</v>
      </c>
      <c r="BH813" s="1" t="s">
        <v>71</v>
      </c>
    </row>
    <row r="814" customFormat="false" ht="15" hidden="false" customHeight="false" outlineLevel="0" collapsed="false">
      <c r="A814" s="1" t="s">
        <v>2805</v>
      </c>
      <c r="B814" s="1" t="s">
        <v>2806</v>
      </c>
      <c r="C814" s="1" t="s">
        <v>769</v>
      </c>
      <c r="D814" s="1" t="s">
        <v>390</v>
      </c>
      <c r="E814" s="1" t="s">
        <v>82</v>
      </c>
      <c r="F814" s="1" t="s">
        <v>391</v>
      </c>
      <c r="G814" s="1" t="s">
        <v>182</v>
      </c>
      <c r="H814" s="1" t="s">
        <v>392</v>
      </c>
      <c r="K814" s="1" t="s">
        <v>65</v>
      </c>
      <c r="L814" s="1" t="s">
        <v>517</v>
      </c>
      <c r="M814" s="1" t="s">
        <v>496</v>
      </c>
      <c r="N814" s="1" t="s">
        <v>984</v>
      </c>
      <c r="O814" s="1" t="s">
        <v>985</v>
      </c>
      <c r="P814" s="1"/>
      <c r="Q814" s="1" t="s">
        <v>70</v>
      </c>
      <c r="Z814" s="1" t="s">
        <v>71</v>
      </c>
      <c r="AE814" s="1" t="s">
        <v>2802</v>
      </c>
      <c r="AH814" s="1" t="s">
        <v>73</v>
      </c>
      <c r="AK814" s="1" t="s">
        <v>71</v>
      </c>
      <c r="AM814" s="1" t="s">
        <v>71</v>
      </c>
      <c r="AN814" s="1" t="s">
        <v>71</v>
      </c>
      <c r="AS814" s="1" t="s">
        <v>71</v>
      </c>
      <c r="AX814" s="1" t="s">
        <v>71</v>
      </c>
      <c r="BH814" s="1" t="s">
        <v>71</v>
      </c>
    </row>
    <row r="815" customFormat="false" ht="15" hidden="false" customHeight="false" outlineLevel="0" collapsed="false">
      <c r="A815" s="1" t="s">
        <v>2807</v>
      </c>
      <c r="B815" s="1" t="s">
        <v>2808</v>
      </c>
      <c r="C815" s="1" t="s">
        <v>769</v>
      </c>
      <c r="D815" s="1" t="s">
        <v>390</v>
      </c>
      <c r="E815" s="1" t="s">
        <v>82</v>
      </c>
      <c r="F815" s="1" t="s">
        <v>391</v>
      </c>
      <c r="G815" s="1" t="s">
        <v>182</v>
      </c>
      <c r="H815" s="1" t="s">
        <v>392</v>
      </c>
      <c r="K815" s="1" t="s">
        <v>65</v>
      </c>
      <c r="L815" s="1" t="s">
        <v>517</v>
      </c>
      <c r="M815" s="1" t="s">
        <v>496</v>
      </c>
      <c r="N815" s="1" t="s">
        <v>2796</v>
      </c>
      <c r="O815" s="1" t="s">
        <v>2797</v>
      </c>
      <c r="P815" s="1"/>
      <c r="Q815" s="1" t="s">
        <v>70</v>
      </c>
      <c r="Z815" s="1" t="s">
        <v>71</v>
      </c>
      <c r="AE815" s="1" t="s">
        <v>2802</v>
      </c>
      <c r="AH815" s="1" t="s">
        <v>73</v>
      </c>
      <c r="AK815" s="1" t="s">
        <v>71</v>
      </c>
      <c r="AM815" s="1" t="s">
        <v>71</v>
      </c>
      <c r="AN815" s="1" t="s">
        <v>71</v>
      </c>
      <c r="AS815" s="1" t="s">
        <v>71</v>
      </c>
      <c r="AX815" s="1" t="s">
        <v>71</v>
      </c>
      <c r="BH815" s="1" t="s">
        <v>71</v>
      </c>
    </row>
    <row r="816" customFormat="false" ht="15" hidden="false" customHeight="false" outlineLevel="0" collapsed="false">
      <c r="A816" s="1" t="s">
        <v>2809</v>
      </c>
      <c r="B816" s="1" t="s">
        <v>2810</v>
      </c>
      <c r="C816" s="1" t="s">
        <v>769</v>
      </c>
      <c r="D816" s="1" t="s">
        <v>390</v>
      </c>
      <c r="E816" s="1" t="s">
        <v>82</v>
      </c>
      <c r="F816" s="1" t="s">
        <v>391</v>
      </c>
      <c r="G816" s="1" t="s">
        <v>182</v>
      </c>
      <c r="H816" s="1" t="s">
        <v>392</v>
      </c>
      <c r="K816" s="1" t="s">
        <v>65</v>
      </c>
      <c r="L816" s="1" t="s">
        <v>517</v>
      </c>
      <c r="M816" s="1" t="s">
        <v>496</v>
      </c>
      <c r="N816" s="1" t="s">
        <v>2032</v>
      </c>
      <c r="O816" s="1" t="s">
        <v>447</v>
      </c>
      <c r="P816" s="1"/>
      <c r="Q816" s="1" t="s">
        <v>70</v>
      </c>
      <c r="Z816" s="1" t="s">
        <v>71</v>
      </c>
      <c r="AE816" s="1" t="s">
        <v>2802</v>
      </c>
      <c r="AH816" s="1" t="s">
        <v>73</v>
      </c>
      <c r="AK816" s="1" t="s">
        <v>71</v>
      </c>
      <c r="AM816" s="1" t="s">
        <v>71</v>
      </c>
      <c r="AN816" s="1" t="s">
        <v>71</v>
      </c>
      <c r="AS816" s="1" t="s">
        <v>71</v>
      </c>
      <c r="AX816" s="1" t="s">
        <v>71</v>
      </c>
      <c r="BH816" s="1" t="s">
        <v>71</v>
      </c>
    </row>
    <row r="817" customFormat="false" ht="15" hidden="false" customHeight="false" outlineLevel="0" collapsed="false">
      <c r="A817" s="1" t="s">
        <v>2811</v>
      </c>
      <c r="B817" s="1" t="s">
        <v>2812</v>
      </c>
      <c r="C817" s="1" t="s">
        <v>769</v>
      </c>
      <c r="D817" s="1" t="s">
        <v>390</v>
      </c>
      <c r="E817" s="1" t="s">
        <v>82</v>
      </c>
      <c r="F817" s="1" t="s">
        <v>391</v>
      </c>
      <c r="G817" s="1" t="s">
        <v>182</v>
      </c>
      <c r="H817" s="1" t="s">
        <v>392</v>
      </c>
      <c r="K817" s="1" t="s">
        <v>65</v>
      </c>
      <c r="L817" s="1" t="s">
        <v>517</v>
      </c>
      <c r="M817" s="1" t="s">
        <v>496</v>
      </c>
      <c r="N817" s="1" t="s">
        <v>2813</v>
      </c>
      <c r="O817" s="1" t="s">
        <v>2814</v>
      </c>
      <c r="P817" s="1"/>
      <c r="Q817" s="1" t="s">
        <v>70</v>
      </c>
      <c r="Z817" s="1" t="s">
        <v>71</v>
      </c>
      <c r="AE817" s="1" t="s">
        <v>2802</v>
      </c>
      <c r="AH817" s="1" t="s">
        <v>73</v>
      </c>
      <c r="AK817" s="1" t="s">
        <v>71</v>
      </c>
      <c r="AM817" s="1" t="s">
        <v>71</v>
      </c>
      <c r="AN817" s="1" t="s">
        <v>71</v>
      </c>
      <c r="AS817" s="1" t="s">
        <v>71</v>
      </c>
      <c r="AX817" s="1" t="s">
        <v>71</v>
      </c>
      <c r="BH817" s="1" t="s">
        <v>71</v>
      </c>
    </row>
    <row r="818" customFormat="false" ht="15" hidden="false" customHeight="false" outlineLevel="0" collapsed="false">
      <c r="A818" s="1" t="s">
        <v>2815</v>
      </c>
      <c r="B818" s="1" t="s">
        <v>2816</v>
      </c>
      <c r="C818" s="1" t="s">
        <v>769</v>
      </c>
      <c r="D818" s="1" t="s">
        <v>390</v>
      </c>
      <c r="E818" s="1" t="s">
        <v>82</v>
      </c>
      <c r="F818" s="1" t="s">
        <v>391</v>
      </c>
      <c r="G818" s="1" t="s">
        <v>182</v>
      </c>
      <c r="H818" s="1" t="s">
        <v>392</v>
      </c>
      <c r="K818" s="1" t="s">
        <v>65</v>
      </c>
      <c r="L818" s="1" t="s">
        <v>517</v>
      </c>
      <c r="M818" s="1" t="s">
        <v>496</v>
      </c>
      <c r="N818" s="1" t="s">
        <v>842</v>
      </c>
      <c r="O818" s="1" t="s">
        <v>400</v>
      </c>
      <c r="P818" s="1"/>
      <c r="Q818" s="1" t="s">
        <v>70</v>
      </c>
      <c r="Z818" s="1" t="s">
        <v>71</v>
      </c>
      <c r="AE818" s="1" t="s">
        <v>2802</v>
      </c>
      <c r="AH818" s="1" t="s">
        <v>73</v>
      </c>
      <c r="AK818" s="1" t="s">
        <v>71</v>
      </c>
      <c r="AM818" s="1" t="s">
        <v>71</v>
      </c>
      <c r="AN818" s="1" t="s">
        <v>71</v>
      </c>
      <c r="AS818" s="1" t="s">
        <v>71</v>
      </c>
      <c r="AX818" s="1" t="s">
        <v>71</v>
      </c>
      <c r="BH818" s="1" t="s">
        <v>71</v>
      </c>
    </row>
    <row r="819" customFormat="false" ht="15" hidden="false" customHeight="false" outlineLevel="0" collapsed="false">
      <c r="A819" s="1" t="s">
        <v>2817</v>
      </c>
      <c r="B819" s="1" t="s">
        <v>2818</v>
      </c>
      <c r="C819" s="1" t="s">
        <v>769</v>
      </c>
      <c r="D819" s="1" t="s">
        <v>390</v>
      </c>
      <c r="E819" s="1" t="s">
        <v>82</v>
      </c>
      <c r="F819" s="1" t="s">
        <v>391</v>
      </c>
      <c r="G819" s="1" t="s">
        <v>443</v>
      </c>
      <c r="H819" s="1" t="s">
        <v>444</v>
      </c>
      <c r="K819" s="1" t="s">
        <v>61</v>
      </c>
      <c r="L819" s="1" t="s">
        <v>445</v>
      </c>
      <c r="M819" s="1" t="s">
        <v>496</v>
      </c>
      <c r="N819" s="1" t="s">
        <v>2819</v>
      </c>
      <c r="O819" s="1" t="s">
        <v>2820</v>
      </c>
      <c r="P819" s="1"/>
      <c r="Q819" s="1" t="s">
        <v>70</v>
      </c>
      <c r="Z819" s="1" t="s">
        <v>71</v>
      </c>
      <c r="AE819" s="1" t="s">
        <v>2802</v>
      </c>
      <c r="AH819" s="1" t="s">
        <v>73</v>
      </c>
      <c r="AK819" s="1" t="s">
        <v>71</v>
      </c>
      <c r="AM819" s="1" t="s">
        <v>71</v>
      </c>
      <c r="AN819" s="1" t="s">
        <v>71</v>
      </c>
      <c r="AS819" s="1" t="s">
        <v>71</v>
      </c>
      <c r="AX819" s="1" t="s">
        <v>71</v>
      </c>
      <c r="BH819" s="1" t="s">
        <v>71</v>
      </c>
    </row>
    <row r="820" customFormat="false" ht="15" hidden="false" customHeight="false" outlineLevel="0" collapsed="false">
      <c r="A820" s="1" t="s">
        <v>2821</v>
      </c>
      <c r="B820" s="1" t="s">
        <v>2822</v>
      </c>
      <c r="C820" s="1" t="s">
        <v>769</v>
      </c>
      <c r="D820" s="1" t="s">
        <v>390</v>
      </c>
      <c r="E820" s="1" t="s">
        <v>82</v>
      </c>
      <c r="F820" s="1" t="s">
        <v>391</v>
      </c>
      <c r="G820" s="1" t="s">
        <v>443</v>
      </c>
      <c r="H820" s="1" t="s">
        <v>444</v>
      </c>
      <c r="K820" s="1" t="s">
        <v>61</v>
      </c>
      <c r="L820" s="1" t="s">
        <v>445</v>
      </c>
      <c r="M820" s="1" t="s">
        <v>496</v>
      </c>
      <c r="N820" s="1" t="s">
        <v>2694</v>
      </c>
      <c r="O820" s="1" t="s">
        <v>447</v>
      </c>
      <c r="P820" s="1"/>
      <c r="Q820" s="1" t="s">
        <v>70</v>
      </c>
      <c r="Z820" s="1" t="s">
        <v>71</v>
      </c>
      <c r="AE820" s="1" t="s">
        <v>2802</v>
      </c>
      <c r="AH820" s="1" t="s">
        <v>73</v>
      </c>
      <c r="AK820" s="1" t="s">
        <v>71</v>
      </c>
      <c r="AM820" s="1" t="s">
        <v>71</v>
      </c>
      <c r="AN820" s="1" t="s">
        <v>71</v>
      </c>
      <c r="AS820" s="1" t="s">
        <v>71</v>
      </c>
      <c r="AX820" s="1" t="s">
        <v>71</v>
      </c>
      <c r="BH820" s="1" t="s">
        <v>71</v>
      </c>
    </row>
    <row r="821" customFormat="false" ht="15" hidden="false" customHeight="false" outlineLevel="0" collapsed="false">
      <c r="A821" s="1" t="s">
        <v>2823</v>
      </c>
      <c r="B821" s="1" t="s">
        <v>2824</v>
      </c>
      <c r="C821" s="1" t="s">
        <v>843</v>
      </c>
      <c r="D821" s="1" t="s">
        <v>2825</v>
      </c>
      <c r="E821" s="1" t="s">
        <v>82</v>
      </c>
      <c r="F821" s="1" t="s">
        <v>391</v>
      </c>
      <c r="G821" s="1" t="s">
        <v>443</v>
      </c>
      <c r="H821" s="1" t="s">
        <v>444</v>
      </c>
      <c r="K821" s="1" t="s">
        <v>1688</v>
      </c>
      <c r="L821" s="1" t="s">
        <v>1689</v>
      </c>
      <c r="M821" s="1" t="s">
        <v>1716</v>
      </c>
      <c r="N821" s="1" t="s">
        <v>2826</v>
      </c>
      <c r="O821" s="1" t="s">
        <v>400</v>
      </c>
      <c r="P821" s="1"/>
      <c r="Q821" s="1" t="s">
        <v>70</v>
      </c>
      <c r="Z821" s="1" t="s">
        <v>71</v>
      </c>
      <c r="AE821" s="1" t="s">
        <v>2802</v>
      </c>
      <c r="AH821" s="1" t="s">
        <v>73</v>
      </c>
      <c r="AK821" s="1" t="s">
        <v>71</v>
      </c>
      <c r="AM821" s="1" t="s">
        <v>71</v>
      </c>
      <c r="AN821" s="1" t="s">
        <v>71</v>
      </c>
      <c r="AS821" s="1" t="s">
        <v>71</v>
      </c>
      <c r="AX821" s="1" t="s">
        <v>71</v>
      </c>
      <c r="BH821" s="1" t="s">
        <v>71</v>
      </c>
    </row>
    <row r="822" customFormat="false" ht="15" hidden="false" customHeight="false" outlineLevel="0" collapsed="false">
      <c r="A822" s="1" t="s">
        <v>2827</v>
      </c>
      <c r="B822" s="1" t="s">
        <v>2828</v>
      </c>
      <c r="C822" s="1" t="s">
        <v>843</v>
      </c>
      <c r="D822" s="1" t="s">
        <v>2825</v>
      </c>
      <c r="E822" s="1" t="s">
        <v>82</v>
      </c>
      <c r="F822" s="1" t="s">
        <v>391</v>
      </c>
      <c r="G822" s="1" t="s">
        <v>443</v>
      </c>
      <c r="H822" s="1" t="s">
        <v>444</v>
      </c>
      <c r="K822" s="1" t="s">
        <v>1688</v>
      </c>
      <c r="L822" s="1" t="s">
        <v>1689</v>
      </c>
      <c r="M822" s="1" t="s">
        <v>806</v>
      </c>
      <c r="N822" s="1" t="s">
        <v>1690</v>
      </c>
      <c r="O822" s="1" t="s">
        <v>1691</v>
      </c>
      <c r="P822" s="1"/>
      <c r="Q822" s="1" t="s">
        <v>70</v>
      </c>
      <c r="Z822" s="1" t="s">
        <v>71</v>
      </c>
      <c r="AE822" s="1" t="s">
        <v>2802</v>
      </c>
      <c r="AH822" s="1" t="s">
        <v>73</v>
      </c>
      <c r="AK822" s="1" t="s">
        <v>71</v>
      </c>
      <c r="AM822" s="1" t="s">
        <v>71</v>
      </c>
      <c r="AN822" s="1" t="s">
        <v>71</v>
      </c>
      <c r="AS822" s="1" t="s">
        <v>71</v>
      </c>
      <c r="AX822" s="1" t="s">
        <v>71</v>
      </c>
      <c r="BH822" s="1" t="s">
        <v>71</v>
      </c>
    </row>
    <row r="823" customFormat="false" ht="15" hidden="false" customHeight="false" outlineLevel="0" collapsed="false">
      <c r="A823" s="1" t="s">
        <v>2829</v>
      </c>
      <c r="B823" s="1" t="s">
        <v>2830</v>
      </c>
      <c r="C823" s="1" t="s">
        <v>843</v>
      </c>
      <c r="D823" s="1" t="s">
        <v>2825</v>
      </c>
      <c r="E823" s="1" t="s">
        <v>82</v>
      </c>
      <c r="F823" s="1" t="s">
        <v>391</v>
      </c>
      <c r="G823" s="1" t="s">
        <v>443</v>
      </c>
      <c r="H823" s="1" t="s">
        <v>444</v>
      </c>
      <c r="K823" s="1" t="s">
        <v>1688</v>
      </c>
      <c r="L823" s="1" t="s">
        <v>1689</v>
      </c>
      <c r="M823" s="1" t="s">
        <v>2831</v>
      </c>
      <c r="N823" s="1" t="s">
        <v>1690</v>
      </c>
      <c r="O823" s="1" t="s">
        <v>1691</v>
      </c>
      <c r="P823" s="1"/>
      <c r="Q823" s="1" t="s">
        <v>70</v>
      </c>
      <c r="Z823" s="1" t="s">
        <v>71</v>
      </c>
      <c r="AE823" s="1" t="s">
        <v>2802</v>
      </c>
      <c r="AH823" s="1" t="s">
        <v>73</v>
      </c>
      <c r="AK823" s="1" t="s">
        <v>71</v>
      </c>
      <c r="AM823" s="1" t="s">
        <v>71</v>
      </c>
      <c r="AN823" s="1" t="s">
        <v>71</v>
      </c>
      <c r="AS823" s="1" t="s">
        <v>71</v>
      </c>
      <c r="AX823" s="1" t="s">
        <v>71</v>
      </c>
      <c r="BH823" s="1" t="s">
        <v>71</v>
      </c>
    </row>
    <row r="824" customFormat="false" ht="15" hidden="false" customHeight="false" outlineLevel="0" collapsed="false">
      <c r="A824" s="1" t="s">
        <v>2832</v>
      </c>
      <c r="B824" s="1" t="s">
        <v>2833</v>
      </c>
      <c r="C824" s="1" t="s">
        <v>764</v>
      </c>
      <c r="D824" s="1" t="s">
        <v>2834</v>
      </c>
      <c r="E824" s="1" t="s">
        <v>82</v>
      </c>
      <c r="F824" s="1" t="s">
        <v>391</v>
      </c>
      <c r="G824" s="1" t="s">
        <v>443</v>
      </c>
      <c r="H824" s="1" t="s">
        <v>444</v>
      </c>
      <c r="K824" s="1" t="s">
        <v>61</v>
      </c>
      <c r="L824" s="1" t="s">
        <v>445</v>
      </c>
      <c r="M824" s="1" t="s">
        <v>496</v>
      </c>
      <c r="N824" s="1" t="s">
        <v>2819</v>
      </c>
      <c r="O824" s="1" t="s">
        <v>2820</v>
      </c>
      <c r="P824" s="1"/>
      <c r="Q824" s="1" t="s">
        <v>70</v>
      </c>
      <c r="Z824" s="1" t="s">
        <v>71</v>
      </c>
      <c r="AE824" s="1" t="s">
        <v>2835</v>
      </c>
      <c r="AH824" s="1" t="s">
        <v>73</v>
      </c>
      <c r="AK824" s="1" t="s">
        <v>71</v>
      </c>
      <c r="AM824" s="1" t="s">
        <v>71</v>
      </c>
      <c r="AN824" s="1" t="s">
        <v>71</v>
      </c>
      <c r="AS824" s="1" t="s">
        <v>71</v>
      </c>
      <c r="AX824" s="1" t="s">
        <v>71</v>
      </c>
      <c r="BH824" s="1" t="s">
        <v>71</v>
      </c>
    </row>
    <row r="825" customFormat="false" ht="15" hidden="false" customHeight="false" outlineLevel="0" collapsed="false">
      <c r="A825" s="1" t="s">
        <v>2836</v>
      </c>
      <c r="B825" s="1" t="s">
        <v>2837</v>
      </c>
      <c r="C825" s="1" t="s">
        <v>769</v>
      </c>
      <c r="D825" s="1" t="s">
        <v>390</v>
      </c>
      <c r="E825" s="1" t="s">
        <v>82</v>
      </c>
      <c r="F825" s="1" t="s">
        <v>391</v>
      </c>
      <c r="G825" s="1" t="s">
        <v>182</v>
      </c>
      <c r="H825" s="1" t="s">
        <v>392</v>
      </c>
      <c r="K825" s="1" t="s">
        <v>65</v>
      </c>
      <c r="L825" s="1" t="s">
        <v>517</v>
      </c>
      <c r="M825" s="1" t="s">
        <v>496</v>
      </c>
      <c r="N825" s="1" t="s">
        <v>2676</v>
      </c>
      <c r="O825" s="1" t="s">
        <v>2677</v>
      </c>
      <c r="P825" s="1"/>
      <c r="Q825" s="1" t="s">
        <v>70</v>
      </c>
      <c r="Z825" s="1" t="s">
        <v>71</v>
      </c>
      <c r="AE825" s="1" t="s">
        <v>2835</v>
      </c>
      <c r="AH825" s="1" t="s">
        <v>73</v>
      </c>
      <c r="AK825" s="1" t="s">
        <v>71</v>
      </c>
      <c r="AM825" s="1" t="s">
        <v>71</v>
      </c>
      <c r="AN825" s="1" t="s">
        <v>71</v>
      </c>
      <c r="AS825" s="1" t="s">
        <v>71</v>
      </c>
      <c r="AX825" s="1" t="s">
        <v>71</v>
      </c>
      <c r="BH825" s="1" t="s">
        <v>71</v>
      </c>
    </row>
    <row r="826" customFormat="false" ht="15" hidden="false" customHeight="false" outlineLevel="0" collapsed="false">
      <c r="A826" s="1" t="s">
        <v>2838</v>
      </c>
      <c r="B826" s="1" t="s">
        <v>2839</v>
      </c>
      <c r="C826" s="1" t="s">
        <v>849</v>
      </c>
      <c r="D826" s="1" t="s">
        <v>2840</v>
      </c>
      <c r="E826" s="1" t="s">
        <v>82</v>
      </c>
      <c r="F826" s="1" t="s">
        <v>391</v>
      </c>
      <c r="G826" s="1" t="s">
        <v>443</v>
      </c>
      <c r="H826" s="1" t="s">
        <v>444</v>
      </c>
      <c r="K826" s="1" t="s">
        <v>61</v>
      </c>
      <c r="L826" s="1" t="s">
        <v>445</v>
      </c>
      <c r="M826" s="1" t="s">
        <v>496</v>
      </c>
      <c r="N826" s="1" t="s">
        <v>2841</v>
      </c>
      <c r="O826" s="1" t="s">
        <v>2842</v>
      </c>
      <c r="P826" s="1"/>
      <c r="Q826" s="1" t="s">
        <v>70</v>
      </c>
      <c r="Z826" s="1" t="s">
        <v>71</v>
      </c>
      <c r="AE826" s="1" t="s">
        <v>2843</v>
      </c>
      <c r="AH826" s="1" t="s">
        <v>73</v>
      </c>
      <c r="AK826" s="1" t="s">
        <v>71</v>
      </c>
      <c r="AM826" s="1" t="s">
        <v>71</v>
      </c>
      <c r="AN826" s="1" t="s">
        <v>71</v>
      </c>
      <c r="AS826" s="1" t="s">
        <v>71</v>
      </c>
      <c r="AX826" s="1" t="s">
        <v>71</v>
      </c>
      <c r="BH826" s="1" t="s">
        <v>71</v>
      </c>
    </row>
    <row r="827" customFormat="false" ht="15" hidden="false" customHeight="false" outlineLevel="0" collapsed="false">
      <c r="A827" s="1" t="s">
        <v>2844</v>
      </c>
      <c r="B827" s="1" t="s">
        <v>2845</v>
      </c>
      <c r="C827" s="1" t="s">
        <v>849</v>
      </c>
      <c r="D827" s="1" t="s">
        <v>2840</v>
      </c>
      <c r="E827" s="1" t="s">
        <v>82</v>
      </c>
      <c r="F827" s="1" t="s">
        <v>391</v>
      </c>
      <c r="G827" s="1" t="s">
        <v>443</v>
      </c>
      <c r="H827" s="1" t="s">
        <v>444</v>
      </c>
      <c r="K827" s="1" t="s">
        <v>61</v>
      </c>
      <c r="L827" s="1" t="s">
        <v>445</v>
      </c>
      <c r="M827" s="1" t="s">
        <v>496</v>
      </c>
      <c r="N827" s="1" t="s">
        <v>399</v>
      </c>
      <c r="O827" s="1" t="s">
        <v>400</v>
      </c>
      <c r="P827" s="1"/>
      <c r="Q827" s="1" t="s">
        <v>70</v>
      </c>
      <c r="Z827" s="1" t="s">
        <v>71</v>
      </c>
      <c r="AE827" s="1" t="s">
        <v>2843</v>
      </c>
      <c r="AH827" s="1" t="s">
        <v>73</v>
      </c>
      <c r="AK827" s="1" t="s">
        <v>71</v>
      </c>
      <c r="AM827" s="1" t="s">
        <v>71</v>
      </c>
      <c r="AN827" s="1" t="s">
        <v>71</v>
      </c>
      <c r="AS827" s="1" t="s">
        <v>71</v>
      </c>
      <c r="AX827" s="1" t="s">
        <v>71</v>
      </c>
      <c r="BH827" s="1" t="s">
        <v>71</v>
      </c>
    </row>
    <row r="828" customFormat="false" ht="15" hidden="false" customHeight="false" outlineLevel="0" collapsed="false">
      <c r="A828" s="1" t="s">
        <v>2846</v>
      </c>
      <c r="B828" s="1" t="s">
        <v>2847</v>
      </c>
      <c r="C828" s="1" t="s">
        <v>528</v>
      </c>
      <c r="D828" s="1" t="s">
        <v>1274</v>
      </c>
      <c r="E828" s="1" t="s">
        <v>82</v>
      </c>
      <c r="F828" s="1" t="s">
        <v>391</v>
      </c>
      <c r="G828" s="1" t="s">
        <v>443</v>
      </c>
      <c r="H828" s="1" t="s">
        <v>444</v>
      </c>
      <c r="K828" s="1" t="s">
        <v>618</v>
      </c>
      <c r="L828" s="1" t="s">
        <v>619</v>
      </c>
      <c r="M828" s="1" t="s">
        <v>496</v>
      </c>
      <c r="N828" s="1" t="s">
        <v>2021</v>
      </c>
      <c r="O828" s="1" t="s">
        <v>400</v>
      </c>
      <c r="P828" s="1"/>
      <c r="Q828" s="1" t="s">
        <v>70</v>
      </c>
      <c r="Z828" s="1" t="s">
        <v>71</v>
      </c>
      <c r="AE828" s="1" t="s">
        <v>2848</v>
      </c>
      <c r="AH828" s="1" t="s">
        <v>73</v>
      </c>
      <c r="AK828" s="1" t="s">
        <v>71</v>
      </c>
      <c r="AM828" s="1" t="s">
        <v>71</v>
      </c>
      <c r="AN828" s="1" t="s">
        <v>71</v>
      </c>
      <c r="AS828" s="1" t="s">
        <v>71</v>
      </c>
      <c r="AX828" s="1" t="s">
        <v>71</v>
      </c>
      <c r="BH828" s="1" t="s">
        <v>71</v>
      </c>
    </row>
    <row r="829" customFormat="false" ht="15" hidden="false" customHeight="false" outlineLevel="0" collapsed="false">
      <c r="A829" s="1" t="s">
        <v>2849</v>
      </c>
      <c r="B829" s="1" t="s">
        <v>2850</v>
      </c>
      <c r="C829" s="1" t="s">
        <v>852</v>
      </c>
      <c r="D829" s="1" t="s">
        <v>2851</v>
      </c>
      <c r="E829" s="1" t="s">
        <v>82</v>
      </c>
      <c r="F829" s="1" t="s">
        <v>391</v>
      </c>
      <c r="G829" s="1" t="s">
        <v>97</v>
      </c>
      <c r="H829" s="1" t="s">
        <v>406</v>
      </c>
      <c r="K829" s="1" t="s">
        <v>65</v>
      </c>
      <c r="L829" s="1" t="s">
        <v>860</v>
      </c>
      <c r="M829" s="1" t="s">
        <v>496</v>
      </c>
      <c r="N829" s="1" t="s">
        <v>2852</v>
      </c>
      <c r="O829" s="1" t="s">
        <v>2853</v>
      </c>
      <c r="P829" s="1"/>
      <c r="Q829" s="1" t="s">
        <v>70</v>
      </c>
      <c r="Z829" s="1" t="s">
        <v>71</v>
      </c>
      <c r="AE829" s="1" t="s">
        <v>2854</v>
      </c>
      <c r="AH829" s="1" t="s">
        <v>73</v>
      </c>
      <c r="AK829" s="1" t="s">
        <v>71</v>
      </c>
      <c r="AM829" s="1" t="s">
        <v>71</v>
      </c>
      <c r="AN829" s="1" t="s">
        <v>71</v>
      </c>
      <c r="AS829" s="1" t="s">
        <v>71</v>
      </c>
      <c r="AX829" s="1" t="s">
        <v>71</v>
      </c>
      <c r="BH829" s="1" t="s">
        <v>71</v>
      </c>
    </row>
    <row r="830" customFormat="false" ht="15" hidden="false" customHeight="false" outlineLevel="0" collapsed="false">
      <c r="A830" s="1" t="s">
        <v>2855</v>
      </c>
      <c r="B830" s="1" t="s">
        <v>2856</v>
      </c>
      <c r="C830" s="1" t="s">
        <v>718</v>
      </c>
      <c r="D830" s="1" t="s">
        <v>900</v>
      </c>
      <c r="E830" s="1" t="s">
        <v>82</v>
      </c>
      <c r="F830" s="1" t="s">
        <v>391</v>
      </c>
      <c r="G830" s="1" t="s">
        <v>213</v>
      </c>
      <c r="H830" s="1" t="s">
        <v>477</v>
      </c>
      <c r="K830" s="1" t="s">
        <v>887</v>
      </c>
      <c r="L830" s="1" t="s">
        <v>888</v>
      </c>
      <c r="M830" s="1" t="s">
        <v>496</v>
      </c>
      <c r="N830" s="1" t="s">
        <v>2086</v>
      </c>
      <c r="O830" s="1" t="s">
        <v>2087</v>
      </c>
      <c r="P830" s="1"/>
      <c r="Q830" s="1" t="s">
        <v>70</v>
      </c>
      <c r="Z830" s="1" t="s">
        <v>71</v>
      </c>
      <c r="AE830" s="1" t="s">
        <v>2857</v>
      </c>
      <c r="AH830" s="1" t="s">
        <v>73</v>
      </c>
      <c r="AK830" s="1" t="s">
        <v>71</v>
      </c>
      <c r="AM830" s="1" t="s">
        <v>71</v>
      </c>
      <c r="AN830" s="1" t="s">
        <v>71</v>
      </c>
      <c r="AS830" s="1" t="s">
        <v>71</v>
      </c>
      <c r="AX830" s="1" t="s">
        <v>71</v>
      </c>
      <c r="BH830" s="1" t="s">
        <v>71</v>
      </c>
    </row>
    <row r="831" customFormat="false" ht="15" hidden="false" customHeight="false" outlineLevel="0" collapsed="false">
      <c r="A831" s="1" t="s">
        <v>2858</v>
      </c>
      <c r="B831" s="1" t="s">
        <v>2859</v>
      </c>
      <c r="C831" s="1" t="s">
        <v>718</v>
      </c>
      <c r="D831" s="1" t="s">
        <v>900</v>
      </c>
      <c r="E831" s="1" t="s">
        <v>82</v>
      </c>
      <c r="F831" s="1" t="s">
        <v>391</v>
      </c>
      <c r="G831" s="1" t="s">
        <v>213</v>
      </c>
      <c r="H831" s="1" t="s">
        <v>477</v>
      </c>
      <c r="K831" s="1" t="s">
        <v>887</v>
      </c>
      <c r="L831" s="1" t="s">
        <v>888</v>
      </c>
      <c r="M831" s="1" t="s">
        <v>496</v>
      </c>
      <c r="N831" s="1" t="s">
        <v>889</v>
      </c>
      <c r="O831" s="1" t="s">
        <v>400</v>
      </c>
      <c r="P831" s="1"/>
      <c r="Q831" s="1" t="s">
        <v>70</v>
      </c>
      <c r="Z831" s="1" t="s">
        <v>71</v>
      </c>
      <c r="AE831" s="1" t="s">
        <v>2857</v>
      </c>
      <c r="AH831" s="1" t="s">
        <v>73</v>
      </c>
      <c r="AK831" s="1" t="s">
        <v>71</v>
      </c>
      <c r="AM831" s="1" t="s">
        <v>71</v>
      </c>
      <c r="AN831" s="1" t="s">
        <v>71</v>
      </c>
      <c r="AS831" s="1" t="s">
        <v>71</v>
      </c>
      <c r="AX831" s="1" t="s">
        <v>71</v>
      </c>
      <c r="BH831" s="1" t="s">
        <v>71</v>
      </c>
    </row>
    <row r="832" customFormat="false" ht="15" hidden="false" customHeight="false" outlineLevel="0" collapsed="false">
      <c r="A832" s="1" t="s">
        <v>2860</v>
      </c>
      <c r="B832" s="1" t="s">
        <v>2861</v>
      </c>
      <c r="C832" s="1" t="s">
        <v>718</v>
      </c>
      <c r="D832" s="1" t="s">
        <v>900</v>
      </c>
      <c r="E832" s="1" t="s">
        <v>82</v>
      </c>
      <c r="F832" s="1" t="s">
        <v>391</v>
      </c>
      <c r="G832" s="1" t="s">
        <v>213</v>
      </c>
      <c r="H832" s="1" t="s">
        <v>477</v>
      </c>
      <c r="K832" s="1" t="s">
        <v>887</v>
      </c>
      <c r="L832" s="1" t="s">
        <v>888</v>
      </c>
      <c r="M832" s="1" t="s">
        <v>496</v>
      </c>
      <c r="N832" s="1" t="s">
        <v>2086</v>
      </c>
      <c r="O832" s="1" t="s">
        <v>2087</v>
      </c>
      <c r="P832" s="1"/>
      <c r="Q832" s="1" t="s">
        <v>70</v>
      </c>
      <c r="Z832" s="1" t="s">
        <v>71</v>
      </c>
      <c r="AE832" s="1" t="s">
        <v>2857</v>
      </c>
      <c r="AH832" s="1" t="s">
        <v>73</v>
      </c>
      <c r="AK832" s="1" t="s">
        <v>71</v>
      </c>
      <c r="AM832" s="1" t="s">
        <v>71</v>
      </c>
      <c r="AN832" s="1" t="s">
        <v>71</v>
      </c>
      <c r="AS832" s="1" t="s">
        <v>71</v>
      </c>
      <c r="AX832" s="1" t="s">
        <v>71</v>
      </c>
      <c r="BH832" s="1" t="s">
        <v>71</v>
      </c>
    </row>
    <row r="833" customFormat="false" ht="15" hidden="false" customHeight="false" outlineLevel="0" collapsed="false">
      <c r="A833" s="1" t="s">
        <v>2862</v>
      </c>
      <c r="B833" s="1" t="s">
        <v>2863</v>
      </c>
      <c r="C833" s="1" t="s">
        <v>769</v>
      </c>
      <c r="D833" s="1" t="s">
        <v>390</v>
      </c>
      <c r="E833" s="1" t="s">
        <v>82</v>
      </c>
      <c r="F833" s="1" t="s">
        <v>391</v>
      </c>
      <c r="G833" s="1" t="s">
        <v>182</v>
      </c>
      <c r="H833" s="1" t="s">
        <v>392</v>
      </c>
      <c r="K833" s="1" t="s">
        <v>65</v>
      </c>
      <c r="L833" s="1" t="s">
        <v>517</v>
      </c>
      <c r="M833" s="1" t="s">
        <v>496</v>
      </c>
      <c r="N833" s="1" t="s">
        <v>2864</v>
      </c>
      <c r="O833" s="1" t="s">
        <v>2865</v>
      </c>
      <c r="P833" s="1"/>
      <c r="Q833" s="1" t="s">
        <v>70</v>
      </c>
      <c r="Z833" s="1" t="s">
        <v>71</v>
      </c>
      <c r="AE833" s="1" t="s">
        <v>2866</v>
      </c>
      <c r="AH833" s="1" t="s">
        <v>73</v>
      </c>
      <c r="AK833" s="1" t="s">
        <v>71</v>
      </c>
      <c r="AM833" s="1" t="s">
        <v>71</v>
      </c>
      <c r="AN833" s="1" t="s">
        <v>71</v>
      </c>
      <c r="AS833" s="1" t="s">
        <v>71</v>
      </c>
      <c r="AX833" s="1" t="s">
        <v>71</v>
      </c>
      <c r="BH833" s="1" t="s">
        <v>71</v>
      </c>
    </row>
    <row r="834" customFormat="false" ht="15" hidden="false" customHeight="false" outlineLevel="0" collapsed="false">
      <c r="A834" s="1" t="s">
        <v>2867</v>
      </c>
      <c r="B834" s="1" t="s">
        <v>2868</v>
      </c>
      <c r="C834" s="1" t="s">
        <v>769</v>
      </c>
      <c r="D834" s="1" t="s">
        <v>390</v>
      </c>
      <c r="E834" s="1" t="s">
        <v>82</v>
      </c>
      <c r="F834" s="1" t="s">
        <v>391</v>
      </c>
      <c r="G834" s="1" t="s">
        <v>182</v>
      </c>
      <c r="H834" s="1" t="s">
        <v>392</v>
      </c>
      <c r="K834" s="1" t="s">
        <v>65</v>
      </c>
      <c r="L834" s="1" t="s">
        <v>517</v>
      </c>
      <c r="M834" s="1" t="s">
        <v>496</v>
      </c>
      <c r="N834" s="1" t="s">
        <v>905</v>
      </c>
      <c r="O834" s="1" t="s">
        <v>906</v>
      </c>
      <c r="P834" s="1"/>
      <c r="Q834" s="1" t="s">
        <v>70</v>
      </c>
      <c r="Z834" s="1" t="s">
        <v>71</v>
      </c>
      <c r="AE834" s="1" t="s">
        <v>2866</v>
      </c>
      <c r="AH834" s="1" t="s">
        <v>73</v>
      </c>
      <c r="AK834" s="1" t="s">
        <v>71</v>
      </c>
      <c r="AM834" s="1" t="s">
        <v>71</v>
      </c>
      <c r="AN834" s="1" t="s">
        <v>71</v>
      </c>
      <c r="AS834" s="1" t="s">
        <v>71</v>
      </c>
      <c r="AX834" s="1" t="s">
        <v>71</v>
      </c>
      <c r="BH834" s="1" t="s">
        <v>71</v>
      </c>
    </row>
    <row r="835" customFormat="false" ht="15" hidden="false" customHeight="false" outlineLevel="0" collapsed="false">
      <c r="A835" s="1" t="s">
        <v>2869</v>
      </c>
      <c r="B835" s="1" t="s">
        <v>2870</v>
      </c>
      <c r="C835" s="1" t="s">
        <v>769</v>
      </c>
      <c r="D835" s="1" t="s">
        <v>390</v>
      </c>
      <c r="E835" s="1" t="s">
        <v>82</v>
      </c>
      <c r="F835" s="1" t="s">
        <v>391</v>
      </c>
      <c r="G835" s="1" t="s">
        <v>182</v>
      </c>
      <c r="H835" s="1" t="s">
        <v>392</v>
      </c>
      <c r="K835" s="1" t="s">
        <v>65</v>
      </c>
      <c r="L835" s="1" t="s">
        <v>517</v>
      </c>
      <c r="M835" s="1" t="s">
        <v>496</v>
      </c>
      <c r="N835" s="1" t="s">
        <v>2871</v>
      </c>
      <c r="O835" s="1" t="s">
        <v>2872</v>
      </c>
      <c r="P835" s="1"/>
      <c r="Q835" s="1" t="s">
        <v>70</v>
      </c>
      <c r="Z835" s="1" t="s">
        <v>71</v>
      </c>
      <c r="AE835" s="1" t="s">
        <v>2866</v>
      </c>
      <c r="AH835" s="1" t="s">
        <v>73</v>
      </c>
      <c r="AK835" s="1" t="s">
        <v>71</v>
      </c>
      <c r="AM835" s="1" t="s">
        <v>71</v>
      </c>
      <c r="AN835" s="1" t="s">
        <v>71</v>
      </c>
      <c r="AS835" s="1" t="s">
        <v>71</v>
      </c>
      <c r="AX835" s="1" t="s">
        <v>71</v>
      </c>
      <c r="BH835" s="1" t="s">
        <v>71</v>
      </c>
    </row>
    <row r="836" customFormat="false" ht="15" hidden="false" customHeight="false" outlineLevel="0" collapsed="false">
      <c r="A836" s="1" t="s">
        <v>2873</v>
      </c>
      <c r="B836" s="1" t="s">
        <v>2874</v>
      </c>
      <c r="C836" s="1" t="s">
        <v>718</v>
      </c>
      <c r="D836" s="1" t="s">
        <v>900</v>
      </c>
      <c r="E836" s="1" t="s">
        <v>82</v>
      </c>
      <c r="F836" s="1" t="s">
        <v>391</v>
      </c>
      <c r="G836" s="1" t="s">
        <v>213</v>
      </c>
      <c r="H836" s="1" t="s">
        <v>477</v>
      </c>
      <c r="K836" s="1" t="s">
        <v>478</v>
      </c>
      <c r="L836" s="1" t="s">
        <v>479</v>
      </c>
      <c r="M836" s="1" t="s">
        <v>496</v>
      </c>
      <c r="N836" s="1" t="s">
        <v>894</v>
      </c>
      <c r="O836" s="1" t="s">
        <v>400</v>
      </c>
      <c r="P836" s="1"/>
      <c r="Q836" s="1" t="s">
        <v>70</v>
      </c>
      <c r="Z836" s="1" t="s">
        <v>71</v>
      </c>
      <c r="AE836" s="1" t="s">
        <v>2866</v>
      </c>
      <c r="AH836" s="1" t="s">
        <v>73</v>
      </c>
      <c r="AK836" s="1" t="s">
        <v>71</v>
      </c>
      <c r="AM836" s="1" t="s">
        <v>71</v>
      </c>
      <c r="AN836" s="1" t="s">
        <v>71</v>
      </c>
      <c r="AS836" s="1" t="s">
        <v>71</v>
      </c>
      <c r="AX836" s="1" t="s">
        <v>71</v>
      </c>
      <c r="BH836" s="1" t="s">
        <v>71</v>
      </c>
    </row>
    <row r="837" customFormat="false" ht="15" hidden="false" customHeight="false" outlineLevel="0" collapsed="false">
      <c r="A837" s="1" t="s">
        <v>2875</v>
      </c>
      <c r="B837" s="1" t="s">
        <v>2876</v>
      </c>
      <c r="C837" s="1" t="s">
        <v>718</v>
      </c>
      <c r="D837" s="1" t="s">
        <v>900</v>
      </c>
      <c r="E837" s="1" t="s">
        <v>82</v>
      </c>
      <c r="F837" s="1" t="s">
        <v>391</v>
      </c>
      <c r="G837" s="1" t="s">
        <v>213</v>
      </c>
      <c r="H837" s="1" t="s">
        <v>477</v>
      </c>
      <c r="K837" s="1" t="s">
        <v>478</v>
      </c>
      <c r="L837" s="1" t="s">
        <v>479</v>
      </c>
      <c r="M837" s="1" t="s">
        <v>496</v>
      </c>
      <c r="N837" s="1" t="s">
        <v>880</v>
      </c>
      <c r="O837" s="1" t="s">
        <v>881</v>
      </c>
      <c r="P837" s="1"/>
      <c r="Q837" s="1" t="s">
        <v>70</v>
      </c>
      <c r="Z837" s="1" t="s">
        <v>71</v>
      </c>
      <c r="AE837" s="1" t="s">
        <v>2866</v>
      </c>
      <c r="AH837" s="1" t="s">
        <v>73</v>
      </c>
      <c r="AK837" s="1" t="s">
        <v>71</v>
      </c>
      <c r="AM837" s="1" t="s">
        <v>71</v>
      </c>
      <c r="AN837" s="1" t="s">
        <v>71</v>
      </c>
      <c r="AS837" s="1" t="s">
        <v>71</v>
      </c>
      <c r="AX837" s="1" t="s">
        <v>71</v>
      </c>
      <c r="BH837" s="1" t="s">
        <v>71</v>
      </c>
    </row>
    <row r="838" customFormat="false" ht="15" hidden="false" customHeight="false" outlineLevel="0" collapsed="false">
      <c r="A838" s="1" t="s">
        <v>2877</v>
      </c>
      <c r="B838" s="1" t="s">
        <v>2878</v>
      </c>
      <c r="C838" s="1" t="s">
        <v>718</v>
      </c>
      <c r="D838" s="1" t="s">
        <v>900</v>
      </c>
      <c r="E838" s="1" t="s">
        <v>82</v>
      </c>
      <c r="F838" s="1" t="s">
        <v>391</v>
      </c>
      <c r="G838" s="1" t="s">
        <v>213</v>
      </c>
      <c r="H838" s="1" t="s">
        <v>477</v>
      </c>
      <c r="K838" s="1" t="s">
        <v>478</v>
      </c>
      <c r="L838" s="1" t="s">
        <v>479</v>
      </c>
      <c r="M838" s="1" t="s">
        <v>496</v>
      </c>
      <c r="N838" s="1" t="s">
        <v>536</v>
      </c>
      <c r="O838" s="1" t="s">
        <v>537</v>
      </c>
      <c r="P838" s="1"/>
      <c r="Q838" s="1" t="s">
        <v>70</v>
      </c>
      <c r="Z838" s="1" t="s">
        <v>71</v>
      </c>
      <c r="AE838" s="1" t="s">
        <v>2866</v>
      </c>
      <c r="AH838" s="1" t="s">
        <v>73</v>
      </c>
      <c r="AK838" s="1" t="s">
        <v>71</v>
      </c>
      <c r="AM838" s="1" t="s">
        <v>71</v>
      </c>
      <c r="AN838" s="1" t="s">
        <v>71</v>
      </c>
      <c r="AS838" s="1" t="s">
        <v>71</v>
      </c>
      <c r="AX838" s="1" t="s">
        <v>71</v>
      </c>
      <c r="BH838" s="1" t="s">
        <v>71</v>
      </c>
    </row>
    <row r="839" customFormat="false" ht="15" hidden="false" customHeight="false" outlineLevel="0" collapsed="false">
      <c r="A839" s="1" t="s">
        <v>2879</v>
      </c>
      <c r="B839" s="1" t="s">
        <v>2880</v>
      </c>
      <c r="C839" s="1" t="s">
        <v>718</v>
      </c>
      <c r="D839" s="1" t="s">
        <v>900</v>
      </c>
      <c r="E839" s="1" t="s">
        <v>82</v>
      </c>
      <c r="F839" s="1" t="s">
        <v>391</v>
      </c>
      <c r="G839" s="1" t="s">
        <v>213</v>
      </c>
      <c r="H839" s="1" t="s">
        <v>477</v>
      </c>
      <c r="K839" s="1" t="s">
        <v>478</v>
      </c>
      <c r="L839" s="1" t="s">
        <v>479</v>
      </c>
      <c r="M839" s="1" t="s">
        <v>496</v>
      </c>
      <c r="N839" s="1" t="s">
        <v>530</v>
      </c>
      <c r="O839" s="1" t="s">
        <v>531</v>
      </c>
      <c r="P839" s="1"/>
      <c r="Q839" s="1" t="s">
        <v>70</v>
      </c>
      <c r="Z839" s="1" t="s">
        <v>71</v>
      </c>
      <c r="AE839" s="1" t="s">
        <v>2881</v>
      </c>
      <c r="AH839" s="1" t="s">
        <v>73</v>
      </c>
      <c r="AK839" s="1" t="s">
        <v>71</v>
      </c>
      <c r="AM839" s="1" t="s">
        <v>71</v>
      </c>
      <c r="AN839" s="1" t="s">
        <v>71</v>
      </c>
      <c r="AS839" s="1" t="s">
        <v>71</v>
      </c>
      <c r="AX839" s="1" t="s">
        <v>71</v>
      </c>
      <c r="BH839" s="1" t="s">
        <v>71</v>
      </c>
    </row>
    <row r="840" customFormat="false" ht="15" hidden="false" customHeight="false" outlineLevel="0" collapsed="false">
      <c r="A840" s="1" t="s">
        <v>2882</v>
      </c>
      <c r="B840" s="1" t="s">
        <v>2883</v>
      </c>
      <c r="C840" s="1" t="s">
        <v>718</v>
      </c>
      <c r="D840" s="1" t="s">
        <v>900</v>
      </c>
      <c r="E840" s="1" t="s">
        <v>82</v>
      </c>
      <c r="F840" s="1" t="s">
        <v>391</v>
      </c>
      <c r="G840" s="1" t="s">
        <v>213</v>
      </c>
      <c r="H840" s="1" t="s">
        <v>477</v>
      </c>
      <c r="K840" s="1" t="s">
        <v>478</v>
      </c>
      <c r="L840" s="1" t="s">
        <v>479</v>
      </c>
      <c r="M840" s="1" t="s">
        <v>496</v>
      </c>
      <c r="N840" s="1" t="s">
        <v>2884</v>
      </c>
      <c r="O840" s="1" t="s">
        <v>2885</v>
      </c>
      <c r="P840" s="1"/>
      <c r="Q840" s="1" t="s">
        <v>70</v>
      </c>
      <c r="Z840" s="1" t="s">
        <v>71</v>
      </c>
      <c r="AE840" s="1" t="s">
        <v>2881</v>
      </c>
      <c r="AH840" s="1" t="s">
        <v>73</v>
      </c>
      <c r="AK840" s="1" t="s">
        <v>71</v>
      </c>
      <c r="AM840" s="1" t="s">
        <v>71</v>
      </c>
      <c r="AN840" s="1" t="s">
        <v>71</v>
      </c>
      <c r="AS840" s="1" t="s">
        <v>71</v>
      </c>
      <c r="AX840" s="1" t="s">
        <v>71</v>
      </c>
      <c r="BH840" s="1" t="s">
        <v>71</v>
      </c>
    </row>
    <row r="841" customFormat="false" ht="15" hidden="false" customHeight="false" outlineLevel="0" collapsed="false">
      <c r="A841" s="1" t="s">
        <v>2886</v>
      </c>
      <c r="B841" s="1" t="s">
        <v>2887</v>
      </c>
      <c r="C841" s="1" t="s">
        <v>856</v>
      </c>
      <c r="D841" s="1" t="s">
        <v>2594</v>
      </c>
      <c r="E841" s="1" t="s">
        <v>82</v>
      </c>
      <c r="F841" s="1" t="s">
        <v>391</v>
      </c>
      <c r="G841" s="1" t="s">
        <v>443</v>
      </c>
      <c r="H841" s="1" t="s">
        <v>444</v>
      </c>
      <c r="K841" s="1" t="s">
        <v>61</v>
      </c>
      <c r="L841" s="1" t="s">
        <v>445</v>
      </c>
      <c r="M841" s="1" t="s">
        <v>496</v>
      </c>
      <c r="N841" s="1" t="s">
        <v>2888</v>
      </c>
      <c r="O841" s="1" t="s">
        <v>400</v>
      </c>
      <c r="P841" s="1"/>
      <c r="Q841" s="1" t="s">
        <v>70</v>
      </c>
      <c r="Z841" s="1" t="s">
        <v>71</v>
      </c>
      <c r="AE841" s="1" t="s">
        <v>2889</v>
      </c>
      <c r="AH841" s="1" t="s">
        <v>73</v>
      </c>
      <c r="AK841" s="1" t="s">
        <v>71</v>
      </c>
      <c r="AM841" s="1" t="s">
        <v>71</v>
      </c>
      <c r="AN841" s="1" t="s">
        <v>71</v>
      </c>
      <c r="AS841" s="1" t="s">
        <v>71</v>
      </c>
      <c r="AX841" s="1" t="s">
        <v>71</v>
      </c>
      <c r="BH841" s="1" t="s">
        <v>71</v>
      </c>
    </row>
    <row r="842" customFormat="false" ht="15" hidden="false" customHeight="false" outlineLevel="0" collapsed="false">
      <c r="A842" s="1" t="s">
        <v>2890</v>
      </c>
      <c r="B842" s="1" t="s">
        <v>2891</v>
      </c>
      <c r="C842" s="1" t="s">
        <v>856</v>
      </c>
      <c r="D842" s="1" t="s">
        <v>2594</v>
      </c>
      <c r="E842" s="1" t="s">
        <v>82</v>
      </c>
      <c r="F842" s="1" t="s">
        <v>391</v>
      </c>
      <c r="G842" s="1" t="s">
        <v>443</v>
      </c>
      <c r="H842" s="1" t="s">
        <v>444</v>
      </c>
      <c r="K842" s="1" t="s">
        <v>61</v>
      </c>
      <c r="L842" s="1" t="s">
        <v>445</v>
      </c>
      <c r="M842" s="1" t="s">
        <v>496</v>
      </c>
      <c r="N842" s="1" t="s">
        <v>2892</v>
      </c>
      <c r="O842" s="1" t="s">
        <v>400</v>
      </c>
      <c r="P842" s="1"/>
      <c r="Q842" s="1" t="s">
        <v>70</v>
      </c>
      <c r="Z842" s="1" t="s">
        <v>71</v>
      </c>
      <c r="AE842" s="1" t="s">
        <v>2889</v>
      </c>
      <c r="AH842" s="1" t="s">
        <v>73</v>
      </c>
      <c r="AK842" s="1" t="s">
        <v>71</v>
      </c>
      <c r="AM842" s="1" t="s">
        <v>71</v>
      </c>
      <c r="AN842" s="1" t="s">
        <v>71</v>
      </c>
      <c r="AS842" s="1" t="s">
        <v>71</v>
      </c>
      <c r="AX842" s="1" t="s">
        <v>71</v>
      </c>
      <c r="BH842" s="1" t="s">
        <v>71</v>
      </c>
    </row>
    <row r="843" customFormat="false" ht="15" hidden="false" customHeight="false" outlineLevel="0" collapsed="false">
      <c r="A843" s="1" t="s">
        <v>2893</v>
      </c>
      <c r="B843" s="1" t="s">
        <v>2894</v>
      </c>
      <c r="C843" s="1" t="s">
        <v>856</v>
      </c>
      <c r="D843" s="1" t="s">
        <v>2594</v>
      </c>
      <c r="E843" s="1" t="s">
        <v>82</v>
      </c>
      <c r="F843" s="1" t="s">
        <v>391</v>
      </c>
      <c r="G843" s="1" t="s">
        <v>443</v>
      </c>
      <c r="H843" s="1" t="s">
        <v>444</v>
      </c>
      <c r="K843" s="1" t="s">
        <v>61</v>
      </c>
      <c r="L843" s="1" t="s">
        <v>445</v>
      </c>
      <c r="M843" s="1" t="s">
        <v>496</v>
      </c>
      <c r="N843" s="1" t="s">
        <v>2895</v>
      </c>
      <c r="O843" s="1" t="s">
        <v>2896</v>
      </c>
      <c r="P843" s="1"/>
      <c r="Q843" s="1" t="s">
        <v>70</v>
      </c>
      <c r="Z843" s="1" t="s">
        <v>71</v>
      </c>
      <c r="AE843" s="1" t="s">
        <v>2889</v>
      </c>
      <c r="AH843" s="1" t="s">
        <v>73</v>
      </c>
      <c r="AK843" s="1" t="s">
        <v>71</v>
      </c>
      <c r="AM843" s="1" t="s">
        <v>71</v>
      </c>
      <c r="AN843" s="1" t="s">
        <v>71</v>
      </c>
      <c r="AS843" s="1" t="s">
        <v>71</v>
      </c>
      <c r="AX843" s="1" t="s">
        <v>71</v>
      </c>
      <c r="BH843" s="1" t="s">
        <v>71</v>
      </c>
    </row>
    <row r="844" customFormat="false" ht="15" hidden="false" customHeight="false" outlineLevel="0" collapsed="false">
      <c r="A844" s="1" t="s">
        <v>2897</v>
      </c>
      <c r="B844" s="1" t="s">
        <v>2898</v>
      </c>
      <c r="C844" s="1" t="s">
        <v>856</v>
      </c>
      <c r="D844" s="1" t="s">
        <v>2594</v>
      </c>
      <c r="E844" s="1" t="s">
        <v>82</v>
      </c>
      <c r="F844" s="1" t="s">
        <v>391</v>
      </c>
      <c r="G844" s="1" t="s">
        <v>443</v>
      </c>
      <c r="H844" s="1" t="s">
        <v>444</v>
      </c>
      <c r="K844" s="1" t="s">
        <v>61</v>
      </c>
      <c r="L844" s="1" t="s">
        <v>445</v>
      </c>
      <c r="M844" s="1" t="s">
        <v>496</v>
      </c>
      <c r="N844" s="1" t="s">
        <v>1098</v>
      </c>
      <c r="O844" s="1" t="s">
        <v>400</v>
      </c>
      <c r="P844" s="1"/>
      <c r="Q844" s="1" t="s">
        <v>70</v>
      </c>
      <c r="Z844" s="1" t="s">
        <v>71</v>
      </c>
      <c r="AE844" s="1" t="s">
        <v>2889</v>
      </c>
      <c r="AH844" s="1" t="s">
        <v>73</v>
      </c>
      <c r="AK844" s="1" t="s">
        <v>71</v>
      </c>
      <c r="AM844" s="1" t="s">
        <v>71</v>
      </c>
      <c r="AN844" s="1" t="s">
        <v>71</v>
      </c>
      <c r="AS844" s="1" t="s">
        <v>71</v>
      </c>
      <c r="AX844" s="1" t="s">
        <v>71</v>
      </c>
      <c r="BH844" s="1" t="s">
        <v>71</v>
      </c>
    </row>
    <row r="845" customFormat="false" ht="15" hidden="false" customHeight="false" outlineLevel="0" collapsed="false">
      <c r="A845" s="1" t="s">
        <v>2899</v>
      </c>
      <c r="B845" s="1" t="s">
        <v>2900</v>
      </c>
      <c r="C845" s="1" t="s">
        <v>769</v>
      </c>
      <c r="D845" s="1" t="s">
        <v>390</v>
      </c>
      <c r="E845" s="1" t="s">
        <v>82</v>
      </c>
      <c r="F845" s="1" t="s">
        <v>391</v>
      </c>
      <c r="G845" s="1" t="s">
        <v>443</v>
      </c>
      <c r="H845" s="1" t="s">
        <v>444</v>
      </c>
      <c r="K845" s="1" t="s">
        <v>61</v>
      </c>
      <c r="L845" s="1" t="s">
        <v>445</v>
      </c>
      <c r="M845" s="1" t="s">
        <v>496</v>
      </c>
      <c r="N845" s="1" t="s">
        <v>905</v>
      </c>
      <c r="O845" s="1" t="s">
        <v>906</v>
      </c>
      <c r="P845" s="1"/>
      <c r="Q845" s="1" t="s">
        <v>70</v>
      </c>
      <c r="Z845" s="1" t="s">
        <v>71</v>
      </c>
      <c r="AE845" s="1" t="s">
        <v>2901</v>
      </c>
      <c r="AH845" s="1" t="s">
        <v>73</v>
      </c>
      <c r="AK845" s="1" t="s">
        <v>71</v>
      </c>
      <c r="AM845" s="1" t="s">
        <v>71</v>
      </c>
      <c r="AN845" s="1" t="s">
        <v>71</v>
      </c>
      <c r="AS845" s="1" t="s">
        <v>71</v>
      </c>
      <c r="AX845" s="1" t="s">
        <v>71</v>
      </c>
      <c r="BH845" s="1" t="s">
        <v>71</v>
      </c>
    </row>
    <row r="846" customFormat="false" ht="15" hidden="false" customHeight="false" outlineLevel="0" collapsed="false">
      <c r="A846" s="1" t="s">
        <v>2902</v>
      </c>
      <c r="B846" s="1" t="s">
        <v>2903</v>
      </c>
      <c r="C846" s="1" t="s">
        <v>769</v>
      </c>
      <c r="D846" s="1" t="s">
        <v>390</v>
      </c>
      <c r="E846" s="1" t="s">
        <v>82</v>
      </c>
      <c r="F846" s="1" t="s">
        <v>391</v>
      </c>
      <c r="G846" s="1" t="s">
        <v>443</v>
      </c>
      <c r="H846" s="1" t="s">
        <v>444</v>
      </c>
      <c r="K846" s="1" t="s">
        <v>61</v>
      </c>
      <c r="L846" s="1" t="s">
        <v>445</v>
      </c>
      <c r="M846" s="1" t="s">
        <v>496</v>
      </c>
      <c r="N846" s="1" t="s">
        <v>2265</v>
      </c>
      <c r="O846" s="1" t="s">
        <v>2266</v>
      </c>
      <c r="P846" s="1"/>
      <c r="Q846" s="1" t="s">
        <v>70</v>
      </c>
      <c r="Z846" s="1" t="s">
        <v>71</v>
      </c>
      <c r="AE846" s="1" t="s">
        <v>2901</v>
      </c>
      <c r="AH846" s="1" t="s">
        <v>73</v>
      </c>
      <c r="AK846" s="1" t="s">
        <v>71</v>
      </c>
      <c r="AM846" s="1" t="s">
        <v>71</v>
      </c>
      <c r="AN846" s="1" t="s">
        <v>71</v>
      </c>
      <c r="AS846" s="1" t="s">
        <v>71</v>
      </c>
      <c r="AX846" s="1" t="s">
        <v>71</v>
      </c>
      <c r="BH846" s="1" t="s">
        <v>71</v>
      </c>
    </row>
    <row r="847" customFormat="false" ht="15" hidden="false" customHeight="false" outlineLevel="0" collapsed="false">
      <c r="A847" s="1" t="s">
        <v>2904</v>
      </c>
      <c r="B847" s="1" t="s">
        <v>2905</v>
      </c>
      <c r="C847" s="1" t="s">
        <v>769</v>
      </c>
      <c r="D847" s="1" t="s">
        <v>390</v>
      </c>
      <c r="E847" s="1" t="s">
        <v>82</v>
      </c>
      <c r="F847" s="1" t="s">
        <v>391</v>
      </c>
      <c r="G847" s="1" t="s">
        <v>443</v>
      </c>
      <c r="H847" s="1" t="s">
        <v>444</v>
      </c>
      <c r="K847" s="1" t="s">
        <v>61</v>
      </c>
      <c r="L847" s="1" t="s">
        <v>445</v>
      </c>
      <c r="M847" s="1" t="s">
        <v>496</v>
      </c>
      <c r="N847" s="1" t="s">
        <v>842</v>
      </c>
      <c r="O847" s="1" t="s">
        <v>400</v>
      </c>
      <c r="P847" s="1"/>
      <c r="Q847" s="1" t="s">
        <v>70</v>
      </c>
      <c r="Z847" s="1" t="s">
        <v>71</v>
      </c>
      <c r="AE847" s="1" t="s">
        <v>2901</v>
      </c>
      <c r="AH847" s="1" t="s">
        <v>73</v>
      </c>
      <c r="AK847" s="1" t="s">
        <v>71</v>
      </c>
      <c r="AM847" s="1" t="s">
        <v>71</v>
      </c>
      <c r="AN847" s="1" t="s">
        <v>71</v>
      </c>
      <c r="AS847" s="1" t="s">
        <v>71</v>
      </c>
      <c r="AX847" s="1" t="s">
        <v>71</v>
      </c>
      <c r="BH847" s="1" t="s">
        <v>71</v>
      </c>
    </row>
    <row r="848" customFormat="false" ht="15" hidden="false" customHeight="false" outlineLevel="0" collapsed="false">
      <c r="A848" s="1" t="s">
        <v>2906</v>
      </c>
      <c r="B848" s="1" t="s">
        <v>2907</v>
      </c>
      <c r="C848" s="1" t="s">
        <v>858</v>
      </c>
      <c r="D848" s="1" t="s">
        <v>2908</v>
      </c>
      <c r="E848" s="1" t="s">
        <v>82</v>
      </c>
      <c r="F848" s="1" t="s">
        <v>391</v>
      </c>
      <c r="G848" s="1" t="s">
        <v>443</v>
      </c>
      <c r="H848" s="1" t="s">
        <v>444</v>
      </c>
      <c r="K848" s="1" t="s">
        <v>61</v>
      </c>
      <c r="L848" s="1" t="s">
        <v>445</v>
      </c>
      <c r="M848" s="1" t="s">
        <v>2909</v>
      </c>
      <c r="N848" s="1" t="s">
        <v>2910</v>
      </c>
      <c r="O848" s="1" t="s">
        <v>400</v>
      </c>
      <c r="P848" s="1"/>
      <c r="Q848" s="1" t="s">
        <v>70</v>
      </c>
      <c r="Z848" s="1" t="s">
        <v>71</v>
      </c>
      <c r="AE848" s="1" t="s">
        <v>2901</v>
      </c>
      <c r="AH848" s="1" t="s">
        <v>73</v>
      </c>
      <c r="AK848" s="1" t="s">
        <v>71</v>
      </c>
      <c r="AM848" s="1" t="s">
        <v>71</v>
      </c>
      <c r="AN848" s="1" t="s">
        <v>71</v>
      </c>
      <c r="AS848" s="1" t="s">
        <v>71</v>
      </c>
      <c r="AX848" s="1" t="s">
        <v>71</v>
      </c>
      <c r="BH848" s="1" t="s">
        <v>71</v>
      </c>
    </row>
    <row r="849" customFormat="false" ht="15" hidden="false" customHeight="false" outlineLevel="0" collapsed="false">
      <c r="A849" s="1" t="s">
        <v>2911</v>
      </c>
      <c r="B849" s="1" t="s">
        <v>2912</v>
      </c>
      <c r="C849" s="1" t="s">
        <v>858</v>
      </c>
      <c r="D849" s="1" t="s">
        <v>2908</v>
      </c>
      <c r="E849" s="1" t="s">
        <v>82</v>
      </c>
      <c r="F849" s="1" t="s">
        <v>391</v>
      </c>
      <c r="G849" s="1" t="s">
        <v>443</v>
      </c>
      <c r="H849" s="1" t="s">
        <v>444</v>
      </c>
      <c r="K849" s="1" t="s">
        <v>61</v>
      </c>
      <c r="L849" s="1" t="s">
        <v>445</v>
      </c>
      <c r="M849" s="1" t="s">
        <v>496</v>
      </c>
      <c r="N849" s="1" t="s">
        <v>2160</v>
      </c>
      <c r="O849" s="1" t="s">
        <v>2161</v>
      </c>
      <c r="P849" s="1"/>
      <c r="Q849" s="1" t="s">
        <v>70</v>
      </c>
      <c r="Z849" s="1" t="s">
        <v>71</v>
      </c>
      <c r="AE849" s="1" t="s">
        <v>2901</v>
      </c>
      <c r="AH849" s="1" t="s">
        <v>73</v>
      </c>
      <c r="AK849" s="1" t="s">
        <v>71</v>
      </c>
      <c r="AM849" s="1" t="s">
        <v>71</v>
      </c>
      <c r="AN849" s="1" t="s">
        <v>71</v>
      </c>
      <c r="AS849" s="1" t="s">
        <v>71</v>
      </c>
      <c r="AX849" s="1" t="s">
        <v>71</v>
      </c>
      <c r="BH849" s="1" t="s">
        <v>71</v>
      </c>
    </row>
    <row r="850" customFormat="false" ht="15" hidden="false" customHeight="false" outlineLevel="0" collapsed="false">
      <c r="A850" s="1" t="s">
        <v>2913</v>
      </c>
      <c r="B850" s="1" t="s">
        <v>2914</v>
      </c>
      <c r="C850" s="1" t="s">
        <v>528</v>
      </c>
      <c r="D850" s="1" t="s">
        <v>1274</v>
      </c>
      <c r="E850" s="1" t="s">
        <v>82</v>
      </c>
      <c r="F850" s="1" t="s">
        <v>391</v>
      </c>
      <c r="G850" s="1" t="s">
        <v>443</v>
      </c>
      <c r="H850" s="1" t="s">
        <v>444</v>
      </c>
      <c r="K850" s="1" t="s">
        <v>61</v>
      </c>
      <c r="L850" s="1" t="s">
        <v>445</v>
      </c>
      <c r="M850" s="1" t="s">
        <v>496</v>
      </c>
      <c r="N850" s="1" t="s">
        <v>2915</v>
      </c>
      <c r="O850" s="1" t="s">
        <v>2916</v>
      </c>
      <c r="P850" s="1"/>
      <c r="Q850" s="1" t="s">
        <v>70</v>
      </c>
      <c r="Z850" s="1" t="s">
        <v>71</v>
      </c>
      <c r="AE850" s="1" t="s">
        <v>2901</v>
      </c>
      <c r="AH850" s="1" t="s">
        <v>73</v>
      </c>
      <c r="AK850" s="1" t="s">
        <v>71</v>
      </c>
      <c r="AM850" s="1" t="s">
        <v>71</v>
      </c>
      <c r="AN850" s="1" t="s">
        <v>71</v>
      </c>
      <c r="AS850" s="1" t="s">
        <v>71</v>
      </c>
      <c r="AX850" s="1" t="s">
        <v>71</v>
      </c>
      <c r="BH850" s="1" t="s">
        <v>71</v>
      </c>
    </row>
    <row r="851" customFormat="false" ht="15" hidden="false" customHeight="false" outlineLevel="0" collapsed="false">
      <c r="A851" s="1" t="s">
        <v>2917</v>
      </c>
      <c r="B851" s="1" t="s">
        <v>2918</v>
      </c>
      <c r="C851" s="1" t="s">
        <v>528</v>
      </c>
      <c r="D851" s="1" t="s">
        <v>1274</v>
      </c>
      <c r="E851" s="1" t="s">
        <v>82</v>
      </c>
      <c r="F851" s="1" t="s">
        <v>391</v>
      </c>
      <c r="G851" s="1" t="s">
        <v>443</v>
      </c>
      <c r="H851" s="1" t="s">
        <v>444</v>
      </c>
      <c r="K851" s="1" t="s">
        <v>61</v>
      </c>
      <c r="L851" s="1" t="s">
        <v>445</v>
      </c>
      <c r="M851" s="1" t="s">
        <v>496</v>
      </c>
      <c r="N851" s="1" t="s">
        <v>2915</v>
      </c>
      <c r="O851" s="1" t="s">
        <v>2916</v>
      </c>
      <c r="P851" s="1"/>
      <c r="Q851" s="1" t="s">
        <v>70</v>
      </c>
      <c r="Z851" s="1" t="s">
        <v>71</v>
      </c>
      <c r="AE851" s="1" t="s">
        <v>2901</v>
      </c>
      <c r="AH851" s="1" t="s">
        <v>73</v>
      </c>
      <c r="AK851" s="1" t="s">
        <v>71</v>
      </c>
      <c r="AM851" s="1" t="s">
        <v>71</v>
      </c>
      <c r="AN851" s="1" t="s">
        <v>71</v>
      </c>
      <c r="AS851" s="1" t="s">
        <v>71</v>
      </c>
      <c r="AX851" s="1" t="s">
        <v>71</v>
      </c>
      <c r="BH851" s="1" t="s">
        <v>71</v>
      </c>
    </row>
    <row r="852" customFormat="false" ht="15" hidden="false" customHeight="false" outlineLevel="0" collapsed="false">
      <c r="A852" s="1" t="s">
        <v>2919</v>
      </c>
      <c r="B852" s="1" t="s">
        <v>2920</v>
      </c>
      <c r="C852" s="1" t="s">
        <v>718</v>
      </c>
      <c r="D852" s="1" t="s">
        <v>900</v>
      </c>
      <c r="E852" s="1" t="s">
        <v>82</v>
      </c>
      <c r="F852" s="1" t="s">
        <v>391</v>
      </c>
      <c r="G852" s="1" t="s">
        <v>213</v>
      </c>
      <c r="H852" s="1" t="s">
        <v>477</v>
      </c>
      <c r="K852" s="1" t="s">
        <v>887</v>
      </c>
      <c r="L852" s="1" t="s">
        <v>888</v>
      </c>
      <c r="M852" s="1" t="s">
        <v>496</v>
      </c>
      <c r="N852" s="1" t="s">
        <v>2921</v>
      </c>
      <c r="O852" s="1" t="s">
        <v>2922</v>
      </c>
      <c r="P852" s="1"/>
      <c r="Q852" s="1" t="s">
        <v>70</v>
      </c>
      <c r="Z852" s="1" t="s">
        <v>71</v>
      </c>
      <c r="AE852" s="1" t="s">
        <v>2923</v>
      </c>
      <c r="AH852" s="1" t="s">
        <v>73</v>
      </c>
      <c r="AK852" s="1" t="s">
        <v>71</v>
      </c>
      <c r="AM852" s="1" t="s">
        <v>71</v>
      </c>
      <c r="AN852" s="1" t="s">
        <v>71</v>
      </c>
      <c r="AS852" s="1" t="s">
        <v>71</v>
      </c>
      <c r="AX852" s="1" t="s">
        <v>71</v>
      </c>
      <c r="BH852" s="1" t="s">
        <v>71</v>
      </c>
    </row>
    <row r="853" customFormat="false" ht="15" hidden="false" customHeight="false" outlineLevel="0" collapsed="false">
      <c r="A853" s="1" t="s">
        <v>2924</v>
      </c>
      <c r="B853" s="1" t="s">
        <v>2925</v>
      </c>
      <c r="C853" s="1" t="s">
        <v>718</v>
      </c>
      <c r="D853" s="1" t="s">
        <v>900</v>
      </c>
      <c r="E853" s="1" t="s">
        <v>82</v>
      </c>
      <c r="F853" s="1" t="s">
        <v>391</v>
      </c>
      <c r="G853" s="1" t="s">
        <v>213</v>
      </c>
      <c r="H853" s="1" t="s">
        <v>477</v>
      </c>
      <c r="K853" s="1" t="s">
        <v>887</v>
      </c>
      <c r="L853" s="1" t="s">
        <v>888</v>
      </c>
      <c r="M853" s="1" t="s">
        <v>496</v>
      </c>
      <c r="N853" s="1" t="s">
        <v>2921</v>
      </c>
      <c r="O853" s="1" t="s">
        <v>2922</v>
      </c>
      <c r="P853" s="1"/>
      <c r="Q853" s="1" t="s">
        <v>70</v>
      </c>
      <c r="Z853" s="1" t="s">
        <v>71</v>
      </c>
      <c r="AE853" s="1" t="s">
        <v>2923</v>
      </c>
      <c r="AH853" s="1" t="s">
        <v>73</v>
      </c>
      <c r="AK853" s="1" t="s">
        <v>71</v>
      </c>
      <c r="AM853" s="1" t="s">
        <v>71</v>
      </c>
      <c r="AN853" s="1" t="s">
        <v>71</v>
      </c>
      <c r="AS853" s="1" t="s">
        <v>71</v>
      </c>
      <c r="AX853" s="1" t="s">
        <v>71</v>
      </c>
      <c r="BH853" s="1" t="s">
        <v>71</v>
      </c>
    </row>
    <row r="854" customFormat="false" ht="15" hidden="false" customHeight="false" outlineLevel="0" collapsed="false">
      <c r="A854" s="1" t="s">
        <v>2926</v>
      </c>
      <c r="B854" s="1" t="s">
        <v>2927</v>
      </c>
      <c r="C854" s="1" t="s">
        <v>718</v>
      </c>
      <c r="D854" s="1" t="s">
        <v>900</v>
      </c>
      <c r="E854" s="1" t="s">
        <v>82</v>
      </c>
      <c r="F854" s="1" t="s">
        <v>391</v>
      </c>
      <c r="G854" s="1" t="s">
        <v>213</v>
      </c>
      <c r="H854" s="1" t="s">
        <v>477</v>
      </c>
      <c r="K854" s="1" t="s">
        <v>478</v>
      </c>
      <c r="L854" s="1" t="s">
        <v>479</v>
      </c>
      <c r="M854" s="1" t="s">
        <v>496</v>
      </c>
      <c r="N854" s="1" t="s">
        <v>2587</v>
      </c>
      <c r="O854" s="1" t="s">
        <v>400</v>
      </c>
      <c r="P854" s="1"/>
      <c r="Q854" s="1" t="s">
        <v>70</v>
      </c>
      <c r="Z854" s="1" t="s">
        <v>71</v>
      </c>
      <c r="AE854" s="1" t="s">
        <v>2923</v>
      </c>
      <c r="AH854" s="1" t="s">
        <v>73</v>
      </c>
      <c r="AK854" s="1" t="s">
        <v>71</v>
      </c>
      <c r="AM854" s="1" t="s">
        <v>71</v>
      </c>
      <c r="AN854" s="1" t="s">
        <v>71</v>
      </c>
      <c r="AS854" s="1" t="s">
        <v>71</v>
      </c>
      <c r="AX854" s="1" t="s">
        <v>71</v>
      </c>
      <c r="BH854" s="1" t="s">
        <v>71</v>
      </c>
    </row>
    <row r="855" customFormat="false" ht="15" hidden="false" customHeight="false" outlineLevel="0" collapsed="false">
      <c r="A855" s="1" t="s">
        <v>2928</v>
      </c>
      <c r="B855" s="1" t="s">
        <v>2929</v>
      </c>
      <c r="C855" s="1" t="s">
        <v>718</v>
      </c>
      <c r="D855" s="1" t="s">
        <v>900</v>
      </c>
      <c r="E855" s="1" t="s">
        <v>82</v>
      </c>
      <c r="F855" s="1" t="s">
        <v>391</v>
      </c>
      <c r="G855" s="1" t="s">
        <v>213</v>
      </c>
      <c r="H855" s="1" t="s">
        <v>477</v>
      </c>
      <c r="K855" s="1" t="s">
        <v>887</v>
      </c>
      <c r="L855" s="1" t="s">
        <v>888</v>
      </c>
      <c r="M855" s="1" t="s">
        <v>496</v>
      </c>
      <c r="N855" s="1" t="s">
        <v>1145</v>
      </c>
      <c r="O855" s="1" t="s">
        <v>1140</v>
      </c>
      <c r="P855" s="1"/>
      <c r="Q855" s="1" t="s">
        <v>70</v>
      </c>
      <c r="Z855" s="1" t="s">
        <v>71</v>
      </c>
      <c r="AE855" s="1" t="s">
        <v>2923</v>
      </c>
      <c r="AH855" s="1" t="s">
        <v>73</v>
      </c>
      <c r="AK855" s="1" t="s">
        <v>71</v>
      </c>
      <c r="AM855" s="1" t="s">
        <v>71</v>
      </c>
      <c r="AN855" s="1" t="s">
        <v>71</v>
      </c>
      <c r="AS855" s="1" t="s">
        <v>71</v>
      </c>
      <c r="AX855" s="1" t="s">
        <v>71</v>
      </c>
      <c r="BH855" s="1" t="s">
        <v>71</v>
      </c>
    </row>
    <row r="856" customFormat="false" ht="15" hidden="false" customHeight="false" outlineLevel="0" collapsed="false">
      <c r="A856" s="1" t="s">
        <v>2930</v>
      </c>
      <c r="B856" s="1" t="s">
        <v>2931</v>
      </c>
      <c r="C856" s="1" t="s">
        <v>856</v>
      </c>
      <c r="D856" s="1" t="s">
        <v>2594</v>
      </c>
      <c r="E856" s="1" t="s">
        <v>82</v>
      </c>
      <c r="F856" s="1" t="s">
        <v>391</v>
      </c>
      <c r="G856" s="1" t="s">
        <v>443</v>
      </c>
      <c r="H856" s="1" t="s">
        <v>444</v>
      </c>
      <c r="K856" s="1" t="s">
        <v>61</v>
      </c>
      <c r="L856" s="1" t="s">
        <v>445</v>
      </c>
      <c r="M856" s="1" t="s">
        <v>496</v>
      </c>
      <c r="N856" s="1" t="s">
        <v>2932</v>
      </c>
      <c r="O856" s="1" t="s">
        <v>2933</v>
      </c>
      <c r="P856" s="1"/>
      <c r="Q856" s="1" t="s">
        <v>70</v>
      </c>
      <c r="Z856" s="1" t="s">
        <v>71</v>
      </c>
      <c r="AE856" s="1" t="s">
        <v>2923</v>
      </c>
      <c r="AH856" s="1" t="s">
        <v>73</v>
      </c>
      <c r="AK856" s="1" t="s">
        <v>71</v>
      </c>
      <c r="AM856" s="1" t="s">
        <v>71</v>
      </c>
      <c r="AN856" s="1" t="s">
        <v>71</v>
      </c>
      <c r="AS856" s="1" t="s">
        <v>71</v>
      </c>
      <c r="AX856" s="1" t="s">
        <v>71</v>
      </c>
      <c r="BH856" s="1" t="s">
        <v>71</v>
      </c>
    </row>
    <row r="857" customFormat="false" ht="15" hidden="false" customHeight="false" outlineLevel="0" collapsed="false">
      <c r="A857" s="1" t="s">
        <v>2934</v>
      </c>
      <c r="B857" s="1" t="s">
        <v>2935</v>
      </c>
      <c r="C857" s="1" t="s">
        <v>628</v>
      </c>
      <c r="D857" s="1" t="s">
        <v>2936</v>
      </c>
      <c r="E857" s="1" t="s">
        <v>82</v>
      </c>
      <c r="F857" s="1" t="s">
        <v>391</v>
      </c>
      <c r="G857" s="1" t="s">
        <v>97</v>
      </c>
      <c r="H857" s="1" t="s">
        <v>406</v>
      </c>
      <c r="K857" s="1" t="s">
        <v>59</v>
      </c>
      <c r="L857" s="1" t="s">
        <v>791</v>
      </c>
      <c r="M857" s="1" t="s">
        <v>496</v>
      </c>
      <c r="N857" s="1" t="s">
        <v>884</v>
      </c>
      <c r="O857" s="1" t="s">
        <v>447</v>
      </c>
      <c r="P857" s="1"/>
      <c r="Q857" s="1" t="s">
        <v>70</v>
      </c>
      <c r="Z857" s="1" t="s">
        <v>71</v>
      </c>
      <c r="AE857" s="1" t="s">
        <v>2937</v>
      </c>
      <c r="AH857" s="1" t="s">
        <v>73</v>
      </c>
      <c r="AK857" s="1" t="s">
        <v>71</v>
      </c>
      <c r="AM857" s="1" t="s">
        <v>71</v>
      </c>
      <c r="AN857" s="1" t="s">
        <v>71</v>
      </c>
      <c r="AS857" s="1" t="s">
        <v>71</v>
      </c>
      <c r="AX857" s="1" t="s">
        <v>71</v>
      </c>
      <c r="BH857" s="1" t="s">
        <v>71</v>
      </c>
    </row>
    <row r="858" customFormat="false" ht="15" hidden="false" customHeight="false" outlineLevel="0" collapsed="false">
      <c r="A858" s="1" t="s">
        <v>2938</v>
      </c>
      <c r="B858" s="1" t="s">
        <v>2939</v>
      </c>
      <c r="C858" s="1" t="s">
        <v>150</v>
      </c>
      <c r="D858" s="1" t="s">
        <v>405</v>
      </c>
      <c r="E858" s="1" t="s">
        <v>82</v>
      </c>
      <c r="F858" s="1" t="s">
        <v>391</v>
      </c>
      <c r="G858" s="1" t="s">
        <v>97</v>
      </c>
      <c r="H858" s="1" t="s">
        <v>406</v>
      </c>
      <c r="K858" s="1" t="s">
        <v>407</v>
      </c>
      <c r="L858" s="1" t="s">
        <v>408</v>
      </c>
      <c r="M858" s="1" t="s">
        <v>496</v>
      </c>
      <c r="N858" s="1" t="s">
        <v>2302</v>
      </c>
      <c r="O858" s="1" t="s">
        <v>2303</v>
      </c>
      <c r="P858" s="1"/>
      <c r="Q858" s="1" t="s">
        <v>70</v>
      </c>
      <c r="Z858" s="1" t="s">
        <v>71</v>
      </c>
      <c r="AE858" s="1" t="s">
        <v>2937</v>
      </c>
      <c r="AH858" s="1" t="s">
        <v>73</v>
      </c>
      <c r="AK858" s="1" t="s">
        <v>71</v>
      </c>
      <c r="AM858" s="1" t="s">
        <v>71</v>
      </c>
      <c r="AN858" s="1" t="s">
        <v>71</v>
      </c>
      <c r="AS858" s="1" t="s">
        <v>71</v>
      </c>
      <c r="AX858" s="1" t="s">
        <v>71</v>
      </c>
      <c r="BH858" s="1" t="s">
        <v>71</v>
      </c>
    </row>
    <row r="859" customFormat="false" ht="15" hidden="false" customHeight="false" outlineLevel="0" collapsed="false">
      <c r="A859" s="1" t="s">
        <v>2940</v>
      </c>
      <c r="B859" s="1" t="s">
        <v>2941</v>
      </c>
      <c r="C859" s="1" t="s">
        <v>1399</v>
      </c>
      <c r="D859" s="1" t="s">
        <v>1400</v>
      </c>
      <c r="E859" s="1" t="s">
        <v>82</v>
      </c>
      <c r="F859" s="1" t="s">
        <v>391</v>
      </c>
      <c r="G859" s="1" t="s">
        <v>1356</v>
      </c>
      <c r="H859" s="1" t="s">
        <v>1825</v>
      </c>
      <c r="K859" s="1" t="s">
        <v>1849</v>
      </c>
      <c r="L859" s="1" t="s">
        <v>2456</v>
      </c>
      <c r="M859" s="1" t="s">
        <v>496</v>
      </c>
      <c r="N859" s="1" t="s">
        <v>2942</v>
      </c>
      <c r="O859" s="1" t="s">
        <v>2943</v>
      </c>
      <c r="P859" s="1"/>
      <c r="Q859" s="1" t="s">
        <v>70</v>
      </c>
      <c r="Z859" s="1" t="s">
        <v>71</v>
      </c>
      <c r="AE859" s="1" t="s">
        <v>2944</v>
      </c>
      <c r="AH859" s="1" t="s">
        <v>73</v>
      </c>
      <c r="AK859" s="1" t="s">
        <v>71</v>
      </c>
      <c r="AM859" s="1" t="s">
        <v>71</v>
      </c>
      <c r="AN859" s="1" t="s">
        <v>71</v>
      </c>
      <c r="AS859" s="1" t="s">
        <v>71</v>
      </c>
      <c r="AX859" s="1" t="s">
        <v>71</v>
      </c>
      <c r="BH859" s="1" t="s">
        <v>71</v>
      </c>
    </row>
    <row r="860" customFormat="false" ht="15" hidden="false" customHeight="false" outlineLevel="0" collapsed="false">
      <c r="A860" s="1" t="s">
        <v>2945</v>
      </c>
      <c r="B860" s="1" t="s">
        <v>2946</v>
      </c>
      <c r="C860" s="1" t="s">
        <v>769</v>
      </c>
      <c r="D860" s="1" t="s">
        <v>390</v>
      </c>
      <c r="E860" s="1" t="s">
        <v>82</v>
      </c>
      <c r="F860" s="1" t="s">
        <v>391</v>
      </c>
      <c r="G860" s="1" t="s">
        <v>182</v>
      </c>
      <c r="H860" s="1" t="s">
        <v>392</v>
      </c>
      <c r="K860" s="1" t="s">
        <v>65</v>
      </c>
      <c r="L860" s="1" t="s">
        <v>517</v>
      </c>
      <c r="M860" s="1" t="s">
        <v>496</v>
      </c>
      <c r="N860" s="1" t="s">
        <v>2796</v>
      </c>
      <c r="O860" s="1" t="s">
        <v>2797</v>
      </c>
      <c r="P860" s="1"/>
      <c r="Q860" s="1" t="s">
        <v>70</v>
      </c>
      <c r="Z860" s="1" t="s">
        <v>71</v>
      </c>
      <c r="AE860" s="1" t="s">
        <v>2944</v>
      </c>
      <c r="AH860" s="1" t="s">
        <v>73</v>
      </c>
      <c r="AK860" s="1" t="s">
        <v>71</v>
      </c>
      <c r="AM860" s="1" t="s">
        <v>71</v>
      </c>
      <c r="AN860" s="1" t="s">
        <v>71</v>
      </c>
      <c r="AS860" s="1" t="s">
        <v>71</v>
      </c>
      <c r="AX860" s="1" t="s">
        <v>71</v>
      </c>
      <c r="BH860" s="1" t="s">
        <v>71</v>
      </c>
    </row>
    <row r="861" customFormat="false" ht="15" hidden="false" customHeight="false" outlineLevel="0" collapsed="false">
      <c r="A861" s="1" t="s">
        <v>2947</v>
      </c>
      <c r="B861" s="1" t="s">
        <v>2948</v>
      </c>
      <c r="C861" s="1" t="s">
        <v>769</v>
      </c>
      <c r="D861" s="1" t="s">
        <v>390</v>
      </c>
      <c r="E861" s="1" t="s">
        <v>82</v>
      </c>
      <c r="F861" s="1" t="s">
        <v>391</v>
      </c>
      <c r="G861" s="1" t="s">
        <v>182</v>
      </c>
      <c r="H861" s="1" t="s">
        <v>392</v>
      </c>
      <c r="K861" s="1" t="s">
        <v>65</v>
      </c>
      <c r="L861" s="1" t="s">
        <v>517</v>
      </c>
      <c r="M861" s="1" t="s">
        <v>496</v>
      </c>
      <c r="N861" s="1" t="s">
        <v>905</v>
      </c>
      <c r="O861" s="1" t="s">
        <v>906</v>
      </c>
      <c r="P861" s="1"/>
      <c r="Q861" s="1" t="s">
        <v>70</v>
      </c>
      <c r="Z861" s="1" t="s">
        <v>71</v>
      </c>
      <c r="AE861" s="1" t="s">
        <v>2944</v>
      </c>
      <c r="AH861" s="1" t="s">
        <v>73</v>
      </c>
      <c r="AK861" s="1" t="s">
        <v>71</v>
      </c>
      <c r="AM861" s="1" t="s">
        <v>71</v>
      </c>
      <c r="AN861" s="1" t="s">
        <v>71</v>
      </c>
      <c r="AS861" s="1" t="s">
        <v>71</v>
      </c>
      <c r="AX861" s="1" t="s">
        <v>71</v>
      </c>
      <c r="BH861" s="1" t="s">
        <v>71</v>
      </c>
    </row>
    <row r="862" customFormat="false" ht="15" hidden="false" customHeight="false" outlineLevel="0" collapsed="false">
      <c r="A862" s="1" t="s">
        <v>2949</v>
      </c>
      <c r="B862" s="1" t="s">
        <v>2950</v>
      </c>
      <c r="C862" s="1" t="s">
        <v>769</v>
      </c>
      <c r="D862" s="1" t="s">
        <v>390</v>
      </c>
      <c r="E862" s="1" t="s">
        <v>82</v>
      </c>
      <c r="F862" s="1" t="s">
        <v>391</v>
      </c>
      <c r="G862" s="1" t="s">
        <v>182</v>
      </c>
      <c r="H862" s="1" t="s">
        <v>392</v>
      </c>
      <c r="K862" s="1" t="s">
        <v>65</v>
      </c>
      <c r="L862" s="1" t="s">
        <v>517</v>
      </c>
      <c r="M862" s="1" t="s">
        <v>496</v>
      </c>
      <c r="N862" s="1" t="s">
        <v>2951</v>
      </c>
      <c r="O862" s="1" t="s">
        <v>2952</v>
      </c>
      <c r="P862" s="1"/>
      <c r="Q862" s="1" t="s">
        <v>70</v>
      </c>
      <c r="Z862" s="1" t="s">
        <v>71</v>
      </c>
      <c r="AE862" s="1" t="s">
        <v>2944</v>
      </c>
      <c r="AH862" s="1" t="s">
        <v>73</v>
      </c>
      <c r="AK862" s="1" t="s">
        <v>71</v>
      </c>
      <c r="AM862" s="1" t="s">
        <v>71</v>
      </c>
      <c r="AN862" s="1" t="s">
        <v>71</v>
      </c>
      <c r="AS862" s="1" t="s">
        <v>71</v>
      </c>
      <c r="AX862" s="1" t="s">
        <v>71</v>
      </c>
      <c r="BH862" s="1" t="s">
        <v>71</v>
      </c>
    </row>
    <row r="863" customFormat="false" ht="15" hidden="false" customHeight="false" outlineLevel="0" collapsed="false">
      <c r="A863" s="1" t="s">
        <v>2953</v>
      </c>
      <c r="B863" s="1" t="s">
        <v>2954</v>
      </c>
      <c r="C863" s="1" t="s">
        <v>878</v>
      </c>
      <c r="D863" s="1" t="s">
        <v>2955</v>
      </c>
      <c r="E863" s="1" t="s">
        <v>82</v>
      </c>
      <c r="F863" s="1" t="s">
        <v>391</v>
      </c>
      <c r="G863" s="1" t="s">
        <v>97</v>
      </c>
      <c r="H863" s="1" t="s">
        <v>406</v>
      </c>
      <c r="K863" s="1" t="s">
        <v>453</v>
      </c>
      <c r="L863" s="1" t="s">
        <v>454</v>
      </c>
      <c r="M863" s="1" t="s">
        <v>1107</v>
      </c>
      <c r="N863" s="1" t="s">
        <v>2956</v>
      </c>
      <c r="O863" s="1" t="s">
        <v>447</v>
      </c>
      <c r="P863" s="1"/>
      <c r="Q863" s="1" t="s">
        <v>70</v>
      </c>
      <c r="Z863" s="1" t="s">
        <v>71</v>
      </c>
      <c r="AE863" s="1" t="s">
        <v>2957</v>
      </c>
      <c r="AH863" s="1" t="s">
        <v>73</v>
      </c>
      <c r="AK863" s="1" t="s">
        <v>71</v>
      </c>
      <c r="AM863" s="1" t="s">
        <v>71</v>
      </c>
      <c r="AN863" s="1" t="s">
        <v>71</v>
      </c>
      <c r="AS863" s="1" t="s">
        <v>71</v>
      </c>
      <c r="AX863" s="1" t="s">
        <v>71</v>
      </c>
      <c r="BH863" s="1" t="s">
        <v>71</v>
      </c>
    </row>
    <row r="864" customFormat="false" ht="15" hidden="false" customHeight="false" outlineLevel="0" collapsed="false">
      <c r="A864" s="1" t="s">
        <v>2958</v>
      </c>
      <c r="B864" s="1" t="s">
        <v>2959</v>
      </c>
      <c r="C864" s="1" t="s">
        <v>882</v>
      </c>
      <c r="D864" s="1" t="s">
        <v>2466</v>
      </c>
      <c r="E864" s="1" t="s">
        <v>82</v>
      </c>
      <c r="F864" s="1" t="s">
        <v>391</v>
      </c>
      <c r="G864" s="1" t="s">
        <v>213</v>
      </c>
      <c r="H864" s="1" t="s">
        <v>477</v>
      </c>
      <c r="K864" s="1" t="s">
        <v>478</v>
      </c>
      <c r="L864" s="1" t="s">
        <v>479</v>
      </c>
      <c r="M864" s="1" t="s">
        <v>2960</v>
      </c>
      <c r="N864" s="1" t="s">
        <v>2961</v>
      </c>
      <c r="O864" s="1" t="s">
        <v>2962</v>
      </c>
      <c r="P864" s="1"/>
      <c r="Q864" s="1" t="s">
        <v>70</v>
      </c>
      <c r="Z864" s="1" t="s">
        <v>71</v>
      </c>
      <c r="AE864" s="1" t="s">
        <v>2957</v>
      </c>
      <c r="AH864" s="1" t="s">
        <v>73</v>
      </c>
      <c r="AK864" s="1" t="s">
        <v>71</v>
      </c>
      <c r="AM864" s="1" t="s">
        <v>71</v>
      </c>
      <c r="AN864" s="1" t="s">
        <v>71</v>
      </c>
      <c r="AS864" s="1" t="s">
        <v>71</v>
      </c>
      <c r="AX864" s="1" t="s">
        <v>71</v>
      </c>
      <c r="BH864" s="1" t="s">
        <v>71</v>
      </c>
    </row>
    <row r="865" customFormat="false" ht="15" hidden="false" customHeight="false" outlineLevel="0" collapsed="false">
      <c r="A865" s="1" t="s">
        <v>2963</v>
      </c>
      <c r="B865" s="1" t="s">
        <v>2964</v>
      </c>
      <c r="C865" s="1" t="s">
        <v>251</v>
      </c>
      <c r="D865" s="1" t="s">
        <v>2965</v>
      </c>
      <c r="E865" s="1" t="s">
        <v>82</v>
      </c>
      <c r="F865" s="1" t="s">
        <v>391</v>
      </c>
      <c r="G865" s="1" t="s">
        <v>443</v>
      </c>
      <c r="H865" s="1" t="s">
        <v>444</v>
      </c>
      <c r="K865" s="1" t="s">
        <v>618</v>
      </c>
      <c r="L865" s="1" t="s">
        <v>619</v>
      </c>
      <c r="M865" s="1" t="s">
        <v>1630</v>
      </c>
      <c r="N865" s="1" t="s">
        <v>2966</v>
      </c>
      <c r="O865" s="1" t="s">
        <v>447</v>
      </c>
      <c r="P865" s="1"/>
      <c r="Q865" s="1" t="s">
        <v>70</v>
      </c>
      <c r="Z865" s="1" t="s">
        <v>71</v>
      </c>
      <c r="AE865" s="1" t="s">
        <v>2957</v>
      </c>
      <c r="AH865" s="1" t="s">
        <v>73</v>
      </c>
      <c r="AK865" s="1" t="s">
        <v>71</v>
      </c>
      <c r="AM865" s="1" t="s">
        <v>71</v>
      </c>
      <c r="AN865" s="1" t="s">
        <v>71</v>
      </c>
      <c r="AS865" s="1" t="s">
        <v>71</v>
      </c>
      <c r="AX865" s="1" t="s">
        <v>71</v>
      </c>
      <c r="BH865" s="1" t="s">
        <v>71</v>
      </c>
    </row>
    <row r="866" customFormat="false" ht="15" hidden="false" customHeight="false" outlineLevel="0" collapsed="false">
      <c r="A866" s="1" t="s">
        <v>2967</v>
      </c>
      <c r="B866" s="1" t="s">
        <v>2968</v>
      </c>
      <c r="C866" s="1" t="s">
        <v>251</v>
      </c>
      <c r="D866" s="1" t="s">
        <v>2965</v>
      </c>
      <c r="E866" s="1" t="s">
        <v>82</v>
      </c>
      <c r="F866" s="1" t="s">
        <v>391</v>
      </c>
      <c r="G866" s="1" t="s">
        <v>443</v>
      </c>
      <c r="H866" s="1" t="s">
        <v>444</v>
      </c>
      <c r="K866" s="1" t="s">
        <v>618</v>
      </c>
      <c r="L866" s="1" t="s">
        <v>619</v>
      </c>
      <c r="M866" s="1" t="s">
        <v>2969</v>
      </c>
      <c r="N866" s="1" t="s">
        <v>2970</v>
      </c>
      <c r="O866" s="1" t="s">
        <v>447</v>
      </c>
      <c r="P866" s="1"/>
      <c r="Q866" s="1" t="s">
        <v>70</v>
      </c>
      <c r="Z866" s="1" t="s">
        <v>71</v>
      </c>
      <c r="AE866" s="1" t="s">
        <v>2957</v>
      </c>
      <c r="AH866" s="1" t="s">
        <v>73</v>
      </c>
      <c r="AK866" s="1" t="s">
        <v>71</v>
      </c>
      <c r="AM866" s="1" t="s">
        <v>71</v>
      </c>
      <c r="AN866" s="1" t="s">
        <v>71</v>
      </c>
      <c r="AS866" s="1" t="s">
        <v>71</v>
      </c>
      <c r="AX866" s="1" t="s">
        <v>71</v>
      </c>
      <c r="BH866" s="1" t="s">
        <v>71</v>
      </c>
    </row>
    <row r="867" customFormat="false" ht="15" hidden="false" customHeight="false" outlineLevel="0" collapsed="false">
      <c r="A867" s="1" t="s">
        <v>2971</v>
      </c>
      <c r="B867" s="1" t="s">
        <v>2972</v>
      </c>
      <c r="C867" s="1" t="s">
        <v>251</v>
      </c>
      <c r="D867" s="1" t="s">
        <v>2965</v>
      </c>
      <c r="E867" s="1" t="s">
        <v>82</v>
      </c>
      <c r="F867" s="1" t="s">
        <v>391</v>
      </c>
      <c r="G867" s="1" t="s">
        <v>443</v>
      </c>
      <c r="H867" s="1" t="s">
        <v>444</v>
      </c>
      <c r="K867" s="1" t="s">
        <v>618</v>
      </c>
      <c r="L867" s="1" t="s">
        <v>619</v>
      </c>
      <c r="M867" s="1" t="s">
        <v>496</v>
      </c>
      <c r="N867" s="1" t="s">
        <v>2973</v>
      </c>
      <c r="O867" s="1" t="s">
        <v>2974</v>
      </c>
      <c r="P867" s="1"/>
      <c r="Q867" s="1" t="s">
        <v>70</v>
      </c>
      <c r="Z867" s="1" t="s">
        <v>71</v>
      </c>
      <c r="AE867" s="1" t="s">
        <v>2957</v>
      </c>
      <c r="AH867" s="1" t="s">
        <v>73</v>
      </c>
      <c r="AK867" s="1" t="s">
        <v>71</v>
      </c>
      <c r="AM867" s="1" t="s">
        <v>71</v>
      </c>
      <c r="AN867" s="1" t="s">
        <v>71</v>
      </c>
      <c r="AS867" s="1" t="s">
        <v>71</v>
      </c>
      <c r="AX867" s="1" t="s">
        <v>71</v>
      </c>
      <c r="BH867" s="1" t="s">
        <v>71</v>
      </c>
    </row>
    <row r="868" customFormat="false" ht="15" hidden="false" customHeight="false" outlineLevel="0" collapsed="false">
      <c r="A868" s="1" t="s">
        <v>2975</v>
      </c>
      <c r="B868" s="1" t="s">
        <v>2976</v>
      </c>
      <c r="C868" s="1" t="s">
        <v>251</v>
      </c>
      <c r="D868" s="1" t="s">
        <v>2965</v>
      </c>
      <c r="E868" s="1" t="s">
        <v>82</v>
      </c>
      <c r="F868" s="1" t="s">
        <v>391</v>
      </c>
      <c r="G868" s="1" t="s">
        <v>443</v>
      </c>
      <c r="H868" s="1" t="s">
        <v>444</v>
      </c>
      <c r="K868" s="1" t="s">
        <v>618</v>
      </c>
      <c r="L868" s="1" t="s">
        <v>619</v>
      </c>
      <c r="M868" s="1" t="s">
        <v>496</v>
      </c>
      <c r="N868" s="1" t="s">
        <v>2977</v>
      </c>
      <c r="O868" s="1" t="s">
        <v>2978</v>
      </c>
      <c r="P868" s="1"/>
      <c r="Q868" s="1" t="s">
        <v>70</v>
      </c>
      <c r="Z868" s="1" t="s">
        <v>71</v>
      </c>
      <c r="AE868" s="1" t="s">
        <v>2957</v>
      </c>
      <c r="AH868" s="1" t="s">
        <v>73</v>
      </c>
      <c r="AK868" s="1" t="s">
        <v>71</v>
      </c>
      <c r="AM868" s="1" t="s">
        <v>71</v>
      </c>
      <c r="AN868" s="1" t="s">
        <v>71</v>
      </c>
      <c r="AS868" s="1" t="s">
        <v>71</v>
      </c>
      <c r="AX868" s="1" t="s">
        <v>71</v>
      </c>
      <c r="BH868" s="1" t="s">
        <v>71</v>
      </c>
    </row>
    <row r="869" customFormat="false" ht="15" hidden="false" customHeight="false" outlineLevel="0" collapsed="false">
      <c r="A869" s="1" t="s">
        <v>2979</v>
      </c>
      <c r="B869" s="1" t="s">
        <v>2980</v>
      </c>
      <c r="C869" s="1" t="s">
        <v>251</v>
      </c>
      <c r="D869" s="1" t="s">
        <v>2965</v>
      </c>
      <c r="E869" s="1" t="s">
        <v>82</v>
      </c>
      <c r="F869" s="1" t="s">
        <v>391</v>
      </c>
      <c r="G869" s="1" t="s">
        <v>443</v>
      </c>
      <c r="H869" s="1" t="s">
        <v>444</v>
      </c>
      <c r="K869" s="1" t="s">
        <v>618</v>
      </c>
      <c r="L869" s="1" t="s">
        <v>619</v>
      </c>
      <c r="M869" s="1" t="s">
        <v>496</v>
      </c>
      <c r="N869" s="1" t="s">
        <v>2977</v>
      </c>
      <c r="O869" s="1" t="s">
        <v>2978</v>
      </c>
      <c r="P869" s="1"/>
      <c r="Q869" s="1" t="s">
        <v>70</v>
      </c>
      <c r="Z869" s="1" t="s">
        <v>71</v>
      </c>
      <c r="AE869" s="1" t="s">
        <v>2957</v>
      </c>
      <c r="AH869" s="1" t="s">
        <v>73</v>
      </c>
      <c r="AK869" s="1" t="s">
        <v>71</v>
      </c>
      <c r="AM869" s="1" t="s">
        <v>71</v>
      </c>
      <c r="AN869" s="1" t="s">
        <v>71</v>
      </c>
      <c r="AS869" s="1" t="s">
        <v>71</v>
      </c>
      <c r="AX869" s="1" t="s">
        <v>71</v>
      </c>
      <c r="BH869" s="1" t="s">
        <v>71</v>
      </c>
    </row>
    <row r="870" customFormat="false" ht="15" hidden="false" customHeight="false" outlineLevel="0" collapsed="false">
      <c r="A870" s="1" t="s">
        <v>2981</v>
      </c>
      <c r="B870" s="1" t="s">
        <v>2982</v>
      </c>
      <c r="C870" s="1" t="s">
        <v>251</v>
      </c>
      <c r="D870" s="1" t="s">
        <v>2965</v>
      </c>
      <c r="E870" s="1" t="s">
        <v>82</v>
      </c>
      <c r="F870" s="1" t="s">
        <v>391</v>
      </c>
      <c r="G870" s="1" t="s">
        <v>443</v>
      </c>
      <c r="H870" s="1" t="s">
        <v>444</v>
      </c>
      <c r="K870" s="1" t="s">
        <v>618</v>
      </c>
      <c r="L870" s="1" t="s">
        <v>619</v>
      </c>
      <c r="M870" s="1" t="s">
        <v>496</v>
      </c>
      <c r="N870" s="1" t="s">
        <v>668</v>
      </c>
      <c r="O870" s="1" t="s">
        <v>669</v>
      </c>
      <c r="P870" s="1"/>
      <c r="Q870" s="1" t="s">
        <v>70</v>
      </c>
      <c r="Z870" s="1" t="s">
        <v>71</v>
      </c>
      <c r="AE870" s="1" t="s">
        <v>2957</v>
      </c>
      <c r="AH870" s="1" t="s">
        <v>73</v>
      </c>
      <c r="AK870" s="1" t="s">
        <v>71</v>
      </c>
      <c r="AM870" s="1" t="s">
        <v>71</v>
      </c>
      <c r="AN870" s="1" t="s">
        <v>71</v>
      </c>
      <c r="AS870" s="1" t="s">
        <v>71</v>
      </c>
      <c r="AX870" s="1" t="s">
        <v>71</v>
      </c>
      <c r="BH870" s="1" t="s">
        <v>71</v>
      </c>
    </row>
    <row r="871" customFormat="false" ht="15" hidden="false" customHeight="false" outlineLevel="0" collapsed="false">
      <c r="A871" s="1" t="s">
        <v>2983</v>
      </c>
      <c r="B871" s="1" t="s">
        <v>2984</v>
      </c>
      <c r="C871" s="1" t="s">
        <v>528</v>
      </c>
      <c r="D871" s="1" t="s">
        <v>1274</v>
      </c>
      <c r="E871" s="1" t="s">
        <v>82</v>
      </c>
      <c r="F871" s="1" t="s">
        <v>391</v>
      </c>
      <c r="G871" s="1" t="s">
        <v>443</v>
      </c>
      <c r="H871" s="1" t="s">
        <v>444</v>
      </c>
      <c r="K871" s="1" t="s">
        <v>220</v>
      </c>
      <c r="L871" s="1" t="s">
        <v>1700</v>
      </c>
      <c r="M871" s="1" t="s">
        <v>496</v>
      </c>
      <c r="N871" s="1" t="s">
        <v>842</v>
      </c>
      <c r="O871" s="1" t="s">
        <v>400</v>
      </c>
      <c r="P871" s="1"/>
      <c r="Q871" s="1" t="s">
        <v>70</v>
      </c>
      <c r="Z871" s="1" t="s">
        <v>71</v>
      </c>
      <c r="AE871" s="1" t="s">
        <v>2985</v>
      </c>
      <c r="AH871" s="1" t="s">
        <v>73</v>
      </c>
      <c r="AK871" s="1" t="s">
        <v>71</v>
      </c>
      <c r="AM871" s="1" t="s">
        <v>71</v>
      </c>
      <c r="AN871" s="1" t="s">
        <v>71</v>
      </c>
      <c r="AS871" s="1" t="s">
        <v>71</v>
      </c>
      <c r="AX871" s="1" t="s">
        <v>71</v>
      </c>
      <c r="BH871" s="1" t="s">
        <v>71</v>
      </c>
    </row>
    <row r="872" customFormat="false" ht="15" hidden="false" customHeight="false" outlineLevel="0" collapsed="false">
      <c r="A872" s="1" t="s">
        <v>2986</v>
      </c>
      <c r="B872" s="1" t="s">
        <v>2987</v>
      </c>
      <c r="C872" s="1" t="s">
        <v>528</v>
      </c>
      <c r="D872" s="1" t="s">
        <v>1274</v>
      </c>
      <c r="E872" s="1" t="s">
        <v>82</v>
      </c>
      <c r="F872" s="1" t="s">
        <v>391</v>
      </c>
      <c r="G872" s="1" t="s">
        <v>443</v>
      </c>
      <c r="H872" s="1" t="s">
        <v>444</v>
      </c>
      <c r="K872" s="1" t="s">
        <v>618</v>
      </c>
      <c r="L872" s="1" t="s">
        <v>619</v>
      </c>
      <c r="M872" s="1" t="s">
        <v>496</v>
      </c>
      <c r="N872" s="1" t="s">
        <v>2988</v>
      </c>
      <c r="O872" s="1" t="s">
        <v>2989</v>
      </c>
      <c r="P872" s="1"/>
      <c r="Q872" s="1" t="s">
        <v>70</v>
      </c>
      <c r="Z872" s="1" t="s">
        <v>71</v>
      </c>
      <c r="AE872" s="1" t="s">
        <v>2985</v>
      </c>
      <c r="AH872" s="1" t="s">
        <v>73</v>
      </c>
      <c r="AK872" s="1" t="s">
        <v>71</v>
      </c>
      <c r="AM872" s="1" t="s">
        <v>71</v>
      </c>
      <c r="AN872" s="1" t="s">
        <v>71</v>
      </c>
      <c r="AS872" s="1" t="s">
        <v>71</v>
      </c>
      <c r="AX872" s="1" t="s">
        <v>71</v>
      </c>
      <c r="BH872" s="1" t="s">
        <v>71</v>
      </c>
    </row>
    <row r="873" customFormat="false" ht="15" hidden="false" customHeight="false" outlineLevel="0" collapsed="false">
      <c r="A873" s="1" t="s">
        <v>2990</v>
      </c>
      <c r="B873" s="1" t="s">
        <v>2991</v>
      </c>
      <c r="C873" s="1" t="s">
        <v>834</v>
      </c>
      <c r="D873" s="1" t="s">
        <v>2721</v>
      </c>
      <c r="E873" s="1" t="s">
        <v>82</v>
      </c>
      <c r="F873" s="1" t="s">
        <v>391</v>
      </c>
      <c r="G873" s="1" t="s">
        <v>443</v>
      </c>
      <c r="H873" s="1" t="s">
        <v>444</v>
      </c>
      <c r="K873" s="1" t="s">
        <v>618</v>
      </c>
      <c r="L873" s="1" t="s">
        <v>619</v>
      </c>
      <c r="M873" s="1" t="s">
        <v>2992</v>
      </c>
      <c r="N873" s="1" t="s">
        <v>2562</v>
      </c>
      <c r="O873" s="1" t="s">
        <v>2563</v>
      </c>
      <c r="P873" s="1"/>
      <c r="Q873" s="1" t="s">
        <v>70</v>
      </c>
      <c r="Z873" s="1" t="s">
        <v>71</v>
      </c>
      <c r="AE873" s="1" t="s">
        <v>2985</v>
      </c>
      <c r="AH873" s="1" t="s">
        <v>73</v>
      </c>
      <c r="AK873" s="1" t="s">
        <v>71</v>
      </c>
      <c r="AM873" s="1" t="s">
        <v>71</v>
      </c>
      <c r="AN873" s="1" t="s">
        <v>71</v>
      </c>
      <c r="AS873" s="1" t="s">
        <v>71</v>
      </c>
      <c r="AX873" s="1" t="s">
        <v>71</v>
      </c>
      <c r="BH873" s="1" t="s">
        <v>71</v>
      </c>
    </row>
    <row r="874" customFormat="false" ht="15" hidden="false" customHeight="false" outlineLevel="0" collapsed="false">
      <c r="A874" s="1" t="s">
        <v>2993</v>
      </c>
      <c r="B874" s="1" t="s">
        <v>2994</v>
      </c>
      <c r="C874" s="1" t="s">
        <v>718</v>
      </c>
      <c r="D874" s="1" t="s">
        <v>900</v>
      </c>
      <c r="E874" s="1" t="s">
        <v>82</v>
      </c>
      <c r="F874" s="1" t="s">
        <v>391</v>
      </c>
      <c r="G874" s="1" t="s">
        <v>213</v>
      </c>
      <c r="H874" s="1" t="s">
        <v>477</v>
      </c>
      <c r="K874" s="1" t="s">
        <v>478</v>
      </c>
      <c r="L874" s="1" t="s">
        <v>479</v>
      </c>
      <c r="M874" s="1" t="s">
        <v>496</v>
      </c>
      <c r="N874" s="1" t="s">
        <v>1228</v>
      </c>
      <c r="O874" s="1" t="s">
        <v>1043</v>
      </c>
      <c r="P874" s="1"/>
      <c r="Q874" s="1" t="s">
        <v>70</v>
      </c>
      <c r="Z874" s="1" t="s">
        <v>71</v>
      </c>
      <c r="AE874" s="1" t="s">
        <v>2995</v>
      </c>
      <c r="AH874" s="1" t="s">
        <v>73</v>
      </c>
      <c r="AK874" s="1" t="s">
        <v>71</v>
      </c>
      <c r="AM874" s="1" t="s">
        <v>71</v>
      </c>
      <c r="AN874" s="1" t="s">
        <v>71</v>
      </c>
      <c r="AS874" s="1" t="s">
        <v>71</v>
      </c>
      <c r="AX874" s="1" t="s">
        <v>71</v>
      </c>
      <c r="BH874" s="1" t="s">
        <v>71</v>
      </c>
    </row>
    <row r="875" customFormat="false" ht="15" hidden="false" customHeight="false" outlineLevel="0" collapsed="false">
      <c r="A875" s="1" t="s">
        <v>2996</v>
      </c>
      <c r="B875" s="1" t="s">
        <v>2997</v>
      </c>
      <c r="C875" s="1" t="s">
        <v>526</v>
      </c>
      <c r="D875" s="1" t="s">
        <v>527</v>
      </c>
      <c r="E875" s="1" t="s">
        <v>82</v>
      </c>
      <c r="F875" s="1" t="s">
        <v>391</v>
      </c>
      <c r="G875" s="1" t="s">
        <v>213</v>
      </c>
      <c r="H875" s="1" t="s">
        <v>477</v>
      </c>
      <c r="K875" s="1" t="s">
        <v>887</v>
      </c>
      <c r="L875" s="1" t="s">
        <v>888</v>
      </c>
      <c r="M875" s="1" t="s">
        <v>2998</v>
      </c>
      <c r="N875" s="1" t="s">
        <v>889</v>
      </c>
      <c r="O875" s="1" t="s">
        <v>400</v>
      </c>
      <c r="P875" s="1"/>
      <c r="Q875" s="1" t="s">
        <v>70</v>
      </c>
      <c r="Z875" s="1" t="s">
        <v>71</v>
      </c>
      <c r="AE875" s="1" t="s">
        <v>2999</v>
      </c>
      <c r="AH875" s="1" t="s">
        <v>73</v>
      </c>
      <c r="AK875" s="1" t="s">
        <v>71</v>
      </c>
      <c r="AM875" s="1" t="s">
        <v>71</v>
      </c>
      <c r="AN875" s="1" t="s">
        <v>71</v>
      </c>
      <c r="AS875" s="1" t="s">
        <v>71</v>
      </c>
      <c r="AX875" s="1" t="s">
        <v>71</v>
      </c>
      <c r="BH875" s="1" t="s">
        <v>71</v>
      </c>
    </row>
    <row r="876" customFormat="false" ht="15" hidden="false" customHeight="false" outlineLevel="0" collapsed="false">
      <c r="A876" s="1" t="s">
        <v>3000</v>
      </c>
      <c r="B876" s="1" t="s">
        <v>3001</v>
      </c>
      <c r="C876" s="1" t="s">
        <v>150</v>
      </c>
      <c r="D876" s="1" t="s">
        <v>405</v>
      </c>
      <c r="E876" s="1" t="s">
        <v>82</v>
      </c>
      <c r="F876" s="1" t="s">
        <v>391</v>
      </c>
      <c r="G876" s="1" t="s">
        <v>97</v>
      </c>
      <c r="H876" s="1" t="s">
        <v>406</v>
      </c>
      <c r="K876" s="1" t="s">
        <v>453</v>
      </c>
      <c r="L876" s="1" t="s">
        <v>454</v>
      </c>
      <c r="M876" s="1" t="s">
        <v>496</v>
      </c>
      <c r="N876" s="1" t="s">
        <v>2340</v>
      </c>
      <c r="O876" s="1" t="s">
        <v>400</v>
      </c>
      <c r="P876" s="1"/>
      <c r="Q876" s="1" t="s">
        <v>70</v>
      </c>
      <c r="Z876" s="1" t="s">
        <v>71</v>
      </c>
      <c r="AE876" s="1" t="s">
        <v>2999</v>
      </c>
      <c r="AH876" s="1" t="s">
        <v>73</v>
      </c>
      <c r="AK876" s="1" t="s">
        <v>71</v>
      </c>
      <c r="AM876" s="1" t="s">
        <v>71</v>
      </c>
      <c r="AN876" s="1" t="s">
        <v>71</v>
      </c>
      <c r="AS876" s="1" t="s">
        <v>71</v>
      </c>
      <c r="AX876" s="1" t="s">
        <v>71</v>
      </c>
      <c r="BH876" s="1" t="s">
        <v>71</v>
      </c>
    </row>
    <row r="877" customFormat="false" ht="15" hidden="false" customHeight="false" outlineLevel="0" collapsed="false">
      <c r="A877" s="1" t="s">
        <v>3002</v>
      </c>
      <c r="B877" s="1" t="s">
        <v>3003</v>
      </c>
      <c r="C877" s="1" t="s">
        <v>769</v>
      </c>
      <c r="D877" s="1" t="s">
        <v>390</v>
      </c>
      <c r="E877" s="1" t="s">
        <v>82</v>
      </c>
      <c r="F877" s="1" t="s">
        <v>391</v>
      </c>
      <c r="G877" s="1" t="s">
        <v>182</v>
      </c>
      <c r="H877" s="1" t="s">
        <v>392</v>
      </c>
      <c r="K877" s="1" t="s">
        <v>65</v>
      </c>
      <c r="L877" s="1" t="s">
        <v>517</v>
      </c>
      <c r="M877" s="1" t="s">
        <v>1716</v>
      </c>
      <c r="N877" s="1" t="s">
        <v>3004</v>
      </c>
      <c r="O877" s="1" t="s">
        <v>3005</v>
      </c>
      <c r="P877" s="1"/>
      <c r="Q877" s="1" t="s">
        <v>70</v>
      </c>
      <c r="Z877" s="1" t="s">
        <v>71</v>
      </c>
      <c r="AE877" s="1" t="s">
        <v>2999</v>
      </c>
      <c r="AH877" s="1" t="s">
        <v>73</v>
      </c>
      <c r="AK877" s="1" t="s">
        <v>71</v>
      </c>
      <c r="AM877" s="1" t="s">
        <v>71</v>
      </c>
      <c r="AN877" s="1" t="s">
        <v>71</v>
      </c>
      <c r="AS877" s="1" t="s">
        <v>71</v>
      </c>
      <c r="AX877" s="1" t="s">
        <v>71</v>
      </c>
      <c r="BH877" s="1" t="s">
        <v>71</v>
      </c>
    </row>
    <row r="878" customFormat="false" ht="15" hidden="false" customHeight="false" outlineLevel="0" collapsed="false">
      <c r="A878" s="1" t="s">
        <v>3006</v>
      </c>
      <c r="B878" s="1" t="s">
        <v>3007</v>
      </c>
      <c r="C878" s="1" t="s">
        <v>213</v>
      </c>
      <c r="D878" s="1" t="s">
        <v>214</v>
      </c>
      <c r="E878" s="1" t="s">
        <v>61</v>
      </c>
      <c r="F878" s="1" t="s">
        <v>101</v>
      </c>
      <c r="G878" s="1" t="s">
        <v>93</v>
      </c>
      <c r="H878" s="1" t="s">
        <v>64</v>
      </c>
      <c r="K878" s="1" t="s">
        <v>217</v>
      </c>
      <c r="L878" s="1" t="s">
        <v>218</v>
      </c>
      <c r="M878" s="1" t="s">
        <v>104</v>
      </c>
      <c r="N878" s="1" t="s">
        <v>105</v>
      </c>
      <c r="O878" s="1" t="s">
        <v>106</v>
      </c>
      <c r="P878" s="1"/>
      <c r="Q878" s="1" t="s">
        <v>70</v>
      </c>
      <c r="U878" s="1" t="s">
        <v>3006</v>
      </c>
      <c r="Z878" s="1" t="s">
        <v>71</v>
      </c>
      <c r="AA878" s="1" t="s">
        <v>91</v>
      </c>
      <c r="AE878" s="1" t="s">
        <v>2999</v>
      </c>
      <c r="AH878" s="1" t="s">
        <v>73</v>
      </c>
      <c r="AK878" s="1" t="s">
        <v>71</v>
      </c>
      <c r="AM878" s="1" t="s">
        <v>71</v>
      </c>
      <c r="AN878" s="1" t="s">
        <v>71</v>
      </c>
      <c r="AS878" s="1" t="s">
        <v>71</v>
      </c>
      <c r="AX878" s="1" t="s">
        <v>71</v>
      </c>
      <c r="AY878" s="1" t="s">
        <v>59</v>
      </c>
      <c r="AZ878" s="1" t="s">
        <v>74</v>
      </c>
      <c r="BH878" s="1" t="s">
        <v>71</v>
      </c>
    </row>
    <row r="879" customFormat="false" ht="15" hidden="false" customHeight="false" outlineLevel="0" collapsed="false">
      <c r="A879" s="1" t="s">
        <v>3008</v>
      </c>
      <c r="B879" s="1" t="s">
        <v>3009</v>
      </c>
      <c r="C879" s="1" t="s">
        <v>659</v>
      </c>
      <c r="D879" s="1" t="s">
        <v>2329</v>
      </c>
      <c r="E879" s="1" t="s">
        <v>82</v>
      </c>
      <c r="F879" s="1" t="s">
        <v>391</v>
      </c>
      <c r="G879" s="1" t="s">
        <v>443</v>
      </c>
      <c r="H879" s="1" t="s">
        <v>444</v>
      </c>
      <c r="K879" s="1" t="s">
        <v>760</v>
      </c>
      <c r="L879" s="1" t="s">
        <v>1943</v>
      </c>
      <c r="M879" s="1" t="s">
        <v>2020</v>
      </c>
      <c r="N879" s="1" t="s">
        <v>1944</v>
      </c>
      <c r="O879" s="1" t="s">
        <v>1945</v>
      </c>
      <c r="P879" s="1"/>
      <c r="Q879" s="1" t="s">
        <v>70</v>
      </c>
      <c r="Z879" s="1" t="s">
        <v>71</v>
      </c>
      <c r="AE879" s="1" t="s">
        <v>3010</v>
      </c>
      <c r="AH879" s="1" t="s">
        <v>73</v>
      </c>
      <c r="AK879" s="1" t="s">
        <v>71</v>
      </c>
      <c r="AM879" s="1" t="s">
        <v>71</v>
      </c>
      <c r="AN879" s="1" t="s">
        <v>71</v>
      </c>
      <c r="AS879" s="1" t="s">
        <v>71</v>
      </c>
      <c r="AX879" s="1" t="s">
        <v>71</v>
      </c>
      <c r="BH879" s="1" t="s">
        <v>71</v>
      </c>
    </row>
    <row r="880" customFormat="false" ht="15" hidden="false" customHeight="false" outlineLevel="0" collapsed="false">
      <c r="A880" s="1" t="s">
        <v>3011</v>
      </c>
      <c r="B880" s="1" t="s">
        <v>3012</v>
      </c>
      <c r="C880" s="1" t="s">
        <v>659</v>
      </c>
      <c r="D880" s="1" t="s">
        <v>2329</v>
      </c>
      <c r="E880" s="1" t="s">
        <v>82</v>
      </c>
      <c r="F880" s="1" t="s">
        <v>391</v>
      </c>
      <c r="G880" s="1" t="s">
        <v>443</v>
      </c>
      <c r="H880" s="1" t="s">
        <v>444</v>
      </c>
      <c r="K880" s="1" t="s">
        <v>725</v>
      </c>
      <c r="L880" s="1" t="s">
        <v>2507</v>
      </c>
      <c r="M880" s="1" t="s">
        <v>2020</v>
      </c>
      <c r="N880" s="1" t="s">
        <v>3004</v>
      </c>
      <c r="O880" s="1" t="s">
        <v>3005</v>
      </c>
      <c r="P880" s="1"/>
      <c r="Q880" s="1" t="s">
        <v>70</v>
      </c>
      <c r="Z880" s="1" t="s">
        <v>71</v>
      </c>
      <c r="AE880" s="1" t="s">
        <v>3010</v>
      </c>
      <c r="AH880" s="1" t="s">
        <v>73</v>
      </c>
      <c r="AK880" s="1" t="s">
        <v>71</v>
      </c>
      <c r="AM880" s="1" t="s">
        <v>71</v>
      </c>
      <c r="AN880" s="1" t="s">
        <v>71</v>
      </c>
      <c r="AS880" s="1" t="s">
        <v>71</v>
      </c>
      <c r="AX880" s="1" t="s">
        <v>71</v>
      </c>
      <c r="BH880" s="1" t="s">
        <v>71</v>
      </c>
    </row>
    <row r="881" customFormat="false" ht="15" hidden="false" customHeight="false" outlineLevel="0" collapsed="false">
      <c r="A881" s="1" t="s">
        <v>3013</v>
      </c>
      <c r="B881" s="1" t="s">
        <v>3014</v>
      </c>
      <c r="C881" s="1" t="s">
        <v>849</v>
      </c>
      <c r="D881" s="1" t="s">
        <v>2840</v>
      </c>
      <c r="E881" s="1" t="s">
        <v>82</v>
      </c>
      <c r="F881" s="1" t="s">
        <v>391</v>
      </c>
      <c r="G881" s="1" t="s">
        <v>443</v>
      </c>
      <c r="H881" s="1" t="s">
        <v>444</v>
      </c>
      <c r="K881" s="1" t="s">
        <v>61</v>
      </c>
      <c r="L881" s="1" t="s">
        <v>445</v>
      </c>
      <c r="M881" s="1" t="s">
        <v>496</v>
      </c>
      <c r="N881" s="1" t="s">
        <v>399</v>
      </c>
      <c r="O881" s="1" t="s">
        <v>400</v>
      </c>
      <c r="P881" s="1"/>
      <c r="Q881" s="1" t="s">
        <v>70</v>
      </c>
      <c r="Z881" s="1" t="s">
        <v>71</v>
      </c>
      <c r="AE881" s="1" t="s">
        <v>3010</v>
      </c>
      <c r="AH881" s="1" t="s">
        <v>73</v>
      </c>
      <c r="AK881" s="1" t="s">
        <v>71</v>
      </c>
      <c r="AM881" s="1" t="s">
        <v>71</v>
      </c>
      <c r="AN881" s="1" t="s">
        <v>71</v>
      </c>
      <c r="AS881" s="1" t="s">
        <v>71</v>
      </c>
      <c r="AX881" s="1" t="s">
        <v>71</v>
      </c>
      <c r="BH881" s="1" t="s">
        <v>71</v>
      </c>
    </row>
    <row r="882" customFormat="false" ht="15" hidden="false" customHeight="false" outlineLevel="0" collapsed="false">
      <c r="A882" s="1" t="s">
        <v>3015</v>
      </c>
      <c r="B882" s="1" t="s">
        <v>3016</v>
      </c>
      <c r="C882" s="1" t="s">
        <v>890</v>
      </c>
      <c r="D882" s="1" t="s">
        <v>3017</v>
      </c>
      <c r="E882" s="1" t="s">
        <v>82</v>
      </c>
      <c r="F882" s="1" t="s">
        <v>391</v>
      </c>
      <c r="G882" s="1" t="s">
        <v>97</v>
      </c>
      <c r="H882" s="1" t="s">
        <v>406</v>
      </c>
      <c r="K882" s="1" t="s">
        <v>2144</v>
      </c>
      <c r="L882" s="1" t="s">
        <v>2145</v>
      </c>
      <c r="M882" s="1" t="s">
        <v>496</v>
      </c>
      <c r="N882" s="1" t="s">
        <v>551</v>
      </c>
      <c r="O882" s="1" t="s">
        <v>447</v>
      </c>
      <c r="P882" s="1"/>
      <c r="Q882" s="1" t="s">
        <v>70</v>
      </c>
      <c r="Z882" s="1" t="s">
        <v>71</v>
      </c>
      <c r="AE882" s="1" t="s">
        <v>3010</v>
      </c>
      <c r="AH882" s="1" t="s">
        <v>73</v>
      </c>
      <c r="AK882" s="1" t="s">
        <v>71</v>
      </c>
      <c r="AM882" s="1" t="s">
        <v>71</v>
      </c>
      <c r="AN882" s="1" t="s">
        <v>71</v>
      </c>
      <c r="AS882" s="1" t="s">
        <v>71</v>
      </c>
      <c r="AX882" s="1" t="s">
        <v>71</v>
      </c>
      <c r="BH882" s="1" t="s">
        <v>71</v>
      </c>
    </row>
    <row r="883" customFormat="false" ht="15" hidden="false" customHeight="false" outlineLevel="0" collapsed="false">
      <c r="A883" s="1" t="s">
        <v>3018</v>
      </c>
      <c r="B883" s="1" t="s">
        <v>3019</v>
      </c>
      <c r="C883" s="1" t="s">
        <v>718</v>
      </c>
      <c r="D883" s="1" t="s">
        <v>900</v>
      </c>
      <c r="E883" s="1" t="s">
        <v>82</v>
      </c>
      <c r="F883" s="1" t="s">
        <v>391</v>
      </c>
      <c r="G883" s="1" t="s">
        <v>213</v>
      </c>
      <c r="H883" s="1" t="s">
        <v>477</v>
      </c>
      <c r="K883" s="1" t="s">
        <v>478</v>
      </c>
      <c r="L883" s="1" t="s">
        <v>479</v>
      </c>
      <c r="M883" s="1" t="s">
        <v>496</v>
      </c>
      <c r="N883" s="1" t="s">
        <v>2988</v>
      </c>
      <c r="O883" s="1" t="s">
        <v>2989</v>
      </c>
      <c r="P883" s="1"/>
      <c r="Q883" s="1" t="s">
        <v>70</v>
      </c>
      <c r="Z883" s="1" t="s">
        <v>71</v>
      </c>
      <c r="AE883" s="1" t="s">
        <v>3020</v>
      </c>
      <c r="AH883" s="1" t="s">
        <v>73</v>
      </c>
      <c r="AK883" s="1" t="s">
        <v>71</v>
      </c>
      <c r="AM883" s="1" t="s">
        <v>71</v>
      </c>
      <c r="AN883" s="1" t="s">
        <v>71</v>
      </c>
      <c r="AS883" s="1" t="s">
        <v>71</v>
      </c>
      <c r="AX883" s="1" t="s">
        <v>71</v>
      </c>
      <c r="BH883" s="1" t="s">
        <v>71</v>
      </c>
    </row>
    <row r="884" customFormat="false" ht="15" hidden="false" customHeight="false" outlineLevel="0" collapsed="false">
      <c r="A884" s="1" t="s">
        <v>3021</v>
      </c>
      <c r="B884" s="1" t="s">
        <v>3022</v>
      </c>
      <c r="C884" s="1" t="s">
        <v>718</v>
      </c>
      <c r="D884" s="1" t="s">
        <v>900</v>
      </c>
      <c r="E884" s="1" t="s">
        <v>82</v>
      </c>
      <c r="F884" s="1" t="s">
        <v>391</v>
      </c>
      <c r="G884" s="1" t="s">
        <v>213</v>
      </c>
      <c r="H884" s="1" t="s">
        <v>477</v>
      </c>
      <c r="K884" s="1" t="s">
        <v>478</v>
      </c>
      <c r="L884" s="1" t="s">
        <v>479</v>
      </c>
      <c r="M884" s="1" t="s">
        <v>496</v>
      </c>
      <c r="N884" s="1" t="s">
        <v>2988</v>
      </c>
      <c r="O884" s="1" t="s">
        <v>2989</v>
      </c>
      <c r="P884" s="1"/>
      <c r="Q884" s="1" t="s">
        <v>70</v>
      </c>
      <c r="Z884" s="1" t="s">
        <v>71</v>
      </c>
      <c r="AE884" s="1" t="s">
        <v>3020</v>
      </c>
      <c r="AH884" s="1" t="s">
        <v>73</v>
      </c>
      <c r="AK884" s="1" t="s">
        <v>71</v>
      </c>
      <c r="AM884" s="1" t="s">
        <v>71</v>
      </c>
      <c r="AN884" s="1" t="s">
        <v>71</v>
      </c>
      <c r="AS884" s="1" t="s">
        <v>71</v>
      </c>
      <c r="AX884" s="1" t="s">
        <v>71</v>
      </c>
      <c r="BH884" s="1" t="s">
        <v>71</v>
      </c>
    </row>
    <row r="885" customFormat="false" ht="15" hidden="false" customHeight="false" outlineLevel="0" collapsed="false">
      <c r="A885" s="1" t="s">
        <v>3023</v>
      </c>
      <c r="B885" s="1" t="s">
        <v>3024</v>
      </c>
      <c r="C885" s="1" t="s">
        <v>718</v>
      </c>
      <c r="D885" s="1" t="s">
        <v>900</v>
      </c>
      <c r="E885" s="1" t="s">
        <v>82</v>
      </c>
      <c r="F885" s="1" t="s">
        <v>391</v>
      </c>
      <c r="G885" s="1" t="s">
        <v>213</v>
      </c>
      <c r="H885" s="1" t="s">
        <v>477</v>
      </c>
      <c r="K885" s="1" t="s">
        <v>478</v>
      </c>
      <c r="L885" s="1" t="s">
        <v>479</v>
      </c>
      <c r="M885" s="1" t="s">
        <v>496</v>
      </c>
      <c r="N885" s="1" t="s">
        <v>2988</v>
      </c>
      <c r="O885" s="1" t="s">
        <v>2989</v>
      </c>
      <c r="P885" s="1"/>
      <c r="Q885" s="1" t="s">
        <v>70</v>
      </c>
      <c r="Z885" s="1" t="s">
        <v>71</v>
      </c>
      <c r="AE885" s="1" t="s">
        <v>3020</v>
      </c>
      <c r="AH885" s="1" t="s">
        <v>73</v>
      </c>
      <c r="AK885" s="1" t="s">
        <v>71</v>
      </c>
      <c r="AM885" s="1" t="s">
        <v>71</v>
      </c>
      <c r="AN885" s="1" t="s">
        <v>71</v>
      </c>
      <c r="AS885" s="1" t="s">
        <v>71</v>
      </c>
      <c r="AX885" s="1" t="s">
        <v>71</v>
      </c>
      <c r="BH885" s="1" t="s">
        <v>71</v>
      </c>
    </row>
    <row r="886" customFormat="false" ht="15" hidden="false" customHeight="false" outlineLevel="0" collapsed="false">
      <c r="A886" s="1" t="s">
        <v>3025</v>
      </c>
      <c r="B886" s="1" t="s">
        <v>3026</v>
      </c>
      <c r="C886" s="1" t="s">
        <v>718</v>
      </c>
      <c r="D886" s="1" t="s">
        <v>900</v>
      </c>
      <c r="E886" s="1" t="s">
        <v>82</v>
      </c>
      <c r="F886" s="1" t="s">
        <v>391</v>
      </c>
      <c r="G886" s="1" t="s">
        <v>213</v>
      </c>
      <c r="H886" s="1" t="s">
        <v>477</v>
      </c>
      <c r="K886" s="1" t="s">
        <v>478</v>
      </c>
      <c r="L886" s="1" t="s">
        <v>479</v>
      </c>
      <c r="M886" s="1" t="s">
        <v>496</v>
      </c>
      <c r="N886" s="1" t="s">
        <v>3027</v>
      </c>
      <c r="O886" s="1" t="s">
        <v>3028</v>
      </c>
      <c r="P886" s="1"/>
      <c r="Q886" s="1" t="s">
        <v>70</v>
      </c>
      <c r="Z886" s="1" t="s">
        <v>71</v>
      </c>
      <c r="AE886" s="1" t="s">
        <v>3020</v>
      </c>
      <c r="AH886" s="1" t="s">
        <v>73</v>
      </c>
      <c r="AK886" s="1" t="s">
        <v>71</v>
      </c>
      <c r="AM886" s="1" t="s">
        <v>71</v>
      </c>
      <c r="AN886" s="1" t="s">
        <v>71</v>
      </c>
      <c r="AS886" s="1" t="s">
        <v>71</v>
      </c>
      <c r="AX886" s="1" t="s">
        <v>71</v>
      </c>
      <c r="BH886" s="1" t="s">
        <v>71</v>
      </c>
    </row>
    <row r="887" customFormat="false" ht="15" hidden="false" customHeight="false" outlineLevel="0" collapsed="false">
      <c r="A887" s="1" t="s">
        <v>3029</v>
      </c>
      <c r="B887" s="1" t="s">
        <v>3030</v>
      </c>
      <c r="C887" s="1" t="s">
        <v>3031</v>
      </c>
      <c r="D887" s="1" t="s">
        <v>3032</v>
      </c>
      <c r="E887" s="1" t="s">
        <v>82</v>
      </c>
      <c r="F887" s="1" t="s">
        <v>391</v>
      </c>
      <c r="G887" s="1" t="s">
        <v>213</v>
      </c>
      <c r="H887" s="1" t="s">
        <v>477</v>
      </c>
      <c r="K887" s="1" t="s">
        <v>1772</v>
      </c>
      <c r="L887" s="1" t="s">
        <v>1773</v>
      </c>
      <c r="M887" s="1" t="s">
        <v>496</v>
      </c>
      <c r="N887" s="1" t="s">
        <v>2248</v>
      </c>
      <c r="O887" s="1" t="s">
        <v>400</v>
      </c>
      <c r="P887" s="1"/>
      <c r="Q887" s="1" t="s">
        <v>70</v>
      </c>
      <c r="Z887" s="1" t="s">
        <v>71</v>
      </c>
      <c r="AE887" s="1" t="s">
        <v>3033</v>
      </c>
      <c r="AH887" s="1" t="s">
        <v>73</v>
      </c>
      <c r="AK887" s="1" t="s">
        <v>71</v>
      </c>
      <c r="AM887" s="1" t="s">
        <v>71</v>
      </c>
      <c r="AN887" s="1" t="s">
        <v>71</v>
      </c>
      <c r="AS887" s="1" t="s">
        <v>71</v>
      </c>
      <c r="AX887" s="1" t="s">
        <v>71</v>
      </c>
      <c r="BH887" s="1" t="s">
        <v>71</v>
      </c>
    </row>
    <row r="888" customFormat="false" ht="15" hidden="false" customHeight="false" outlineLevel="0" collapsed="false">
      <c r="A888" s="1" t="s">
        <v>3034</v>
      </c>
      <c r="B888" s="1" t="s">
        <v>3035</v>
      </c>
      <c r="C888" s="1" t="s">
        <v>3031</v>
      </c>
      <c r="D888" s="1" t="s">
        <v>3032</v>
      </c>
      <c r="E888" s="1" t="s">
        <v>82</v>
      </c>
      <c r="F888" s="1" t="s">
        <v>391</v>
      </c>
      <c r="G888" s="1" t="s">
        <v>213</v>
      </c>
      <c r="H888" s="1" t="s">
        <v>477</v>
      </c>
      <c r="K888" s="1" t="s">
        <v>1772</v>
      </c>
      <c r="L888" s="1" t="s">
        <v>1773</v>
      </c>
      <c r="M888" s="1" t="s">
        <v>496</v>
      </c>
      <c r="N888" s="1" t="s">
        <v>2248</v>
      </c>
      <c r="O888" s="1" t="s">
        <v>400</v>
      </c>
      <c r="P888" s="1"/>
      <c r="Q888" s="1" t="s">
        <v>70</v>
      </c>
      <c r="Z888" s="1" t="s">
        <v>71</v>
      </c>
      <c r="AE888" s="1" t="s">
        <v>3033</v>
      </c>
      <c r="AH888" s="1" t="s">
        <v>73</v>
      </c>
      <c r="AK888" s="1" t="s">
        <v>71</v>
      </c>
      <c r="AM888" s="1" t="s">
        <v>71</v>
      </c>
      <c r="AN888" s="1" t="s">
        <v>71</v>
      </c>
      <c r="AS888" s="1" t="s">
        <v>71</v>
      </c>
      <c r="AX888" s="1" t="s">
        <v>71</v>
      </c>
      <c r="BH888" s="1" t="s">
        <v>71</v>
      </c>
    </row>
    <row r="889" customFormat="false" ht="15" hidden="false" customHeight="false" outlineLevel="0" collapsed="false">
      <c r="A889" s="1" t="s">
        <v>3036</v>
      </c>
      <c r="B889" s="1" t="s">
        <v>3037</v>
      </c>
      <c r="C889" s="1" t="s">
        <v>3031</v>
      </c>
      <c r="D889" s="1" t="s">
        <v>3032</v>
      </c>
      <c r="E889" s="1" t="s">
        <v>82</v>
      </c>
      <c r="F889" s="1" t="s">
        <v>391</v>
      </c>
      <c r="G889" s="1" t="s">
        <v>213</v>
      </c>
      <c r="H889" s="1" t="s">
        <v>477</v>
      </c>
      <c r="K889" s="1" t="s">
        <v>1772</v>
      </c>
      <c r="L889" s="1" t="s">
        <v>1773</v>
      </c>
      <c r="M889" s="1" t="s">
        <v>496</v>
      </c>
      <c r="N889" s="1" t="s">
        <v>2248</v>
      </c>
      <c r="O889" s="1" t="s">
        <v>400</v>
      </c>
      <c r="P889" s="1"/>
      <c r="Q889" s="1" t="s">
        <v>70</v>
      </c>
      <c r="Z889" s="1" t="s">
        <v>71</v>
      </c>
      <c r="AE889" s="1" t="s">
        <v>3033</v>
      </c>
      <c r="AH889" s="1" t="s">
        <v>73</v>
      </c>
      <c r="AK889" s="1" t="s">
        <v>71</v>
      </c>
      <c r="AM889" s="1" t="s">
        <v>71</v>
      </c>
      <c r="AN889" s="1" t="s">
        <v>71</v>
      </c>
      <c r="AS889" s="1" t="s">
        <v>71</v>
      </c>
      <c r="AX889" s="1" t="s">
        <v>71</v>
      </c>
      <c r="BH889" s="1" t="s">
        <v>71</v>
      </c>
    </row>
    <row r="890" customFormat="false" ht="15" hidden="false" customHeight="false" outlineLevel="0" collapsed="false">
      <c r="A890" s="1" t="s">
        <v>3038</v>
      </c>
      <c r="B890" s="1" t="s">
        <v>3039</v>
      </c>
      <c r="C890" s="1" t="s">
        <v>3031</v>
      </c>
      <c r="D890" s="1" t="s">
        <v>3032</v>
      </c>
      <c r="E890" s="1" t="s">
        <v>82</v>
      </c>
      <c r="F890" s="1" t="s">
        <v>391</v>
      </c>
      <c r="G890" s="1" t="s">
        <v>213</v>
      </c>
      <c r="H890" s="1" t="s">
        <v>477</v>
      </c>
      <c r="K890" s="1" t="s">
        <v>1772</v>
      </c>
      <c r="L890" s="1" t="s">
        <v>1773</v>
      </c>
      <c r="M890" s="1" t="s">
        <v>496</v>
      </c>
      <c r="N890" s="1" t="s">
        <v>2248</v>
      </c>
      <c r="O890" s="1" t="s">
        <v>400</v>
      </c>
      <c r="P890" s="1"/>
      <c r="Q890" s="1" t="s">
        <v>70</v>
      </c>
      <c r="Z890" s="1" t="s">
        <v>71</v>
      </c>
      <c r="AE890" s="1" t="s">
        <v>3033</v>
      </c>
      <c r="AH890" s="1" t="s">
        <v>73</v>
      </c>
      <c r="AK890" s="1" t="s">
        <v>71</v>
      </c>
      <c r="AM890" s="1" t="s">
        <v>71</v>
      </c>
      <c r="AN890" s="1" t="s">
        <v>71</v>
      </c>
      <c r="AS890" s="1" t="s">
        <v>71</v>
      </c>
      <c r="AX890" s="1" t="s">
        <v>71</v>
      </c>
      <c r="BH890" s="1" t="s">
        <v>71</v>
      </c>
    </row>
    <row r="891" customFormat="false" ht="15" hidden="false" customHeight="false" outlineLevel="0" collapsed="false">
      <c r="A891" s="1" t="s">
        <v>3040</v>
      </c>
      <c r="B891" s="1" t="s">
        <v>3041</v>
      </c>
      <c r="C891" s="1" t="s">
        <v>3031</v>
      </c>
      <c r="D891" s="1" t="s">
        <v>3032</v>
      </c>
      <c r="E891" s="1" t="s">
        <v>82</v>
      </c>
      <c r="F891" s="1" t="s">
        <v>391</v>
      </c>
      <c r="G891" s="1" t="s">
        <v>213</v>
      </c>
      <c r="H891" s="1" t="s">
        <v>477</v>
      </c>
      <c r="K891" s="1" t="s">
        <v>1772</v>
      </c>
      <c r="L891" s="1" t="s">
        <v>1773</v>
      </c>
      <c r="M891" s="1" t="s">
        <v>496</v>
      </c>
      <c r="N891" s="1" t="s">
        <v>2248</v>
      </c>
      <c r="O891" s="1" t="s">
        <v>400</v>
      </c>
      <c r="P891" s="1"/>
      <c r="Q891" s="1" t="s">
        <v>70</v>
      </c>
      <c r="Z891" s="1" t="s">
        <v>71</v>
      </c>
      <c r="AE891" s="1" t="s">
        <v>3033</v>
      </c>
      <c r="AH891" s="1" t="s">
        <v>73</v>
      </c>
      <c r="AK891" s="1" t="s">
        <v>71</v>
      </c>
      <c r="AM891" s="1" t="s">
        <v>71</v>
      </c>
      <c r="AN891" s="1" t="s">
        <v>71</v>
      </c>
      <c r="AS891" s="1" t="s">
        <v>71</v>
      </c>
      <c r="AX891" s="1" t="s">
        <v>71</v>
      </c>
      <c r="BH891" s="1" t="s">
        <v>71</v>
      </c>
    </row>
    <row r="892" customFormat="false" ht="15" hidden="false" customHeight="false" outlineLevel="0" collapsed="false">
      <c r="A892" s="1" t="s">
        <v>3042</v>
      </c>
      <c r="B892" s="1" t="s">
        <v>3043</v>
      </c>
      <c r="C892" s="1" t="s">
        <v>3031</v>
      </c>
      <c r="D892" s="1" t="s">
        <v>3032</v>
      </c>
      <c r="E892" s="1" t="s">
        <v>82</v>
      </c>
      <c r="F892" s="1" t="s">
        <v>391</v>
      </c>
      <c r="G892" s="1" t="s">
        <v>213</v>
      </c>
      <c r="H892" s="1" t="s">
        <v>477</v>
      </c>
      <c r="K892" s="1" t="s">
        <v>1772</v>
      </c>
      <c r="L892" s="1" t="s">
        <v>1773</v>
      </c>
      <c r="M892" s="1" t="s">
        <v>496</v>
      </c>
      <c r="N892" s="1" t="s">
        <v>2248</v>
      </c>
      <c r="O892" s="1" t="s">
        <v>400</v>
      </c>
      <c r="P892" s="1"/>
      <c r="Q892" s="1" t="s">
        <v>70</v>
      </c>
      <c r="Z892" s="1" t="s">
        <v>71</v>
      </c>
      <c r="AE892" s="1" t="s">
        <v>3033</v>
      </c>
      <c r="AH892" s="1" t="s">
        <v>73</v>
      </c>
      <c r="AK892" s="1" t="s">
        <v>71</v>
      </c>
      <c r="AM892" s="1" t="s">
        <v>71</v>
      </c>
      <c r="AN892" s="1" t="s">
        <v>71</v>
      </c>
      <c r="AS892" s="1" t="s">
        <v>71</v>
      </c>
      <c r="AX892" s="1" t="s">
        <v>71</v>
      </c>
      <c r="BH892" s="1" t="s">
        <v>71</v>
      </c>
    </row>
    <row r="893" customFormat="false" ht="15" hidden="false" customHeight="false" outlineLevel="0" collapsed="false">
      <c r="A893" s="1" t="s">
        <v>3044</v>
      </c>
      <c r="B893" s="1" t="s">
        <v>3045</v>
      </c>
      <c r="C893" s="1" t="s">
        <v>3031</v>
      </c>
      <c r="D893" s="1" t="s">
        <v>3032</v>
      </c>
      <c r="E893" s="1" t="s">
        <v>82</v>
      </c>
      <c r="F893" s="1" t="s">
        <v>391</v>
      </c>
      <c r="G893" s="1" t="s">
        <v>213</v>
      </c>
      <c r="H893" s="1" t="s">
        <v>477</v>
      </c>
      <c r="K893" s="1" t="s">
        <v>1772</v>
      </c>
      <c r="L893" s="1" t="s">
        <v>1773</v>
      </c>
      <c r="M893" s="1" t="s">
        <v>496</v>
      </c>
      <c r="N893" s="1" t="s">
        <v>2248</v>
      </c>
      <c r="O893" s="1" t="s">
        <v>400</v>
      </c>
      <c r="P893" s="1"/>
      <c r="Q893" s="1" t="s">
        <v>70</v>
      </c>
      <c r="Z893" s="1" t="s">
        <v>71</v>
      </c>
      <c r="AE893" s="1" t="s">
        <v>3033</v>
      </c>
      <c r="AH893" s="1" t="s">
        <v>73</v>
      </c>
      <c r="AK893" s="1" t="s">
        <v>71</v>
      </c>
      <c r="AM893" s="1" t="s">
        <v>71</v>
      </c>
      <c r="AN893" s="1" t="s">
        <v>71</v>
      </c>
      <c r="AS893" s="1" t="s">
        <v>71</v>
      </c>
      <c r="AX893" s="1" t="s">
        <v>71</v>
      </c>
      <c r="BH893" s="1" t="s">
        <v>71</v>
      </c>
    </row>
    <row r="894" customFormat="false" ht="15" hidden="false" customHeight="false" outlineLevel="0" collapsed="false">
      <c r="A894" s="1" t="s">
        <v>3046</v>
      </c>
      <c r="B894" s="1" t="s">
        <v>3047</v>
      </c>
      <c r="C894" s="1" t="s">
        <v>3031</v>
      </c>
      <c r="D894" s="1" t="s">
        <v>3032</v>
      </c>
      <c r="E894" s="1" t="s">
        <v>82</v>
      </c>
      <c r="F894" s="1" t="s">
        <v>391</v>
      </c>
      <c r="G894" s="1" t="s">
        <v>213</v>
      </c>
      <c r="H894" s="1" t="s">
        <v>477</v>
      </c>
      <c r="K894" s="1" t="s">
        <v>1772</v>
      </c>
      <c r="L894" s="1" t="s">
        <v>1773</v>
      </c>
      <c r="M894" s="1" t="s">
        <v>496</v>
      </c>
      <c r="N894" s="1" t="s">
        <v>2248</v>
      </c>
      <c r="O894" s="1" t="s">
        <v>400</v>
      </c>
      <c r="P894" s="1"/>
      <c r="Q894" s="1" t="s">
        <v>70</v>
      </c>
      <c r="Z894" s="1" t="s">
        <v>71</v>
      </c>
      <c r="AE894" s="1" t="s">
        <v>3033</v>
      </c>
      <c r="AH894" s="1" t="s">
        <v>73</v>
      </c>
      <c r="AK894" s="1" t="s">
        <v>71</v>
      </c>
      <c r="AM894" s="1" t="s">
        <v>71</v>
      </c>
      <c r="AN894" s="1" t="s">
        <v>71</v>
      </c>
      <c r="AS894" s="1" t="s">
        <v>71</v>
      </c>
      <c r="AX894" s="1" t="s">
        <v>71</v>
      </c>
      <c r="BH894" s="1" t="s">
        <v>71</v>
      </c>
    </row>
    <row r="895" customFormat="false" ht="15" hidden="false" customHeight="false" outlineLevel="0" collapsed="false">
      <c r="A895" s="1" t="s">
        <v>3048</v>
      </c>
      <c r="B895" s="1" t="s">
        <v>3049</v>
      </c>
      <c r="C895" s="1" t="s">
        <v>3031</v>
      </c>
      <c r="D895" s="1" t="s">
        <v>3032</v>
      </c>
      <c r="E895" s="1" t="s">
        <v>82</v>
      </c>
      <c r="F895" s="1" t="s">
        <v>391</v>
      </c>
      <c r="G895" s="1" t="s">
        <v>213</v>
      </c>
      <c r="H895" s="1" t="s">
        <v>477</v>
      </c>
      <c r="K895" s="1" t="s">
        <v>1772</v>
      </c>
      <c r="L895" s="1" t="s">
        <v>1773</v>
      </c>
      <c r="M895" s="1" t="s">
        <v>496</v>
      </c>
      <c r="N895" s="1" t="s">
        <v>2248</v>
      </c>
      <c r="O895" s="1" t="s">
        <v>400</v>
      </c>
      <c r="P895" s="1"/>
      <c r="Q895" s="1" t="s">
        <v>70</v>
      </c>
      <c r="Z895" s="1" t="s">
        <v>71</v>
      </c>
      <c r="AE895" s="1" t="s">
        <v>3033</v>
      </c>
      <c r="AH895" s="1" t="s">
        <v>73</v>
      </c>
      <c r="AK895" s="1" t="s">
        <v>71</v>
      </c>
      <c r="AM895" s="1" t="s">
        <v>71</v>
      </c>
      <c r="AN895" s="1" t="s">
        <v>71</v>
      </c>
      <c r="AS895" s="1" t="s">
        <v>71</v>
      </c>
      <c r="AX895" s="1" t="s">
        <v>71</v>
      </c>
      <c r="BH895" s="1" t="s">
        <v>71</v>
      </c>
    </row>
    <row r="896" customFormat="false" ht="15" hidden="false" customHeight="false" outlineLevel="0" collapsed="false">
      <c r="A896" s="1" t="s">
        <v>3050</v>
      </c>
      <c r="B896" s="1" t="s">
        <v>3051</v>
      </c>
      <c r="C896" s="1" t="s">
        <v>3031</v>
      </c>
      <c r="D896" s="1" t="s">
        <v>3032</v>
      </c>
      <c r="E896" s="1" t="s">
        <v>82</v>
      </c>
      <c r="F896" s="1" t="s">
        <v>391</v>
      </c>
      <c r="G896" s="1" t="s">
        <v>213</v>
      </c>
      <c r="H896" s="1" t="s">
        <v>477</v>
      </c>
      <c r="K896" s="1" t="s">
        <v>1772</v>
      </c>
      <c r="L896" s="1" t="s">
        <v>1773</v>
      </c>
      <c r="M896" s="1" t="s">
        <v>496</v>
      </c>
      <c r="N896" s="1" t="s">
        <v>2248</v>
      </c>
      <c r="O896" s="1" t="s">
        <v>400</v>
      </c>
      <c r="P896" s="1"/>
      <c r="Q896" s="1" t="s">
        <v>70</v>
      </c>
      <c r="Z896" s="1" t="s">
        <v>71</v>
      </c>
      <c r="AE896" s="1" t="s">
        <v>3033</v>
      </c>
      <c r="AH896" s="1" t="s">
        <v>73</v>
      </c>
      <c r="AK896" s="1" t="s">
        <v>71</v>
      </c>
      <c r="AM896" s="1" t="s">
        <v>71</v>
      </c>
      <c r="AN896" s="1" t="s">
        <v>71</v>
      </c>
      <c r="AS896" s="1" t="s">
        <v>71</v>
      </c>
      <c r="AX896" s="1" t="s">
        <v>71</v>
      </c>
      <c r="BH896" s="1" t="s">
        <v>71</v>
      </c>
    </row>
    <row r="897" customFormat="false" ht="15" hidden="false" customHeight="false" outlineLevel="0" collapsed="false">
      <c r="A897" s="1" t="s">
        <v>3052</v>
      </c>
      <c r="B897" s="1" t="s">
        <v>3053</v>
      </c>
      <c r="C897" s="1" t="s">
        <v>3031</v>
      </c>
      <c r="D897" s="1" t="s">
        <v>3032</v>
      </c>
      <c r="E897" s="1" t="s">
        <v>82</v>
      </c>
      <c r="F897" s="1" t="s">
        <v>391</v>
      </c>
      <c r="G897" s="1" t="s">
        <v>213</v>
      </c>
      <c r="H897" s="1" t="s">
        <v>477</v>
      </c>
      <c r="K897" s="1" t="s">
        <v>1772</v>
      </c>
      <c r="L897" s="1" t="s">
        <v>1773</v>
      </c>
      <c r="M897" s="1" t="s">
        <v>496</v>
      </c>
      <c r="N897" s="1" t="s">
        <v>2248</v>
      </c>
      <c r="O897" s="1" t="s">
        <v>400</v>
      </c>
      <c r="P897" s="1"/>
      <c r="Q897" s="1" t="s">
        <v>70</v>
      </c>
      <c r="Z897" s="1" t="s">
        <v>71</v>
      </c>
      <c r="AE897" s="1" t="s">
        <v>3033</v>
      </c>
      <c r="AH897" s="1" t="s">
        <v>73</v>
      </c>
      <c r="AK897" s="1" t="s">
        <v>71</v>
      </c>
      <c r="AM897" s="1" t="s">
        <v>71</v>
      </c>
      <c r="AN897" s="1" t="s">
        <v>71</v>
      </c>
      <c r="AS897" s="1" t="s">
        <v>71</v>
      </c>
      <c r="AX897" s="1" t="s">
        <v>71</v>
      </c>
      <c r="BH897" s="1" t="s">
        <v>71</v>
      </c>
    </row>
    <row r="898" customFormat="false" ht="15" hidden="false" customHeight="false" outlineLevel="0" collapsed="false">
      <c r="A898" s="1" t="s">
        <v>3054</v>
      </c>
      <c r="B898" s="1" t="s">
        <v>3055</v>
      </c>
      <c r="C898" s="1" t="s">
        <v>3031</v>
      </c>
      <c r="D898" s="1" t="s">
        <v>3032</v>
      </c>
      <c r="E898" s="1" t="s">
        <v>82</v>
      </c>
      <c r="F898" s="1" t="s">
        <v>391</v>
      </c>
      <c r="G898" s="1" t="s">
        <v>213</v>
      </c>
      <c r="H898" s="1" t="s">
        <v>477</v>
      </c>
      <c r="K898" s="1" t="s">
        <v>1772</v>
      </c>
      <c r="L898" s="1" t="s">
        <v>1773</v>
      </c>
      <c r="M898" s="1" t="s">
        <v>496</v>
      </c>
      <c r="N898" s="1" t="s">
        <v>2248</v>
      </c>
      <c r="O898" s="1" t="s">
        <v>400</v>
      </c>
      <c r="P898" s="1"/>
      <c r="Q898" s="1" t="s">
        <v>70</v>
      </c>
      <c r="Z898" s="1" t="s">
        <v>71</v>
      </c>
      <c r="AE898" s="1" t="s">
        <v>3033</v>
      </c>
      <c r="AH898" s="1" t="s">
        <v>73</v>
      </c>
      <c r="AK898" s="1" t="s">
        <v>71</v>
      </c>
      <c r="AM898" s="1" t="s">
        <v>71</v>
      </c>
      <c r="AN898" s="1" t="s">
        <v>71</v>
      </c>
      <c r="AS898" s="1" t="s">
        <v>71</v>
      </c>
      <c r="AX898" s="1" t="s">
        <v>71</v>
      </c>
      <c r="BH898" s="1" t="s">
        <v>71</v>
      </c>
    </row>
    <row r="899" customFormat="false" ht="15" hidden="false" customHeight="false" outlineLevel="0" collapsed="false">
      <c r="A899" s="1" t="s">
        <v>3056</v>
      </c>
      <c r="B899" s="1" t="s">
        <v>3057</v>
      </c>
      <c r="C899" s="1" t="s">
        <v>3031</v>
      </c>
      <c r="D899" s="1" t="s">
        <v>3032</v>
      </c>
      <c r="E899" s="1" t="s">
        <v>82</v>
      </c>
      <c r="F899" s="1" t="s">
        <v>391</v>
      </c>
      <c r="G899" s="1" t="s">
        <v>213</v>
      </c>
      <c r="H899" s="1" t="s">
        <v>477</v>
      </c>
      <c r="K899" s="1" t="s">
        <v>1772</v>
      </c>
      <c r="L899" s="1" t="s">
        <v>1773</v>
      </c>
      <c r="M899" s="1" t="s">
        <v>496</v>
      </c>
      <c r="N899" s="1" t="s">
        <v>2248</v>
      </c>
      <c r="O899" s="1" t="s">
        <v>400</v>
      </c>
      <c r="P899" s="1"/>
      <c r="Q899" s="1" t="s">
        <v>70</v>
      </c>
      <c r="Z899" s="1" t="s">
        <v>71</v>
      </c>
      <c r="AE899" s="1" t="s">
        <v>3033</v>
      </c>
      <c r="AH899" s="1" t="s">
        <v>73</v>
      </c>
      <c r="AK899" s="1" t="s">
        <v>71</v>
      </c>
      <c r="AM899" s="1" t="s">
        <v>71</v>
      </c>
      <c r="AN899" s="1" t="s">
        <v>71</v>
      </c>
      <c r="AS899" s="1" t="s">
        <v>71</v>
      </c>
      <c r="AX899" s="1" t="s">
        <v>71</v>
      </c>
      <c r="BH899" s="1" t="s">
        <v>71</v>
      </c>
    </row>
    <row r="900" customFormat="false" ht="15" hidden="false" customHeight="false" outlineLevel="0" collapsed="false">
      <c r="A900" s="1" t="s">
        <v>3058</v>
      </c>
      <c r="B900" s="1" t="s">
        <v>3059</v>
      </c>
      <c r="C900" s="1" t="s">
        <v>3031</v>
      </c>
      <c r="D900" s="1" t="s">
        <v>3032</v>
      </c>
      <c r="E900" s="1" t="s">
        <v>82</v>
      </c>
      <c r="F900" s="1" t="s">
        <v>391</v>
      </c>
      <c r="G900" s="1" t="s">
        <v>213</v>
      </c>
      <c r="H900" s="1" t="s">
        <v>477</v>
      </c>
      <c r="K900" s="1" t="s">
        <v>1772</v>
      </c>
      <c r="L900" s="1" t="s">
        <v>1773</v>
      </c>
      <c r="M900" s="1" t="s">
        <v>496</v>
      </c>
      <c r="N900" s="1" t="s">
        <v>2248</v>
      </c>
      <c r="O900" s="1" t="s">
        <v>400</v>
      </c>
      <c r="P900" s="1"/>
      <c r="Q900" s="1" t="s">
        <v>70</v>
      </c>
      <c r="Z900" s="1" t="s">
        <v>71</v>
      </c>
      <c r="AE900" s="1" t="s">
        <v>3033</v>
      </c>
      <c r="AH900" s="1" t="s">
        <v>73</v>
      </c>
      <c r="AK900" s="1" t="s">
        <v>71</v>
      </c>
      <c r="AM900" s="1" t="s">
        <v>71</v>
      </c>
      <c r="AN900" s="1" t="s">
        <v>71</v>
      </c>
      <c r="AS900" s="1" t="s">
        <v>71</v>
      </c>
      <c r="AX900" s="1" t="s">
        <v>71</v>
      </c>
      <c r="BH900" s="1" t="s">
        <v>71</v>
      </c>
    </row>
    <row r="901" customFormat="false" ht="15" hidden="false" customHeight="false" outlineLevel="0" collapsed="false">
      <c r="A901" s="1" t="s">
        <v>3060</v>
      </c>
      <c r="B901" s="1" t="s">
        <v>3061</v>
      </c>
      <c r="C901" s="1" t="s">
        <v>3031</v>
      </c>
      <c r="D901" s="1" t="s">
        <v>3032</v>
      </c>
      <c r="E901" s="1" t="s">
        <v>82</v>
      </c>
      <c r="F901" s="1" t="s">
        <v>391</v>
      </c>
      <c r="G901" s="1" t="s">
        <v>213</v>
      </c>
      <c r="H901" s="1" t="s">
        <v>477</v>
      </c>
      <c r="K901" s="1" t="s">
        <v>1772</v>
      </c>
      <c r="L901" s="1" t="s">
        <v>1773</v>
      </c>
      <c r="M901" s="1" t="s">
        <v>496</v>
      </c>
      <c r="N901" s="1" t="s">
        <v>2248</v>
      </c>
      <c r="O901" s="1" t="s">
        <v>400</v>
      </c>
      <c r="P901" s="1"/>
      <c r="Q901" s="1" t="s">
        <v>70</v>
      </c>
      <c r="Z901" s="1" t="s">
        <v>71</v>
      </c>
      <c r="AE901" s="1" t="s">
        <v>3033</v>
      </c>
      <c r="AH901" s="1" t="s">
        <v>73</v>
      </c>
      <c r="AK901" s="1" t="s">
        <v>71</v>
      </c>
      <c r="AM901" s="1" t="s">
        <v>71</v>
      </c>
      <c r="AN901" s="1" t="s">
        <v>71</v>
      </c>
      <c r="AS901" s="1" t="s">
        <v>71</v>
      </c>
      <c r="AX901" s="1" t="s">
        <v>71</v>
      </c>
      <c r="BH901" s="1" t="s">
        <v>71</v>
      </c>
    </row>
    <row r="902" customFormat="false" ht="15" hidden="false" customHeight="false" outlineLevel="0" collapsed="false">
      <c r="A902" s="1" t="s">
        <v>3062</v>
      </c>
      <c r="B902" s="1" t="s">
        <v>3063</v>
      </c>
      <c r="C902" s="1" t="s">
        <v>3031</v>
      </c>
      <c r="D902" s="1" t="s">
        <v>3032</v>
      </c>
      <c r="E902" s="1" t="s">
        <v>82</v>
      </c>
      <c r="F902" s="1" t="s">
        <v>391</v>
      </c>
      <c r="G902" s="1" t="s">
        <v>213</v>
      </c>
      <c r="H902" s="1" t="s">
        <v>477</v>
      </c>
      <c r="K902" s="1" t="s">
        <v>1772</v>
      </c>
      <c r="L902" s="1" t="s">
        <v>1773</v>
      </c>
      <c r="M902" s="1" t="s">
        <v>496</v>
      </c>
      <c r="N902" s="1" t="s">
        <v>2248</v>
      </c>
      <c r="O902" s="1" t="s">
        <v>400</v>
      </c>
      <c r="P902" s="1"/>
      <c r="Q902" s="1" t="s">
        <v>70</v>
      </c>
      <c r="Z902" s="1" t="s">
        <v>71</v>
      </c>
      <c r="AE902" s="1" t="s">
        <v>3033</v>
      </c>
      <c r="AH902" s="1" t="s">
        <v>73</v>
      </c>
      <c r="AK902" s="1" t="s">
        <v>71</v>
      </c>
      <c r="AM902" s="1" t="s">
        <v>71</v>
      </c>
      <c r="AN902" s="1" t="s">
        <v>71</v>
      </c>
      <c r="AS902" s="1" t="s">
        <v>71</v>
      </c>
      <c r="AX902" s="1" t="s">
        <v>71</v>
      </c>
      <c r="BH902" s="1" t="s">
        <v>71</v>
      </c>
    </row>
    <row r="903" customFormat="false" ht="15" hidden="false" customHeight="false" outlineLevel="0" collapsed="false">
      <c r="A903" s="1" t="s">
        <v>3064</v>
      </c>
      <c r="B903" s="1" t="s">
        <v>3065</v>
      </c>
      <c r="C903" s="1" t="s">
        <v>821</v>
      </c>
      <c r="D903" s="1" t="s">
        <v>2626</v>
      </c>
      <c r="E903" s="1" t="s">
        <v>82</v>
      </c>
      <c r="F903" s="1" t="s">
        <v>391</v>
      </c>
      <c r="G903" s="1" t="s">
        <v>443</v>
      </c>
      <c r="H903" s="1" t="s">
        <v>444</v>
      </c>
      <c r="K903" s="1" t="s">
        <v>618</v>
      </c>
      <c r="L903" s="1" t="s">
        <v>619</v>
      </c>
      <c r="M903" s="1" t="s">
        <v>496</v>
      </c>
      <c r="N903" s="1" t="s">
        <v>2334</v>
      </c>
      <c r="O903" s="1" t="s">
        <v>2335</v>
      </c>
      <c r="P903" s="1"/>
      <c r="Q903" s="1" t="s">
        <v>70</v>
      </c>
      <c r="Z903" s="1" t="s">
        <v>71</v>
      </c>
      <c r="AE903" s="1" t="s">
        <v>3066</v>
      </c>
      <c r="AH903" s="1" t="s">
        <v>73</v>
      </c>
      <c r="AK903" s="1" t="s">
        <v>71</v>
      </c>
      <c r="AM903" s="1" t="s">
        <v>71</v>
      </c>
      <c r="AN903" s="1" t="s">
        <v>71</v>
      </c>
      <c r="AS903" s="1" t="s">
        <v>71</v>
      </c>
      <c r="AX903" s="1" t="s">
        <v>71</v>
      </c>
      <c r="BH903" s="1" t="s">
        <v>71</v>
      </c>
    </row>
    <row r="904" customFormat="false" ht="15" hidden="false" customHeight="false" outlineLevel="0" collapsed="false">
      <c r="A904" s="1" t="s">
        <v>3067</v>
      </c>
      <c r="B904" s="1" t="s">
        <v>3068</v>
      </c>
      <c r="C904" s="1" t="s">
        <v>913</v>
      </c>
      <c r="D904" s="1" t="s">
        <v>2594</v>
      </c>
      <c r="E904" s="1" t="s">
        <v>82</v>
      </c>
      <c r="F904" s="1" t="s">
        <v>391</v>
      </c>
      <c r="G904" s="1" t="s">
        <v>443</v>
      </c>
      <c r="H904" s="1" t="s">
        <v>444</v>
      </c>
      <c r="K904" s="1" t="s">
        <v>618</v>
      </c>
      <c r="L904" s="1" t="s">
        <v>619</v>
      </c>
      <c r="M904" s="1" t="s">
        <v>496</v>
      </c>
      <c r="N904" s="1" t="s">
        <v>842</v>
      </c>
      <c r="O904" s="1" t="s">
        <v>400</v>
      </c>
      <c r="P904" s="1"/>
      <c r="Q904" s="1" t="s">
        <v>70</v>
      </c>
      <c r="Z904" s="1" t="s">
        <v>71</v>
      </c>
      <c r="AE904" s="1" t="s">
        <v>3066</v>
      </c>
      <c r="AH904" s="1" t="s">
        <v>73</v>
      </c>
      <c r="AK904" s="1" t="s">
        <v>71</v>
      </c>
      <c r="AM904" s="1" t="s">
        <v>71</v>
      </c>
      <c r="AN904" s="1" t="s">
        <v>71</v>
      </c>
      <c r="AS904" s="1" t="s">
        <v>71</v>
      </c>
      <c r="AX904" s="1" t="s">
        <v>71</v>
      </c>
      <c r="BH904" s="1" t="s">
        <v>71</v>
      </c>
    </row>
    <row r="905" customFormat="false" ht="15" hidden="false" customHeight="false" outlineLevel="0" collapsed="false">
      <c r="A905" s="1" t="s">
        <v>3069</v>
      </c>
      <c r="B905" s="1" t="s">
        <v>3070</v>
      </c>
      <c r="C905" s="1" t="s">
        <v>913</v>
      </c>
      <c r="D905" s="1" t="s">
        <v>2594</v>
      </c>
      <c r="E905" s="1" t="s">
        <v>82</v>
      </c>
      <c r="F905" s="1" t="s">
        <v>391</v>
      </c>
      <c r="G905" s="1" t="s">
        <v>443</v>
      </c>
      <c r="H905" s="1" t="s">
        <v>444</v>
      </c>
      <c r="K905" s="1" t="s">
        <v>618</v>
      </c>
      <c r="L905" s="1" t="s">
        <v>619</v>
      </c>
      <c r="M905" s="1" t="s">
        <v>496</v>
      </c>
      <c r="N905" s="1" t="s">
        <v>842</v>
      </c>
      <c r="O905" s="1" t="s">
        <v>400</v>
      </c>
      <c r="P905" s="1"/>
      <c r="Q905" s="1" t="s">
        <v>70</v>
      </c>
      <c r="Z905" s="1" t="s">
        <v>71</v>
      </c>
      <c r="AE905" s="1" t="s">
        <v>3066</v>
      </c>
      <c r="AH905" s="1" t="s">
        <v>73</v>
      </c>
      <c r="AK905" s="1" t="s">
        <v>71</v>
      </c>
      <c r="AM905" s="1" t="s">
        <v>71</v>
      </c>
      <c r="AN905" s="1" t="s">
        <v>71</v>
      </c>
      <c r="AS905" s="1" t="s">
        <v>71</v>
      </c>
      <c r="AX905" s="1" t="s">
        <v>71</v>
      </c>
      <c r="BH905" s="1" t="s">
        <v>71</v>
      </c>
    </row>
    <row r="906" customFormat="false" ht="15" hidden="false" customHeight="false" outlineLevel="0" collapsed="false">
      <c r="A906" s="1" t="s">
        <v>3071</v>
      </c>
      <c r="B906" s="1" t="s">
        <v>3072</v>
      </c>
      <c r="C906" s="1" t="s">
        <v>913</v>
      </c>
      <c r="D906" s="1" t="s">
        <v>2594</v>
      </c>
      <c r="E906" s="1" t="s">
        <v>82</v>
      </c>
      <c r="F906" s="1" t="s">
        <v>391</v>
      </c>
      <c r="G906" s="1" t="s">
        <v>443</v>
      </c>
      <c r="H906" s="1" t="s">
        <v>444</v>
      </c>
      <c r="K906" s="1" t="s">
        <v>618</v>
      </c>
      <c r="L906" s="1" t="s">
        <v>619</v>
      </c>
      <c r="M906" s="1" t="s">
        <v>496</v>
      </c>
      <c r="N906" s="1" t="s">
        <v>2892</v>
      </c>
      <c r="O906" s="1" t="s">
        <v>400</v>
      </c>
      <c r="P906" s="1"/>
      <c r="Q906" s="1" t="s">
        <v>70</v>
      </c>
      <c r="Z906" s="1" t="s">
        <v>71</v>
      </c>
      <c r="AE906" s="1" t="s">
        <v>3066</v>
      </c>
      <c r="AH906" s="1" t="s">
        <v>73</v>
      </c>
      <c r="AK906" s="1" t="s">
        <v>71</v>
      </c>
      <c r="AM906" s="1" t="s">
        <v>71</v>
      </c>
      <c r="AN906" s="1" t="s">
        <v>71</v>
      </c>
      <c r="AS906" s="1" t="s">
        <v>71</v>
      </c>
      <c r="AX906" s="1" t="s">
        <v>71</v>
      </c>
      <c r="BH906" s="1" t="s">
        <v>71</v>
      </c>
    </row>
    <row r="907" customFormat="false" ht="15" hidden="false" customHeight="false" outlineLevel="0" collapsed="false">
      <c r="A907" s="1" t="s">
        <v>3073</v>
      </c>
      <c r="B907" s="1" t="s">
        <v>3074</v>
      </c>
      <c r="C907" s="1" t="s">
        <v>913</v>
      </c>
      <c r="D907" s="1" t="s">
        <v>2594</v>
      </c>
      <c r="E907" s="1" t="s">
        <v>82</v>
      </c>
      <c r="F907" s="1" t="s">
        <v>391</v>
      </c>
      <c r="G907" s="1" t="s">
        <v>443</v>
      </c>
      <c r="H907" s="1" t="s">
        <v>444</v>
      </c>
      <c r="K907" s="1" t="s">
        <v>618</v>
      </c>
      <c r="L907" s="1" t="s">
        <v>619</v>
      </c>
      <c r="M907" s="1" t="s">
        <v>496</v>
      </c>
      <c r="N907" s="1" t="s">
        <v>3075</v>
      </c>
      <c r="O907" s="1" t="s">
        <v>3076</v>
      </c>
      <c r="P907" s="1"/>
      <c r="Q907" s="1" t="s">
        <v>70</v>
      </c>
      <c r="Z907" s="1" t="s">
        <v>71</v>
      </c>
      <c r="AE907" s="1" t="s">
        <v>3066</v>
      </c>
      <c r="AH907" s="1" t="s">
        <v>73</v>
      </c>
      <c r="AK907" s="1" t="s">
        <v>71</v>
      </c>
      <c r="AM907" s="1" t="s">
        <v>71</v>
      </c>
      <c r="AN907" s="1" t="s">
        <v>71</v>
      </c>
      <c r="AS907" s="1" t="s">
        <v>71</v>
      </c>
      <c r="AX907" s="1" t="s">
        <v>71</v>
      </c>
      <c r="BH907" s="1" t="s">
        <v>71</v>
      </c>
    </row>
    <row r="908" customFormat="false" ht="15" hidden="false" customHeight="false" outlineLevel="0" collapsed="false">
      <c r="A908" s="1" t="s">
        <v>3077</v>
      </c>
      <c r="B908" s="1" t="s">
        <v>3078</v>
      </c>
      <c r="C908" s="1" t="s">
        <v>913</v>
      </c>
      <c r="D908" s="1" t="s">
        <v>2594</v>
      </c>
      <c r="E908" s="1" t="s">
        <v>82</v>
      </c>
      <c r="F908" s="1" t="s">
        <v>391</v>
      </c>
      <c r="G908" s="1" t="s">
        <v>443</v>
      </c>
      <c r="H908" s="1" t="s">
        <v>444</v>
      </c>
      <c r="K908" s="1" t="s">
        <v>618</v>
      </c>
      <c r="L908" s="1" t="s">
        <v>619</v>
      </c>
      <c r="M908" s="1" t="s">
        <v>496</v>
      </c>
      <c r="N908" s="1" t="s">
        <v>3079</v>
      </c>
      <c r="O908" s="1" t="s">
        <v>3080</v>
      </c>
      <c r="P908" s="1"/>
      <c r="Q908" s="1" t="s">
        <v>70</v>
      </c>
      <c r="Z908" s="1" t="s">
        <v>71</v>
      </c>
      <c r="AE908" s="1" t="s">
        <v>3066</v>
      </c>
      <c r="AH908" s="1" t="s">
        <v>73</v>
      </c>
      <c r="AK908" s="1" t="s">
        <v>71</v>
      </c>
      <c r="AM908" s="1" t="s">
        <v>71</v>
      </c>
      <c r="AN908" s="1" t="s">
        <v>71</v>
      </c>
      <c r="AS908" s="1" t="s">
        <v>71</v>
      </c>
      <c r="AX908" s="1" t="s">
        <v>71</v>
      </c>
      <c r="BH908" s="1" t="s">
        <v>71</v>
      </c>
    </row>
    <row r="909" customFormat="false" ht="15" hidden="false" customHeight="false" outlineLevel="0" collapsed="false">
      <c r="A909" s="1" t="s">
        <v>3081</v>
      </c>
      <c r="B909" s="1" t="s">
        <v>3082</v>
      </c>
      <c r="C909" s="1" t="s">
        <v>913</v>
      </c>
      <c r="D909" s="1" t="s">
        <v>2594</v>
      </c>
      <c r="E909" s="1" t="s">
        <v>82</v>
      </c>
      <c r="F909" s="1" t="s">
        <v>391</v>
      </c>
      <c r="G909" s="1" t="s">
        <v>443</v>
      </c>
      <c r="H909" s="1" t="s">
        <v>444</v>
      </c>
      <c r="K909" s="1" t="s">
        <v>618</v>
      </c>
      <c r="L909" s="1" t="s">
        <v>619</v>
      </c>
      <c r="M909" s="1" t="s">
        <v>496</v>
      </c>
      <c r="N909" s="1" t="s">
        <v>2525</v>
      </c>
      <c r="O909" s="1" t="s">
        <v>447</v>
      </c>
      <c r="P909" s="1"/>
      <c r="Q909" s="1" t="s">
        <v>70</v>
      </c>
      <c r="Z909" s="1" t="s">
        <v>71</v>
      </c>
      <c r="AE909" s="1" t="s">
        <v>3066</v>
      </c>
      <c r="AH909" s="1" t="s">
        <v>73</v>
      </c>
      <c r="AK909" s="1" t="s">
        <v>71</v>
      </c>
      <c r="AM909" s="1" t="s">
        <v>71</v>
      </c>
      <c r="AN909" s="1" t="s">
        <v>71</v>
      </c>
      <c r="AS909" s="1" t="s">
        <v>71</v>
      </c>
      <c r="AX909" s="1" t="s">
        <v>71</v>
      </c>
      <c r="BH909" s="1" t="s">
        <v>71</v>
      </c>
    </row>
    <row r="910" customFormat="false" ht="15" hidden="false" customHeight="false" outlineLevel="0" collapsed="false">
      <c r="A910" s="1" t="s">
        <v>3083</v>
      </c>
      <c r="B910" s="1" t="s">
        <v>3084</v>
      </c>
      <c r="C910" s="1" t="s">
        <v>920</v>
      </c>
      <c r="D910" s="1" t="s">
        <v>3085</v>
      </c>
      <c r="E910" s="1" t="s">
        <v>82</v>
      </c>
      <c r="F910" s="1" t="s">
        <v>391</v>
      </c>
      <c r="G910" s="1" t="s">
        <v>443</v>
      </c>
      <c r="H910" s="1" t="s">
        <v>444</v>
      </c>
      <c r="K910" s="1" t="s">
        <v>618</v>
      </c>
      <c r="L910" s="1" t="s">
        <v>619</v>
      </c>
      <c r="M910" s="1" t="s">
        <v>496</v>
      </c>
      <c r="N910" s="1" t="s">
        <v>1682</v>
      </c>
      <c r="O910" s="1" t="s">
        <v>1001</v>
      </c>
      <c r="P910" s="1"/>
      <c r="Q910" s="1" t="s">
        <v>70</v>
      </c>
      <c r="Z910" s="1" t="s">
        <v>71</v>
      </c>
      <c r="AE910" s="1" t="s">
        <v>3066</v>
      </c>
      <c r="AH910" s="1" t="s">
        <v>73</v>
      </c>
      <c r="AK910" s="1" t="s">
        <v>71</v>
      </c>
      <c r="AM910" s="1" t="s">
        <v>71</v>
      </c>
      <c r="AN910" s="1" t="s">
        <v>71</v>
      </c>
      <c r="AS910" s="1" t="s">
        <v>71</v>
      </c>
      <c r="AX910" s="1" t="s">
        <v>71</v>
      </c>
      <c r="BH910" s="1" t="s">
        <v>71</v>
      </c>
    </row>
    <row r="911" customFormat="false" ht="15" hidden="false" customHeight="false" outlineLevel="0" collapsed="false">
      <c r="A911" s="1" t="s">
        <v>3086</v>
      </c>
      <c r="B911" s="1" t="s">
        <v>3087</v>
      </c>
      <c r="C911" s="1" t="s">
        <v>920</v>
      </c>
      <c r="D911" s="1" t="s">
        <v>3085</v>
      </c>
      <c r="E911" s="1" t="s">
        <v>82</v>
      </c>
      <c r="F911" s="1" t="s">
        <v>391</v>
      </c>
      <c r="G911" s="1" t="s">
        <v>443</v>
      </c>
      <c r="H911" s="1" t="s">
        <v>444</v>
      </c>
      <c r="K911" s="1" t="s">
        <v>618</v>
      </c>
      <c r="L911" s="1" t="s">
        <v>619</v>
      </c>
      <c r="M911" s="1" t="s">
        <v>496</v>
      </c>
      <c r="N911" s="1" t="s">
        <v>1682</v>
      </c>
      <c r="O911" s="1" t="s">
        <v>1001</v>
      </c>
      <c r="P911" s="1"/>
      <c r="Q911" s="1" t="s">
        <v>70</v>
      </c>
      <c r="Z911" s="1" t="s">
        <v>71</v>
      </c>
      <c r="AE911" s="1" t="s">
        <v>3066</v>
      </c>
      <c r="AH911" s="1" t="s">
        <v>73</v>
      </c>
      <c r="AK911" s="1" t="s">
        <v>71</v>
      </c>
      <c r="AM911" s="1" t="s">
        <v>71</v>
      </c>
      <c r="AN911" s="1" t="s">
        <v>71</v>
      </c>
      <c r="AS911" s="1" t="s">
        <v>71</v>
      </c>
      <c r="AX911" s="1" t="s">
        <v>71</v>
      </c>
      <c r="BH911" s="1" t="s">
        <v>71</v>
      </c>
    </row>
    <row r="912" customFormat="false" ht="15" hidden="false" customHeight="false" outlineLevel="0" collapsed="false">
      <c r="A912" s="1" t="s">
        <v>3088</v>
      </c>
      <c r="B912" s="1" t="s">
        <v>3089</v>
      </c>
      <c r="C912" s="1" t="s">
        <v>920</v>
      </c>
      <c r="D912" s="1" t="s">
        <v>3085</v>
      </c>
      <c r="E912" s="1" t="s">
        <v>82</v>
      </c>
      <c r="F912" s="1" t="s">
        <v>391</v>
      </c>
      <c r="G912" s="1" t="s">
        <v>443</v>
      </c>
      <c r="H912" s="1" t="s">
        <v>444</v>
      </c>
      <c r="K912" s="1" t="s">
        <v>618</v>
      </c>
      <c r="L912" s="1" t="s">
        <v>619</v>
      </c>
      <c r="M912" s="1" t="s">
        <v>496</v>
      </c>
      <c r="N912" s="1" t="s">
        <v>1682</v>
      </c>
      <c r="O912" s="1" t="s">
        <v>1001</v>
      </c>
      <c r="P912" s="1"/>
      <c r="Q912" s="1" t="s">
        <v>70</v>
      </c>
      <c r="Z912" s="1" t="s">
        <v>71</v>
      </c>
      <c r="AE912" s="1" t="s">
        <v>3066</v>
      </c>
      <c r="AH912" s="1" t="s">
        <v>73</v>
      </c>
      <c r="AK912" s="1" t="s">
        <v>71</v>
      </c>
      <c r="AM912" s="1" t="s">
        <v>71</v>
      </c>
      <c r="AN912" s="1" t="s">
        <v>71</v>
      </c>
      <c r="AS912" s="1" t="s">
        <v>71</v>
      </c>
      <c r="AX912" s="1" t="s">
        <v>71</v>
      </c>
      <c r="BH912" s="1" t="s">
        <v>71</v>
      </c>
    </row>
    <row r="913" customFormat="false" ht="15" hidden="false" customHeight="false" outlineLevel="0" collapsed="false">
      <c r="A913" s="1" t="s">
        <v>3090</v>
      </c>
      <c r="B913" s="1" t="s">
        <v>3091</v>
      </c>
      <c r="C913" s="1" t="s">
        <v>920</v>
      </c>
      <c r="D913" s="1" t="s">
        <v>3085</v>
      </c>
      <c r="E913" s="1" t="s">
        <v>82</v>
      </c>
      <c r="F913" s="1" t="s">
        <v>391</v>
      </c>
      <c r="G913" s="1" t="s">
        <v>443</v>
      </c>
      <c r="H913" s="1" t="s">
        <v>444</v>
      </c>
      <c r="K913" s="1" t="s">
        <v>618</v>
      </c>
      <c r="L913" s="1" t="s">
        <v>619</v>
      </c>
      <c r="M913" s="1" t="s">
        <v>496</v>
      </c>
      <c r="N913" s="1" t="s">
        <v>3092</v>
      </c>
      <c r="O913" s="1" t="s">
        <v>3093</v>
      </c>
      <c r="P913" s="1"/>
      <c r="Q913" s="1" t="s">
        <v>70</v>
      </c>
      <c r="Z913" s="1" t="s">
        <v>71</v>
      </c>
      <c r="AE913" s="1" t="s">
        <v>3066</v>
      </c>
      <c r="AH913" s="1" t="s">
        <v>73</v>
      </c>
      <c r="AK913" s="1" t="s">
        <v>71</v>
      </c>
      <c r="AM913" s="1" t="s">
        <v>71</v>
      </c>
      <c r="AN913" s="1" t="s">
        <v>71</v>
      </c>
      <c r="AS913" s="1" t="s">
        <v>71</v>
      </c>
      <c r="AX913" s="1" t="s">
        <v>71</v>
      </c>
      <c r="BH913" s="1" t="s">
        <v>71</v>
      </c>
    </row>
    <row r="914" customFormat="false" ht="15" hidden="false" customHeight="false" outlineLevel="0" collapsed="false">
      <c r="A914" s="1" t="s">
        <v>3094</v>
      </c>
      <c r="B914" s="1" t="s">
        <v>3095</v>
      </c>
      <c r="C914" s="1" t="s">
        <v>920</v>
      </c>
      <c r="D914" s="1" t="s">
        <v>3085</v>
      </c>
      <c r="E914" s="1" t="s">
        <v>82</v>
      </c>
      <c r="F914" s="1" t="s">
        <v>391</v>
      </c>
      <c r="G914" s="1" t="s">
        <v>443</v>
      </c>
      <c r="H914" s="1" t="s">
        <v>444</v>
      </c>
      <c r="K914" s="1" t="s">
        <v>618</v>
      </c>
      <c r="L914" s="1" t="s">
        <v>619</v>
      </c>
      <c r="M914" s="1" t="s">
        <v>496</v>
      </c>
      <c r="N914" s="1" t="s">
        <v>1000</v>
      </c>
      <c r="O914" s="1" t="s">
        <v>1001</v>
      </c>
      <c r="P914" s="1"/>
      <c r="Q914" s="1" t="s">
        <v>70</v>
      </c>
      <c r="Z914" s="1" t="s">
        <v>71</v>
      </c>
      <c r="AE914" s="1" t="s">
        <v>3066</v>
      </c>
      <c r="AH914" s="1" t="s">
        <v>73</v>
      </c>
      <c r="AK914" s="1" t="s">
        <v>71</v>
      </c>
      <c r="AM914" s="1" t="s">
        <v>71</v>
      </c>
      <c r="AN914" s="1" t="s">
        <v>71</v>
      </c>
      <c r="AS914" s="1" t="s">
        <v>71</v>
      </c>
      <c r="AX914" s="1" t="s">
        <v>71</v>
      </c>
      <c r="BH914" s="1" t="s">
        <v>71</v>
      </c>
    </row>
    <row r="915" customFormat="false" ht="15" hidden="false" customHeight="false" outlineLevel="0" collapsed="false">
      <c r="A915" s="1" t="s">
        <v>3096</v>
      </c>
      <c r="B915" s="1" t="s">
        <v>3097</v>
      </c>
      <c r="C915" s="1" t="s">
        <v>920</v>
      </c>
      <c r="D915" s="1" t="s">
        <v>3085</v>
      </c>
      <c r="E915" s="1" t="s">
        <v>82</v>
      </c>
      <c r="F915" s="1" t="s">
        <v>391</v>
      </c>
      <c r="G915" s="1" t="s">
        <v>443</v>
      </c>
      <c r="H915" s="1" t="s">
        <v>444</v>
      </c>
      <c r="K915" s="1" t="s">
        <v>618</v>
      </c>
      <c r="L915" s="1" t="s">
        <v>619</v>
      </c>
      <c r="M915" s="1" t="s">
        <v>496</v>
      </c>
      <c r="N915" s="1" t="s">
        <v>1682</v>
      </c>
      <c r="O915" s="1" t="s">
        <v>1001</v>
      </c>
      <c r="P915" s="1"/>
      <c r="Q915" s="1" t="s">
        <v>70</v>
      </c>
      <c r="U915" s="1" t="s">
        <v>3096</v>
      </c>
      <c r="Z915" s="1" t="s">
        <v>71</v>
      </c>
      <c r="AE915" s="1" t="s">
        <v>3066</v>
      </c>
      <c r="AH915" s="1" t="s">
        <v>73</v>
      </c>
      <c r="AK915" s="1" t="s">
        <v>71</v>
      </c>
      <c r="AM915" s="1" t="s">
        <v>71</v>
      </c>
      <c r="AN915" s="1" t="s">
        <v>71</v>
      </c>
      <c r="AS915" s="1" t="s">
        <v>71</v>
      </c>
      <c r="AX915" s="1" t="s">
        <v>71</v>
      </c>
      <c r="BH915" s="1" t="s">
        <v>71</v>
      </c>
    </row>
    <row r="916" customFormat="false" ht="15" hidden="false" customHeight="false" outlineLevel="0" collapsed="false">
      <c r="A916" s="1" t="s">
        <v>3098</v>
      </c>
      <c r="B916" s="1" t="s">
        <v>3099</v>
      </c>
      <c r="C916" s="1" t="s">
        <v>920</v>
      </c>
      <c r="D916" s="1" t="s">
        <v>3085</v>
      </c>
      <c r="E916" s="1" t="s">
        <v>82</v>
      </c>
      <c r="F916" s="1" t="s">
        <v>391</v>
      </c>
      <c r="G916" s="1" t="s">
        <v>443</v>
      </c>
      <c r="H916" s="1" t="s">
        <v>444</v>
      </c>
      <c r="K916" s="1" t="s">
        <v>618</v>
      </c>
      <c r="L916" s="1" t="s">
        <v>619</v>
      </c>
      <c r="M916" s="1" t="s">
        <v>496</v>
      </c>
      <c r="N916" s="1" t="s">
        <v>1696</v>
      </c>
      <c r="O916" s="1" t="s">
        <v>1697</v>
      </c>
      <c r="P916" s="1"/>
      <c r="Q916" s="1" t="s">
        <v>70</v>
      </c>
      <c r="Z916" s="1" t="s">
        <v>71</v>
      </c>
      <c r="AE916" s="1" t="s">
        <v>3066</v>
      </c>
      <c r="AH916" s="1" t="s">
        <v>73</v>
      </c>
      <c r="AK916" s="1" t="s">
        <v>71</v>
      </c>
      <c r="AM916" s="1" t="s">
        <v>71</v>
      </c>
      <c r="AN916" s="1" t="s">
        <v>71</v>
      </c>
      <c r="AS916" s="1" t="s">
        <v>71</v>
      </c>
      <c r="AX916" s="1" t="s">
        <v>71</v>
      </c>
      <c r="BH916" s="1" t="s">
        <v>71</v>
      </c>
    </row>
    <row r="917" customFormat="false" ht="15" hidden="false" customHeight="false" outlineLevel="0" collapsed="false">
      <c r="A917" s="1" t="s">
        <v>3100</v>
      </c>
      <c r="B917" s="1" t="s">
        <v>3101</v>
      </c>
      <c r="C917" s="1" t="s">
        <v>920</v>
      </c>
      <c r="D917" s="1" t="s">
        <v>3085</v>
      </c>
      <c r="E917" s="1" t="s">
        <v>82</v>
      </c>
      <c r="F917" s="1" t="s">
        <v>391</v>
      </c>
      <c r="G917" s="1" t="s">
        <v>443</v>
      </c>
      <c r="H917" s="1" t="s">
        <v>444</v>
      </c>
      <c r="K917" s="1" t="s">
        <v>618</v>
      </c>
      <c r="L917" s="1" t="s">
        <v>619</v>
      </c>
      <c r="M917" s="1" t="s">
        <v>496</v>
      </c>
      <c r="N917" s="1" t="s">
        <v>3102</v>
      </c>
      <c r="O917" s="1" t="s">
        <v>3103</v>
      </c>
      <c r="P917" s="1"/>
      <c r="Q917" s="1" t="s">
        <v>70</v>
      </c>
      <c r="Z917" s="1" t="s">
        <v>71</v>
      </c>
      <c r="AE917" s="1" t="s">
        <v>3066</v>
      </c>
      <c r="AH917" s="1" t="s">
        <v>73</v>
      </c>
      <c r="AK917" s="1" t="s">
        <v>71</v>
      </c>
      <c r="AM917" s="1" t="s">
        <v>71</v>
      </c>
      <c r="AN917" s="1" t="s">
        <v>71</v>
      </c>
      <c r="AS917" s="1" t="s">
        <v>71</v>
      </c>
      <c r="AX917" s="1" t="s">
        <v>71</v>
      </c>
      <c r="BH917" s="1" t="s">
        <v>71</v>
      </c>
    </row>
    <row r="918" customFormat="false" ht="15" hidden="false" customHeight="false" outlineLevel="0" collapsed="false">
      <c r="A918" s="1" t="s">
        <v>3104</v>
      </c>
      <c r="B918" s="1" t="s">
        <v>3105</v>
      </c>
      <c r="C918" s="1" t="s">
        <v>920</v>
      </c>
      <c r="D918" s="1" t="s">
        <v>3085</v>
      </c>
      <c r="E918" s="1" t="s">
        <v>82</v>
      </c>
      <c r="F918" s="1" t="s">
        <v>391</v>
      </c>
      <c r="G918" s="1" t="s">
        <v>443</v>
      </c>
      <c r="H918" s="1" t="s">
        <v>444</v>
      </c>
      <c r="K918" s="1" t="s">
        <v>618</v>
      </c>
      <c r="L918" s="1" t="s">
        <v>619</v>
      </c>
      <c r="M918" s="1" t="s">
        <v>496</v>
      </c>
      <c r="N918" s="1" t="s">
        <v>2032</v>
      </c>
      <c r="O918" s="1" t="s">
        <v>447</v>
      </c>
      <c r="P918" s="1"/>
      <c r="Q918" s="1" t="s">
        <v>70</v>
      </c>
      <c r="Z918" s="1" t="s">
        <v>71</v>
      </c>
      <c r="AE918" s="1" t="s">
        <v>3066</v>
      </c>
      <c r="AH918" s="1" t="s">
        <v>73</v>
      </c>
      <c r="AK918" s="1" t="s">
        <v>71</v>
      </c>
      <c r="AM918" s="1" t="s">
        <v>71</v>
      </c>
      <c r="AN918" s="1" t="s">
        <v>71</v>
      </c>
      <c r="AS918" s="1" t="s">
        <v>71</v>
      </c>
      <c r="AX918" s="1" t="s">
        <v>71</v>
      </c>
      <c r="BH918" s="1" t="s">
        <v>71</v>
      </c>
    </row>
    <row r="919" customFormat="false" ht="15" hidden="false" customHeight="false" outlineLevel="0" collapsed="false">
      <c r="A919" s="1" t="s">
        <v>3106</v>
      </c>
      <c r="B919" s="1" t="s">
        <v>3107</v>
      </c>
      <c r="C919" s="1" t="s">
        <v>920</v>
      </c>
      <c r="D919" s="1" t="s">
        <v>3085</v>
      </c>
      <c r="E919" s="1" t="s">
        <v>82</v>
      </c>
      <c r="F919" s="1" t="s">
        <v>391</v>
      </c>
      <c r="G919" s="1" t="s">
        <v>443</v>
      </c>
      <c r="H919" s="1" t="s">
        <v>444</v>
      </c>
      <c r="K919" s="1" t="s">
        <v>618</v>
      </c>
      <c r="L919" s="1" t="s">
        <v>619</v>
      </c>
      <c r="M919" s="1" t="s">
        <v>496</v>
      </c>
      <c r="N919" s="1" t="s">
        <v>1953</v>
      </c>
      <c r="O919" s="1" t="s">
        <v>1954</v>
      </c>
      <c r="P919" s="1"/>
      <c r="Q919" s="1" t="s">
        <v>70</v>
      </c>
      <c r="Z919" s="1" t="s">
        <v>71</v>
      </c>
      <c r="AE919" s="1" t="s">
        <v>3066</v>
      </c>
      <c r="AH919" s="1" t="s">
        <v>73</v>
      </c>
      <c r="AK919" s="1" t="s">
        <v>71</v>
      </c>
      <c r="AM919" s="1" t="s">
        <v>71</v>
      </c>
      <c r="AN919" s="1" t="s">
        <v>71</v>
      </c>
      <c r="AS919" s="1" t="s">
        <v>71</v>
      </c>
      <c r="AX919" s="1" t="s">
        <v>71</v>
      </c>
      <c r="BH919" s="1" t="s">
        <v>71</v>
      </c>
    </row>
    <row r="920" customFormat="false" ht="15" hidden="false" customHeight="false" outlineLevel="0" collapsed="false">
      <c r="A920" s="1" t="s">
        <v>3108</v>
      </c>
      <c r="B920" s="1" t="s">
        <v>3109</v>
      </c>
      <c r="C920" s="1" t="s">
        <v>920</v>
      </c>
      <c r="D920" s="1" t="s">
        <v>3085</v>
      </c>
      <c r="E920" s="1" t="s">
        <v>82</v>
      </c>
      <c r="F920" s="1" t="s">
        <v>391</v>
      </c>
      <c r="G920" s="1" t="s">
        <v>443</v>
      </c>
      <c r="H920" s="1" t="s">
        <v>444</v>
      </c>
      <c r="K920" s="1" t="s">
        <v>618</v>
      </c>
      <c r="L920" s="1" t="s">
        <v>619</v>
      </c>
      <c r="M920" s="1" t="s">
        <v>496</v>
      </c>
      <c r="N920" s="1" t="s">
        <v>3110</v>
      </c>
      <c r="O920" s="1" t="s">
        <v>3111</v>
      </c>
      <c r="P920" s="1"/>
      <c r="Q920" s="1" t="s">
        <v>70</v>
      </c>
      <c r="Z920" s="1" t="s">
        <v>71</v>
      </c>
      <c r="AE920" s="1" t="s">
        <v>3066</v>
      </c>
      <c r="AH920" s="1" t="s">
        <v>73</v>
      </c>
      <c r="AK920" s="1" t="s">
        <v>71</v>
      </c>
      <c r="AM920" s="1" t="s">
        <v>71</v>
      </c>
      <c r="AN920" s="1" t="s">
        <v>71</v>
      </c>
      <c r="AS920" s="1" t="s">
        <v>71</v>
      </c>
      <c r="AX920" s="1" t="s">
        <v>71</v>
      </c>
      <c r="BH920" s="1" t="s">
        <v>71</v>
      </c>
    </row>
    <row r="921" customFormat="false" ht="15" hidden="false" customHeight="false" outlineLevel="0" collapsed="false">
      <c r="A921" s="1" t="s">
        <v>3112</v>
      </c>
      <c r="B921" s="1" t="s">
        <v>3113</v>
      </c>
      <c r="C921" s="1" t="s">
        <v>251</v>
      </c>
      <c r="D921" s="1" t="s">
        <v>2965</v>
      </c>
      <c r="E921" s="1" t="s">
        <v>82</v>
      </c>
      <c r="F921" s="1" t="s">
        <v>391</v>
      </c>
      <c r="G921" s="1" t="s">
        <v>443</v>
      </c>
      <c r="H921" s="1" t="s">
        <v>444</v>
      </c>
      <c r="K921" s="1" t="s">
        <v>618</v>
      </c>
      <c r="L921" s="1" t="s">
        <v>619</v>
      </c>
      <c r="M921" s="1" t="s">
        <v>3114</v>
      </c>
      <c r="N921" s="1" t="s">
        <v>668</v>
      </c>
      <c r="O921" s="1" t="s">
        <v>669</v>
      </c>
      <c r="P921" s="1"/>
      <c r="Q921" s="1" t="s">
        <v>70</v>
      </c>
      <c r="Z921" s="1" t="s">
        <v>71</v>
      </c>
      <c r="AE921" s="1" t="s">
        <v>3115</v>
      </c>
      <c r="AH921" s="1" t="s">
        <v>73</v>
      </c>
      <c r="AK921" s="1" t="s">
        <v>71</v>
      </c>
      <c r="AM921" s="1" t="s">
        <v>71</v>
      </c>
      <c r="AN921" s="1" t="s">
        <v>71</v>
      </c>
      <c r="AS921" s="1" t="s">
        <v>71</v>
      </c>
      <c r="AX921" s="1" t="s">
        <v>71</v>
      </c>
      <c r="BH921" s="1" t="s">
        <v>71</v>
      </c>
    </row>
    <row r="922" customFormat="false" ht="15" hidden="false" customHeight="false" outlineLevel="0" collapsed="false">
      <c r="A922" s="1" t="s">
        <v>3116</v>
      </c>
      <c r="B922" s="1" t="s">
        <v>3117</v>
      </c>
      <c r="C922" s="1" t="s">
        <v>251</v>
      </c>
      <c r="D922" s="1" t="s">
        <v>2965</v>
      </c>
      <c r="E922" s="1" t="s">
        <v>82</v>
      </c>
      <c r="F922" s="1" t="s">
        <v>391</v>
      </c>
      <c r="G922" s="1" t="s">
        <v>443</v>
      </c>
      <c r="H922" s="1" t="s">
        <v>444</v>
      </c>
      <c r="K922" s="1" t="s">
        <v>618</v>
      </c>
      <c r="L922" s="1" t="s">
        <v>619</v>
      </c>
      <c r="M922" s="1" t="s">
        <v>496</v>
      </c>
      <c r="N922" s="1" t="s">
        <v>3118</v>
      </c>
      <c r="O922" s="1" t="s">
        <v>3119</v>
      </c>
      <c r="P922" s="1"/>
      <c r="Q922" s="1" t="s">
        <v>70</v>
      </c>
      <c r="Z922" s="1" t="s">
        <v>71</v>
      </c>
      <c r="AE922" s="1" t="s">
        <v>3115</v>
      </c>
      <c r="AH922" s="1" t="s">
        <v>73</v>
      </c>
      <c r="AK922" s="1" t="s">
        <v>71</v>
      </c>
      <c r="AM922" s="1" t="s">
        <v>71</v>
      </c>
      <c r="AN922" s="1" t="s">
        <v>71</v>
      </c>
      <c r="AS922" s="1" t="s">
        <v>71</v>
      </c>
      <c r="AX922" s="1" t="s">
        <v>71</v>
      </c>
      <c r="BH922" s="1" t="s">
        <v>71</v>
      </c>
    </row>
    <row r="923" customFormat="false" ht="15" hidden="false" customHeight="false" outlineLevel="0" collapsed="false">
      <c r="A923" s="1" t="s">
        <v>3120</v>
      </c>
      <c r="B923" s="1" t="s">
        <v>3121</v>
      </c>
      <c r="C923" s="1" t="s">
        <v>251</v>
      </c>
      <c r="D923" s="1" t="s">
        <v>2965</v>
      </c>
      <c r="E923" s="1" t="s">
        <v>82</v>
      </c>
      <c r="F923" s="1" t="s">
        <v>391</v>
      </c>
      <c r="G923" s="1" t="s">
        <v>443</v>
      </c>
      <c r="H923" s="1" t="s">
        <v>444</v>
      </c>
      <c r="K923" s="1" t="s">
        <v>618</v>
      </c>
      <c r="L923" s="1" t="s">
        <v>619</v>
      </c>
      <c r="M923" s="1" t="s">
        <v>3114</v>
      </c>
      <c r="N923" s="1" t="s">
        <v>668</v>
      </c>
      <c r="O923" s="1" t="s">
        <v>669</v>
      </c>
      <c r="P923" s="1"/>
      <c r="Q923" s="1" t="s">
        <v>70</v>
      </c>
      <c r="Z923" s="1" t="s">
        <v>71</v>
      </c>
      <c r="AE923" s="1" t="s">
        <v>3115</v>
      </c>
      <c r="AH923" s="1" t="s">
        <v>73</v>
      </c>
      <c r="AK923" s="1" t="s">
        <v>71</v>
      </c>
      <c r="AM923" s="1" t="s">
        <v>71</v>
      </c>
      <c r="AN923" s="1" t="s">
        <v>71</v>
      </c>
      <c r="AS923" s="1" t="s">
        <v>71</v>
      </c>
      <c r="AX923" s="1" t="s">
        <v>71</v>
      </c>
      <c r="BH923" s="1" t="s">
        <v>71</v>
      </c>
    </row>
    <row r="924" customFormat="false" ht="15" hidden="false" customHeight="false" outlineLevel="0" collapsed="false">
      <c r="A924" s="1" t="s">
        <v>3122</v>
      </c>
      <c r="B924" s="1" t="s">
        <v>3123</v>
      </c>
      <c r="C924" s="1" t="s">
        <v>251</v>
      </c>
      <c r="D924" s="1" t="s">
        <v>2965</v>
      </c>
      <c r="E924" s="1" t="s">
        <v>82</v>
      </c>
      <c r="F924" s="1" t="s">
        <v>391</v>
      </c>
      <c r="G924" s="1" t="s">
        <v>443</v>
      </c>
      <c r="H924" s="1" t="s">
        <v>444</v>
      </c>
      <c r="K924" s="1" t="s">
        <v>618</v>
      </c>
      <c r="L924" s="1" t="s">
        <v>619</v>
      </c>
      <c r="M924" s="1" t="s">
        <v>3124</v>
      </c>
      <c r="N924" s="1" t="s">
        <v>3118</v>
      </c>
      <c r="O924" s="1" t="s">
        <v>3119</v>
      </c>
      <c r="P924" s="1"/>
      <c r="Q924" s="1" t="s">
        <v>70</v>
      </c>
      <c r="Z924" s="1" t="s">
        <v>71</v>
      </c>
      <c r="AE924" s="1" t="s">
        <v>3115</v>
      </c>
      <c r="AH924" s="1" t="s">
        <v>73</v>
      </c>
      <c r="AK924" s="1" t="s">
        <v>71</v>
      </c>
      <c r="AM924" s="1" t="s">
        <v>71</v>
      </c>
      <c r="AN924" s="1" t="s">
        <v>71</v>
      </c>
      <c r="AS924" s="1" t="s">
        <v>71</v>
      </c>
      <c r="AX924" s="1" t="s">
        <v>71</v>
      </c>
      <c r="BH924" s="1" t="s">
        <v>71</v>
      </c>
    </row>
    <row r="925" customFormat="false" ht="15" hidden="false" customHeight="false" outlineLevel="0" collapsed="false">
      <c r="A925" s="1" t="s">
        <v>3125</v>
      </c>
      <c r="B925" s="1" t="s">
        <v>3126</v>
      </c>
      <c r="C925" s="1" t="s">
        <v>251</v>
      </c>
      <c r="D925" s="1" t="s">
        <v>2965</v>
      </c>
      <c r="E925" s="1" t="s">
        <v>82</v>
      </c>
      <c r="F925" s="1" t="s">
        <v>391</v>
      </c>
      <c r="G925" s="1" t="s">
        <v>443</v>
      </c>
      <c r="H925" s="1" t="s">
        <v>444</v>
      </c>
      <c r="K925" s="1" t="s">
        <v>618</v>
      </c>
      <c r="L925" s="1" t="s">
        <v>619</v>
      </c>
      <c r="M925" s="1" t="s">
        <v>496</v>
      </c>
      <c r="N925" s="1" t="s">
        <v>779</v>
      </c>
      <c r="O925" s="1" t="s">
        <v>400</v>
      </c>
      <c r="P925" s="1"/>
      <c r="Q925" s="1" t="s">
        <v>70</v>
      </c>
      <c r="Z925" s="1" t="s">
        <v>71</v>
      </c>
      <c r="AE925" s="1" t="s">
        <v>3115</v>
      </c>
      <c r="AH925" s="1" t="s">
        <v>73</v>
      </c>
      <c r="AK925" s="1" t="s">
        <v>71</v>
      </c>
      <c r="AM925" s="1" t="s">
        <v>71</v>
      </c>
      <c r="AN925" s="1" t="s">
        <v>71</v>
      </c>
      <c r="AS925" s="1" t="s">
        <v>71</v>
      </c>
      <c r="AX925" s="1" t="s">
        <v>71</v>
      </c>
      <c r="BH925" s="1" t="s">
        <v>71</v>
      </c>
    </row>
    <row r="926" customFormat="false" ht="15" hidden="false" customHeight="false" outlineLevel="0" collapsed="false">
      <c r="A926" s="1" t="s">
        <v>3127</v>
      </c>
      <c r="B926" s="1" t="s">
        <v>3128</v>
      </c>
      <c r="C926" s="1" t="s">
        <v>670</v>
      </c>
      <c r="D926" s="1" t="s">
        <v>2195</v>
      </c>
      <c r="E926" s="1" t="s">
        <v>82</v>
      </c>
      <c r="F926" s="1" t="s">
        <v>391</v>
      </c>
      <c r="G926" s="1" t="s">
        <v>443</v>
      </c>
      <c r="H926" s="1" t="s">
        <v>444</v>
      </c>
      <c r="K926" s="1" t="s">
        <v>618</v>
      </c>
      <c r="L926" s="1" t="s">
        <v>619</v>
      </c>
      <c r="M926" s="1" t="s">
        <v>1716</v>
      </c>
      <c r="N926" s="1" t="s">
        <v>2203</v>
      </c>
      <c r="O926" s="1" t="s">
        <v>2204</v>
      </c>
      <c r="P926" s="1"/>
      <c r="Q926" s="1" t="s">
        <v>70</v>
      </c>
      <c r="Z926" s="1" t="s">
        <v>71</v>
      </c>
      <c r="AE926" s="1" t="s">
        <v>3129</v>
      </c>
      <c r="AH926" s="1" t="s">
        <v>73</v>
      </c>
      <c r="AK926" s="1" t="s">
        <v>71</v>
      </c>
      <c r="AM926" s="1" t="s">
        <v>71</v>
      </c>
      <c r="AN926" s="1" t="s">
        <v>71</v>
      </c>
      <c r="AS926" s="1" t="s">
        <v>71</v>
      </c>
      <c r="AX926" s="1" t="s">
        <v>71</v>
      </c>
      <c r="BH926" s="1" t="s">
        <v>71</v>
      </c>
    </row>
    <row r="927" customFormat="false" ht="15" hidden="false" customHeight="false" outlineLevel="0" collapsed="false">
      <c r="A927" s="1" t="s">
        <v>3130</v>
      </c>
      <c r="B927" s="1" t="s">
        <v>3131</v>
      </c>
      <c r="C927" s="1" t="s">
        <v>670</v>
      </c>
      <c r="D927" s="1" t="s">
        <v>2195</v>
      </c>
      <c r="E927" s="1" t="s">
        <v>82</v>
      </c>
      <c r="F927" s="1" t="s">
        <v>391</v>
      </c>
      <c r="G927" s="1" t="s">
        <v>443</v>
      </c>
      <c r="H927" s="1" t="s">
        <v>444</v>
      </c>
      <c r="K927" s="1" t="s">
        <v>618</v>
      </c>
      <c r="L927" s="1" t="s">
        <v>619</v>
      </c>
      <c r="M927" s="1" t="s">
        <v>806</v>
      </c>
      <c r="N927" s="1" t="s">
        <v>2198</v>
      </c>
      <c r="O927" s="1" t="s">
        <v>2199</v>
      </c>
      <c r="P927" s="1"/>
      <c r="Q927" s="1" t="s">
        <v>70</v>
      </c>
      <c r="Z927" s="1" t="s">
        <v>71</v>
      </c>
      <c r="AE927" s="1" t="s">
        <v>3129</v>
      </c>
      <c r="AH927" s="1" t="s">
        <v>73</v>
      </c>
      <c r="AK927" s="1" t="s">
        <v>71</v>
      </c>
      <c r="AM927" s="1" t="s">
        <v>71</v>
      </c>
      <c r="AN927" s="1" t="s">
        <v>71</v>
      </c>
      <c r="AS927" s="1" t="s">
        <v>71</v>
      </c>
      <c r="AX927" s="1" t="s">
        <v>71</v>
      </c>
      <c r="BH927" s="1" t="s">
        <v>71</v>
      </c>
    </row>
    <row r="928" customFormat="false" ht="15" hidden="false" customHeight="false" outlineLevel="0" collapsed="false">
      <c r="A928" s="1" t="s">
        <v>3132</v>
      </c>
      <c r="B928" s="1" t="s">
        <v>3133</v>
      </c>
      <c r="C928" s="1" t="s">
        <v>453</v>
      </c>
      <c r="D928" s="1" t="s">
        <v>2008</v>
      </c>
      <c r="E928" s="1" t="s">
        <v>82</v>
      </c>
      <c r="F928" s="1" t="s">
        <v>391</v>
      </c>
      <c r="G928" s="1" t="s">
        <v>443</v>
      </c>
      <c r="H928" s="1" t="s">
        <v>444</v>
      </c>
      <c r="K928" s="1" t="s">
        <v>618</v>
      </c>
      <c r="L928" s="1" t="s">
        <v>619</v>
      </c>
      <c r="M928" s="1" t="s">
        <v>806</v>
      </c>
      <c r="N928" s="1" t="s">
        <v>3134</v>
      </c>
      <c r="O928" s="1" t="s">
        <v>3135</v>
      </c>
      <c r="P928" s="1"/>
      <c r="Q928" s="1" t="s">
        <v>70</v>
      </c>
      <c r="Z928" s="1" t="s">
        <v>71</v>
      </c>
      <c r="AE928" s="1" t="s">
        <v>3129</v>
      </c>
      <c r="AH928" s="1" t="s">
        <v>73</v>
      </c>
      <c r="AK928" s="1" t="s">
        <v>71</v>
      </c>
      <c r="AM928" s="1" t="s">
        <v>71</v>
      </c>
      <c r="AN928" s="1" t="s">
        <v>71</v>
      </c>
      <c r="AS928" s="1" t="s">
        <v>71</v>
      </c>
      <c r="AX928" s="1" t="s">
        <v>71</v>
      </c>
      <c r="BH928" s="1" t="s">
        <v>71</v>
      </c>
    </row>
    <row r="929" customFormat="false" ht="15" hidden="false" customHeight="false" outlineLevel="0" collapsed="false">
      <c r="A929" s="1" t="s">
        <v>3136</v>
      </c>
      <c r="B929" s="1" t="s">
        <v>3137</v>
      </c>
      <c r="C929" s="1" t="s">
        <v>718</v>
      </c>
      <c r="D929" s="1" t="s">
        <v>900</v>
      </c>
      <c r="E929" s="1" t="s">
        <v>82</v>
      </c>
      <c r="F929" s="1" t="s">
        <v>391</v>
      </c>
      <c r="G929" s="1" t="s">
        <v>213</v>
      </c>
      <c r="H929" s="1" t="s">
        <v>477</v>
      </c>
      <c r="K929" s="1" t="s">
        <v>478</v>
      </c>
      <c r="L929" s="1" t="s">
        <v>479</v>
      </c>
      <c r="M929" s="1" t="s">
        <v>496</v>
      </c>
      <c r="N929" s="1" t="s">
        <v>740</v>
      </c>
      <c r="O929" s="1" t="s">
        <v>741</v>
      </c>
      <c r="P929" s="1"/>
      <c r="Q929" s="1" t="s">
        <v>70</v>
      </c>
      <c r="Z929" s="1" t="s">
        <v>71</v>
      </c>
      <c r="AE929" s="1" t="s">
        <v>3129</v>
      </c>
      <c r="AH929" s="1" t="s">
        <v>73</v>
      </c>
      <c r="AK929" s="1" t="s">
        <v>71</v>
      </c>
      <c r="AM929" s="1" t="s">
        <v>71</v>
      </c>
      <c r="AN929" s="1" t="s">
        <v>71</v>
      </c>
      <c r="AS929" s="1" t="s">
        <v>71</v>
      </c>
      <c r="AX929" s="1" t="s">
        <v>71</v>
      </c>
      <c r="BH929" s="1" t="s">
        <v>71</v>
      </c>
    </row>
    <row r="930" customFormat="false" ht="15" hidden="false" customHeight="false" outlineLevel="0" collapsed="false">
      <c r="A930" s="1" t="s">
        <v>3138</v>
      </c>
      <c r="B930" s="1" t="s">
        <v>3139</v>
      </c>
      <c r="C930" s="1" t="s">
        <v>271</v>
      </c>
      <c r="D930" s="1" t="s">
        <v>1097</v>
      </c>
      <c r="E930" s="1" t="s">
        <v>82</v>
      </c>
      <c r="F930" s="1" t="s">
        <v>391</v>
      </c>
      <c r="G930" s="1" t="s">
        <v>97</v>
      </c>
      <c r="H930" s="1" t="s">
        <v>406</v>
      </c>
      <c r="K930" s="1" t="s">
        <v>59</v>
      </c>
      <c r="L930" s="1" t="s">
        <v>791</v>
      </c>
      <c r="M930" s="1" t="s">
        <v>2998</v>
      </c>
      <c r="N930" s="1" t="s">
        <v>2654</v>
      </c>
      <c r="O930" s="1" t="s">
        <v>400</v>
      </c>
      <c r="P930" s="1"/>
      <c r="Q930" s="1" t="s">
        <v>70</v>
      </c>
      <c r="Z930" s="1" t="s">
        <v>71</v>
      </c>
      <c r="AE930" s="1" t="s">
        <v>3140</v>
      </c>
      <c r="AH930" s="1" t="s">
        <v>73</v>
      </c>
      <c r="AK930" s="1" t="s">
        <v>71</v>
      </c>
      <c r="AM930" s="1" t="s">
        <v>71</v>
      </c>
      <c r="AN930" s="1" t="s">
        <v>71</v>
      </c>
      <c r="AS930" s="1" t="s">
        <v>71</v>
      </c>
      <c r="AX930" s="1" t="s">
        <v>71</v>
      </c>
      <c r="BH930" s="1" t="s">
        <v>71</v>
      </c>
    </row>
    <row r="931" customFormat="false" ht="15" hidden="false" customHeight="false" outlineLevel="0" collapsed="false">
      <c r="A931" s="1" t="s">
        <v>3141</v>
      </c>
      <c r="B931" s="1" t="s">
        <v>3142</v>
      </c>
      <c r="C931" s="1" t="s">
        <v>271</v>
      </c>
      <c r="D931" s="1" t="s">
        <v>1097</v>
      </c>
      <c r="E931" s="1" t="s">
        <v>82</v>
      </c>
      <c r="F931" s="1" t="s">
        <v>391</v>
      </c>
      <c r="G931" s="1" t="s">
        <v>97</v>
      </c>
      <c r="H931" s="1" t="s">
        <v>406</v>
      </c>
      <c r="K931" s="1" t="s">
        <v>59</v>
      </c>
      <c r="L931" s="1" t="s">
        <v>791</v>
      </c>
      <c r="M931" s="1" t="s">
        <v>465</v>
      </c>
      <c r="N931" s="1" t="s">
        <v>3143</v>
      </c>
      <c r="O931" s="1" t="s">
        <v>400</v>
      </c>
      <c r="P931" s="1"/>
      <c r="Q931" s="1" t="s">
        <v>70</v>
      </c>
      <c r="Z931" s="1" t="s">
        <v>71</v>
      </c>
      <c r="AE931" s="1" t="s">
        <v>3140</v>
      </c>
      <c r="AH931" s="1" t="s">
        <v>73</v>
      </c>
      <c r="AK931" s="1" t="s">
        <v>71</v>
      </c>
      <c r="AM931" s="1" t="s">
        <v>71</v>
      </c>
      <c r="AN931" s="1" t="s">
        <v>71</v>
      </c>
      <c r="AS931" s="1" t="s">
        <v>71</v>
      </c>
      <c r="AX931" s="1" t="s">
        <v>71</v>
      </c>
      <c r="BH931" s="1" t="s">
        <v>71</v>
      </c>
    </row>
    <row r="932" customFormat="false" ht="15" hidden="false" customHeight="false" outlineLevel="0" collapsed="false">
      <c r="A932" s="1" t="s">
        <v>3144</v>
      </c>
      <c r="B932" s="1" t="s">
        <v>3145</v>
      </c>
      <c r="C932" s="1" t="s">
        <v>686</v>
      </c>
      <c r="D932" s="1" t="s">
        <v>2439</v>
      </c>
      <c r="E932" s="1" t="s">
        <v>82</v>
      </c>
      <c r="F932" s="1" t="s">
        <v>391</v>
      </c>
      <c r="G932" s="1" t="s">
        <v>443</v>
      </c>
      <c r="H932" s="1" t="s">
        <v>444</v>
      </c>
      <c r="K932" s="1" t="s">
        <v>988</v>
      </c>
      <c r="L932" s="1" t="s">
        <v>989</v>
      </c>
      <c r="M932" s="1" t="s">
        <v>1681</v>
      </c>
      <c r="N932" s="1" t="s">
        <v>3146</v>
      </c>
      <c r="O932" s="1" t="s">
        <v>1001</v>
      </c>
      <c r="P932" s="1"/>
      <c r="Q932" s="1" t="s">
        <v>70</v>
      </c>
      <c r="Z932" s="1" t="s">
        <v>71</v>
      </c>
      <c r="AE932" s="1" t="s">
        <v>3147</v>
      </c>
      <c r="AH932" s="1" t="s">
        <v>73</v>
      </c>
      <c r="AK932" s="1" t="s">
        <v>71</v>
      </c>
      <c r="AM932" s="1" t="s">
        <v>71</v>
      </c>
      <c r="AN932" s="1" t="s">
        <v>71</v>
      </c>
      <c r="AS932" s="1" t="s">
        <v>71</v>
      </c>
      <c r="AX932" s="1" t="s">
        <v>71</v>
      </c>
      <c r="BH932" s="1" t="s">
        <v>71</v>
      </c>
    </row>
    <row r="933" customFormat="false" ht="15" hidden="false" customHeight="false" outlineLevel="0" collapsed="false">
      <c r="A933" s="1" t="s">
        <v>3148</v>
      </c>
      <c r="B933" s="1" t="s">
        <v>3149</v>
      </c>
      <c r="C933" s="1" t="s">
        <v>288</v>
      </c>
      <c r="D933" s="1" t="s">
        <v>289</v>
      </c>
      <c r="E933" s="1" t="s">
        <v>61</v>
      </c>
      <c r="F933" s="1" t="s">
        <v>101</v>
      </c>
      <c r="G933" s="1" t="s">
        <v>93</v>
      </c>
      <c r="H933" s="1" t="s">
        <v>64</v>
      </c>
      <c r="K933" s="1" t="s">
        <v>3150</v>
      </c>
      <c r="L933" s="1" t="s">
        <v>3151</v>
      </c>
      <c r="M933" s="1" t="s">
        <v>104</v>
      </c>
      <c r="N933" s="1" t="s">
        <v>166</v>
      </c>
      <c r="O933" s="1" t="s">
        <v>167</v>
      </c>
      <c r="P933" s="1"/>
      <c r="Q933" s="1" t="s">
        <v>70</v>
      </c>
      <c r="U933" s="1" t="s">
        <v>3148</v>
      </c>
      <c r="Z933" s="1" t="s">
        <v>71</v>
      </c>
      <c r="AE933" s="1" t="s">
        <v>3152</v>
      </c>
      <c r="AH933" s="1" t="s">
        <v>73</v>
      </c>
      <c r="AK933" s="1" t="s">
        <v>71</v>
      </c>
      <c r="AM933" s="1" t="s">
        <v>71</v>
      </c>
      <c r="AN933" s="1" t="s">
        <v>71</v>
      </c>
      <c r="AS933" s="1" t="s">
        <v>71</v>
      </c>
      <c r="AX933" s="1" t="s">
        <v>71</v>
      </c>
      <c r="AY933" s="1" t="s">
        <v>59</v>
      </c>
      <c r="AZ933" s="1" t="s">
        <v>74</v>
      </c>
      <c r="BH933" s="1" t="s">
        <v>71</v>
      </c>
    </row>
    <row r="934" customFormat="false" ht="15" hidden="false" customHeight="false" outlineLevel="0" collapsed="false">
      <c r="A934" s="1" t="s">
        <v>3153</v>
      </c>
      <c r="B934" s="1" t="s">
        <v>3154</v>
      </c>
      <c r="C934" s="1" t="s">
        <v>182</v>
      </c>
      <c r="D934" s="1" t="s">
        <v>239</v>
      </c>
      <c r="E934" s="1" t="s">
        <v>61</v>
      </c>
      <c r="F934" s="1" t="s">
        <v>101</v>
      </c>
      <c r="G934" s="1" t="s">
        <v>148</v>
      </c>
      <c r="H934" s="1" t="s">
        <v>231</v>
      </c>
      <c r="K934" s="1" t="s">
        <v>190</v>
      </c>
      <c r="L934" s="1" t="s">
        <v>3155</v>
      </c>
      <c r="M934" s="1" t="s">
        <v>278</v>
      </c>
      <c r="N934" s="1" t="s">
        <v>243</v>
      </c>
      <c r="O934" s="1" t="s">
        <v>244</v>
      </c>
      <c r="P934" s="1"/>
      <c r="Q934" s="1" t="s">
        <v>70</v>
      </c>
      <c r="U934" s="1" t="s">
        <v>263</v>
      </c>
      <c r="Z934" s="1" t="s">
        <v>71</v>
      </c>
      <c r="AE934" s="1" t="s">
        <v>3156</v>
      </c>
      <c r="AH934" s="1" t="s">
        <v>73</v>
      </c>
      <c r="AK934" s="1" t="s">
        <v>71</v>
      </c>
      <c r="AM934" s="1" t="s">
        <v>71</v>
      </c>
      <c r="AN934" s="1" t="s">
        <v>71</v>
      </c>
      <c r="AS934" s="1" t="s">
        <v>71</v>
      </c>
      <c r="AX934" s="1" t="s">
        <v>71</v>
      </c>
      <c r="AY934" s="1" t="s">
        <v>59</v>
      </c>
      <c r="AZ934" s="1" t="s">
        <v>74</v>
      </c>
      <c r="BH934" s="1" t="s">
        <v>71</v>
      </c>
    </row>
    <row r="935" customFormat="false" ht="15" hidden="false" customHeight="false" outlineLevel="0" collapsed="false">
      <c r="A935" s="1" t="s">
        <v>3157</v>
      </c>
      <c r="B935" s="1" t="s">
        <v>3158</v>
      </c>
      <c r="C935" s="1" t="s">
        <v>182</v>
      </c>
      <c r="D935" s="1" t="s">
        <v>239</v>
      </c>
      <c r="E935" s="1" t="s">
        <v>61</v>
      </c>
      <c r="F935" s="1" t="s">
        <v>101</v>
      </c>
      <c r="G935" s="1" t="s">
        <v>148</v>
      </c>
      <c r="H935" s="1" t="s">
        <v>231</v>
      </c>
      <c r="K935" s="1" t="s">
        <v>1092</v>
      </c>
      <c r="L935" s="1" t="s">
        <v>3159</v>
      </c>
      <c r="M935" s="1" t="s">
        <v>278</v>
      </c>
      <c r="N935" s="1" t="s">
        <v>243</v>
      </c>
      <c r="O935" s="1" t="s">
        <v>244</v>
      </c>
      <c r="P935" s="1" t="e">
        <f aca="false">image("https://drive.google.com/uc?export=view&amp;id=1c3rHzyqNgCCuEejKFX9J9z3U8IDxSi3z")</f>
        <v>#NAME?</v>
      </c>
      <c r="Q935" s="1" t="s">
        <v>205</v>
      </c>
      <c r="U935" s="1" t="s">
        <v>245</v>
      </c>
      <c r="Z935" s="1" t="s">
        <v>71</v>
      </c>
      <c r="AE935" s="1" t="s">
        <v>3156</v>
      </c>
      <c r="AH935" s="1" t="s">
        <v>73</v>
      </c>
      <c r="AK935" s="1" t="s">
        <v>71</v>
      </c>
      <c r="AM935" s="1" t="s">
        <v>71</v>
      </c>
      <c r="AN935" s="1" t="s">
        <v>71</v>
      </c>
      <c r="AS935" s="1" t="s">
        <v>71</v>
      </c>
      <c r="AX935" s="1" t="s">
        <v>71</v>
      </c>
      <c r="AY935" s="1" t="s">
        <v>59</v>
      </c>
      <c r="AZ935" s="1" t="s">
        <v>74</v>
      </c>
      <c r="BH935" s="1" t="s">
        <v>71</v>
      </c>
    </row>
    <row r="936" customFormat="false" ht="15" hidden="false" customHeight="false" outlineLevel="0" collapsed="false">
      <c r="A936" s="1" t="s">
        <v>3160</v>
      </c>
      <c r="B936" s="1" t="s">
        <v>3161</v>
      </c>
      <c r="C936" s="1" t="s">
        <v>312</v>
      </c>
      <c r="D936" s="1" t="s">
        <v>2073</v>
      </c>
      <c r="E936" s="1" t="s">
        <v>82</v>
      </c>
      <c r="F936" s="1" t="s">
        <v>391</v>
      </c>
      <c r="G936" s="1" t="s">
        <v>97</v>
      </c>
      <c r="H936" s="1" t="s">
        <v>406</v>
      </c>
      <c r="K936" s="1" t="s">
        <v>59</v>
      </c>
      <c r="L936" s="1" t="s">
        <v>791</v>
      </c>
      <c r="M936" s="1" t="s">
        <v>496</v>
      </c>
      <c r="N936" s="1" t="s">
        <v>3162</v>
      </c>
      <c r="O936" s="1" t="s">
        <v>3163</v>
      </c>
      <c r="P936" s="1"/>
      <c r="Q936" s="1" t="s">
        <v>70</v>
      </c>
      <c r="Z936" s="1" t="s">
        <v>71</v>
      </c>
      <c r="AE936" s="1" t="s">
        <v>3156</v>
      </c>
      <c r="AH936" s="1" t="s">
        <v>73</v>
      </c>
      <c r="AK936" s="1" t="s">
        <v>71</v>
      </c>
      <c r="AM936" s="1" t="s">
        <v>71</v>
      </c>
      <c r="AN936" s="1" t="s">
        <v>71</v>
      </c>
      <c r="AS936" s="1" t="s">
        <v>71</v>
      </c>
      <c r="AX936" s="1" t="s">
        <v>71</v>
      </c>
      <c r="BH936" s="1" t="s">
        <v>71</v>
      </c>
    </row>
    <row r="937" customFormat="false" ht="15" hidden="false" customHeight="false" outlineLevel="0" collapsed="false">
      <c r="A937" s="1" t="s">
        <v>3164</v>
      </c>
      <c r="B937" s="1" t="s">
        <v>3165</v>
      </c>
      <c r="C937" s="1" t="s">
        <v>312</v>
      </c>
      <c r="D937" s="1" t="s">
        <v>2073</v>
      </c>
      <c r="E937" s="1" t="s">
        <v>82</v>
      </c>
      <c r="F937" s="1" t="s">
        <v>391</v>
      </c>
      <c r="G937" s="1" t="s">
        <v>97</v>
      </c>
      <c r="H937" s="1" t="s">
        <v>406</v>
      </c>
      <c r="K937" s="1" t="s">
        <v>59</v>
      </c>
      <c r="L937" s="1" t="s">
        <v>791</v>
      </c>
      <c r="M937" s="1" t="s">
        <v>496</v>
      </c>
      <c r="N937" s="1" t="s">
        <v>3166</v>
      </c>
      <c r="O937" s="1" t="s">
        <v>3167</v>
      </c>
      <c r="P937" s="1"/>
      <c r="Q937" s="1" t="s">
        <v>70</v>
      </c>
      <c r="Z937" s="1" t="s">
        <v>71</v>
      </c>
      <c r="AE937" s="1" t="s">
        <v>3156</v>
      </c>
      <c r="AH937" s="1" t="s">
        <v>73</v>
      </c>
      <c r="AK937" s="1" t="s">
        <v>71</v>
      </c>
      <c r="AM937" s="1" t="s">
        <v>71</v>
      </c>
      <c r="AN937" s="1" t="s">
        <v>71</v>
      </c>
      <c r="AS937" s="1" t="s">
        <v>71</v>
      </c>
      <c r="AX937" s="1" t="s">
        <v>71</v>
      </c>
      <c r="BH937" s="1" t="s">
        <v>71</v>
      </c>
    </row>
    <row r="938" customFormat="false" ht="15" hidden="false" customHeight="false" outlineLevel="0" collapsed="false">
      <c r="A938" s="1" t="s">
        <v>3168</v>
      </c>
      <c r="B938" s="1" t="s">
        <v>3169</v>
      </c>
      <c r="C938" s="1" t="s">
        <v>936</v>
      </c>
      <c r="D938" s="1" t="s">
        <v>3170</v>
      </c>
      <c r="E938" s="1" t="s">
        <v>82</v>
      </c>
      <c r="F938" s="1" t="s">
        <v>391</v>
      </c>
      <c r="G938" s="1" t="s">
        <v>182</v>
      </c>
      <c r="H938" s="1" t="s">
        <v>392</v>
      </c>
      <c r="K938" s="1" t="s">
        <v>65</v>
      </c>
      <c r="L938" s="1" t="s">
        <v>517</v>
      </c>
      <c r="M938" s="1" t="s">
        <v>2020</v>
      </c>
      <c r="N938" s="1" t="s">
        <v>994</v>
      </c>
      <c r="O938" s="1" t="s">
        <v>995</v>
      </c>
      <c r="P938" s="1"/>
      <c r="Q938" s="1" t="s">
        <v>70</v>
      </c>
      <c r="Z938" s="1" t="s">
        <v>71</v>
      </c>
      <c r="AE938" s="1" t="s">
        <v>3171</v>
      </c>
      <c r="AH938" s="1" t="s">
        <v>73</v>
      </c>
      <c r="AK938" s="1" t="s">
        <v>71</v>
      </c>
      <c r="AM938" s="1" t="s">
        <v>71</v>
      </c>
      <c r="AN938" s="1" t="s">
        <v>71</v>
      </c>
      <c r="AS938" s="1" t="s">
        <v>71</v>
      </c>
      <c r="AX938" s="1" t="s">
        <v>71</v>
      </c>
      <c r="BH938" s="1" t="s">
        <v>71</v>
      </c>
    </row>
    <row r="939" customFormat="false" ht="15" hidden="false" customHeight="false" outlineLevel="0" collapsed="false">
      <c r="A939" s="1" t="s">
        <v>3172</v>
      </c>
      <c r="B939" s="1" t="s">
        <v>3173</v>
      </c>
      <c r="C939" s="1" t="s">
        <v>1823</v>
      </c>
      <c r="D939" s="1" t="s">
        <v>1824</v>
      </c>
      <c r="E939" s="1" t="s">
        <v>82</v>
      </c>
      <c r="F939" s="1" t="s">
        <v>391</v>
      </c>
      <c r="G939" s="1" t="s">
        <v>1356</v>
      </c>
      <c r="H939" s="1" t="s">
        <v>1825</v>
      </c>
      <c r="K939" s="1" t="s">
        <v>1826</v>
      </c>
      <c r="L939" s="1" t="s">
        <v>1827</v>
      </c>
      <c r="M939" s="1" t="s">
        <v>496</v>
      </c>
      <c r="N939" s="1" t="s">
        <v>3174</v>
      </c>
      <c r="O939" s="1" t="s">
        <v>3175</v>
      </c>
      <c r="P939" s="1"/>
      <c r="Q939" s="1" t="s">
        <v>70</v>
      </c>
      <c r="Z939" s="1" t="s">
        <v>71</v>
      </c>
      <c r="AE939" s="1" t="s">
        <v>3171</v>
      </c>
      <c r="AH939" s="1" t="s">
        <v>73</v>
      </c>
      <c r="AK939" s="1" t="s">
        <v>71</v>
      </c>
      <c r="AM939" s="1" t="s">
        <v>71</v>
      </c>
      <c r="AN939" s="1" t="s">
        <v>71</v>
      </c>
      <c r="AS939" s="1" t="s">
        <v>71</v>
      </c>
      <c r="AX939" s="1" t="s">
        <v>71</v>
      </c>
      <c r="BH939" s="1" t="s">
        <v>71</v>
      </c>
    </row>
    <row r="940" customFormat="false" ht="15" hidden="false" customHeight="false" outlineLevel="0" collapsed="false">
      <c r="A940" s="1" t="s">
        <v>3176</v>
      </c>
      <c r="B940" s="1" t="s">
        <v>3177</v>
      </c>
      <c r="C940" s="1" t="s">
        <v>938</v>
      </c>
      <c r="D940" s="1" t="s">
        <v>3178</v>
      </c>
      <c r="E940" s="1" t="s">
        <v>82</v>
      </c>
      <c r="F940" s="1" t="s">
        <v>391</v>
      </c>
      <c r="G940" s="1" t="s">
        <v>443</v>
      </c>
      <c r="H940" s="1" t="s">
        <v>444</v>
      </c>
      <c r="K940" s="1" t="s">
        <v>61</v>
      </c>
      <c r="L940" s="1" t="s">
        <v>445</v>
      </c>
      <c r="M940" s="1" t="s">
        <v>2909</v>
      </c>
      <c r="N940" s="1" t="s">
        <v>3179</v>
      </c>
      <c r="O940" s="1" t="s">
        <v>3180</v>
      </c>
      <c r="P940" s="1"/>
      <c r="Q940" s="1" t="s">
        <v>70</v>
      </c>
      <c r="Z940" s="1" t="s">
        <v>71</v>
      </c>
      <c r="AE940" s="1" t="s">
        <v>3171</v>
      </c>
      <c r="AH940" s="1" t="s">
        <v>73</v>
      </c>
      <c r="AK940" s="1" t="s">
        <v>71</v>
      </c>
      <c r="AM940" s="1" t="s">
        <v>71</v>
      </c>
      <c r="AN940" s="1" t="s">
        <v>71</v>
      </c>
      <c r="AS940" s="1" t="s">
        <v>71</v>
      </c>
      <c r="AX940" s="1" t="s">
        <v>71</v>
      </c>
      <c r="BH940" s="1" t="s">
        <v>71</v>
      </c>
    </row>
    <row r="941" customFormat="false" ht="15" hidden="false" customHeight="false" outlineLevel="0" collapsed="false">
      <c r="A941" s="1" t="s">
        <v>3181</v>
      </c>
      <c r="B941" s="1" t="s">
        <v>3182</v>
      </c>
      <c r="C941" s="1" t="s">
        <v>3183</v>
      </c>
      <c r="D941" s="1" t="s">
        <v>3184</v>
      </c>
      <c r="E941" s="1" t="s">
        <v>82</v>
      </c>
      <c r="F941" s="1" t="s">
        <v>391</v>
      </c>
      <c r="G941" s="1" t="s">
        <v>443</v>
      </c>
      <c r="H941" s="1" t="s">
        <v>444</v>
      </c>
      <c r="K941" s="1" t="s">
        <v>61</v>
      </c>
      <c r="L941" s="1" t="s">
        <v>445</v>
      </c>
      <c r="M941" s="1" t="s">
        <v>806</v>
      </c>
      <c r="N941" s="1" t="s">
        <v>2067</v>
      </c>
      <c r="O941" s="1" t="s">
        <v>2068</v>
      </c>
      <c r="P941" s="1"/>
      <c r="Q941" s="1" t="s">
        <v>70</v>
      </c>
      <c r="Z941" s="1" t="s">
        <v>71</v>
      </c>
      <c r="AE941" s="1" t="s">
        <v>3171</v>
      </c>
      <c r="AH941" s="1" t="s">
        <v>73</v>
      </c>
      <c r="AK941" s="1" t="s">
        <v>71</v>
      </c>
      <c r="AM941" s="1" t="s">
        <v>71</v>
      </c>
      <c r="AN941" s="1" t="s">
        <v>71</v>
      </c>
      <c r="AS941" s="1" t="s">
        <v>71</v>
      </c>
      <c r="AX941" s="1" t="s">
        <v>71</v>
      </c>
      <c r="BH941" s="1" t="s">
        <v>71</v>
      </c>
    </row>
    <row r="942" customFormat="false" ht="15" hidden="false" customHeight="false" outlineLevel="0" collapsed="false">
      <c r="A942" s="1" t="s">
        <v>3185</v>
      </c>
      <c r="B942" s="1" t="s">
        <v>3186</v>
      </c>
      <c r="C942" s="1" t="s">
        <v>3183</v>
      </c>
      <c r="D942" s="1" t="s">
        <v>3184</v>
      </c>
      <c r="E942" s="1" t="s">
        <v>82</v>
      </c>
      <c r="F942" s="1" t="s">
        <v>391</v>
      </c>
      <c r="G942" s="1" t="s">
        <v>443</v>
      </c>
      <c r="H942" s="1" t="s">
        <v>444</v>
      </c>
      <c r="K942" s="1" t="s">
        <v>61</v>
      </c>
      <c r="L942" s="1" t="s">
        <v>445</v>
      </c>
      <c r="M942" s="1" t="s">
        <v>496</v>
      </c>
      <c r="N942" s="1" t="s">
        <v>2014</v>
      </c>
      <c r="O942" s="1" t="s">
        <v>2015</v>
      </c>
      <c r="P942" s="1"/>
      <c r="Q942" s="1" t="s">
        <v>70</v>
      </c>
      <c r="Z942" s="1" t="s">
        <v>71</v>
      </c>
      <c r="AE942" s="1" t="s">
        <v>3171</v>
      </c>
      <c r="AH942" s="1" t="s">
        <v>73</v>
      </c>
      <c r="AK942" s="1" t="s">
        <v>71</v>
      </c>
      <c r="AM942" s="1" t="s">
        <v>71</v>
      </c>
      <c r="AN942" s="1" t="s">
        <v>71</v>
      </c>
      <c r="AS942" s="1" t="s">
        <v>71</v>
      </c>
      <c r="AX942" s="1" t="s">
        <v>71</v>
      </c>
      <c r="BH942" s="1" t="s">
        <v>71</v>
      </c>
    </row>
    <row r="943" customFormat="false" ht="15" hidden="false" customHeight="false" outlineLevel="0" collapsed="false">
      <c r="A943" s="1" t="s">
        <v>3187</v>
      </c>
      <c r="B943" s="1" t="s">
        <v>3188</v>
      </c>
      <c r="C943" s="1" t="s">
        <v>3183</v>
      </c>
      <c r="D943" s="1" t="s">
        <v>3184</v>
      </c>
      <c r="E943" s="1" t="s">
        <v>82</v>
      </c>
      <c r="F943" s="1" t="s">
        <v>391</v>
      </c>
      <c r="G943" s="1" t="s">
        <v>443</v>
      </c>
      <c r="H943" s="1" t="s">
        <v>444</v>
      </c>
      <c r="K943" s="1" t="s">
        <v>61</v>
      </c>
      <c r="L943" s="1" t="s">
        <v>445</v>
      </c>
      <c r="M943" s="1" t="s">
        <v>496</v>
      </c>
      <c r="N943" s="1" t="s">
        <v>3189</v>
      </c>
      <c r="O943" s="1" t="s">
        <v>3190</v>
      </c>
      <c r="P943" s="1"/>
      <c r="Q943" s="1" t="s">
        <v>70</v>
      </c>
      <c r="Z943" s="1" t="s">
        <v>71</v>
      </c>
      <c r="AE943" s="1" t="s">
        <v>3171</v>
      </c>
      <c r="AH943" s="1" t="s">
        <v>73</v>
      </c>
      <c r="AK943" s="1" t="s">
        <v>71</v>
      </c>
      <c r="AM943" s="1" t="s">
        <v>71</v>
      </c>
      <c r="AN943" s="1" t="s">
        <v>71</v>
      </c>
      <c r="AS943" s="1" t="s">
        <v>71</v>
      </c>
      <c r="AX943" s="1" t="s">
        <v>71</v>
      </c>
      <c r="BH943" s="1" t="s">
        <v>71</v>
      </c>
    </row>
    <row r="944" customFormat="false" ht="15" hidden="false" customHeight="false" outlineLevel="0" collapsed="false">
      <c r="A944" s="1" t="s">
        <v>3191</v>
      </c>
      <c r="B944" s="1" t="s">
        <v>3192</v>
      </c>
      <c r="C944" s="1" t="s">
        <v>3183</v>
      </c>
      <c r="D944" s="1" t="s">
        <v>3184</v>
      </c>
      <c r="E944" s="1" t="s">
        <v>82</v>
      </c>
      <c r="F944" s="1" t="s">
        <v>391</v>
      </c>
      <c r="G944" s="1" t="s">
        <v>443</v>
      </c>
      <c r="H944" s="1" t="s">
        <v>444</v>
      </c>
      <c r="K944" s="1" t="s">
        <v>61</v>
      </c>
      <c r="L944" s="1" t="s">
        <v>445</v>
      </c>
      <c r="M944" s="1" t="s">
        <v>496</v>
      </c>
      <c r="N944" s="1" t="s">
        <v>807</v>
      </c>
      <c r="O944" s="1" t="s">
        <v>808</v>
      </c>
      <c r="P944" s="1"/>
      <c r="Q944" s="1" t="s">
        <v>70</v>
      </c>
      <c r="Z944" s="1" t="s">
        <v>71</v>
      </c>
      <c r="AE944" s="1" t="s">
        <v>3171</v>
      </c>
      <c r="AH944" s="1" t="s">
        <v>73</v>
      </c>
      <c r="AK944" s="1" t="s">
        <v>71</v>
      </c>
      <c r="AM944" s="1" t="s">
        <v>71</v>
      </c>
      <c r="AN944" s="1" t="s">
        <v>71</v>
      </c>
      <c r="AS944" s="1" t="s">
        <v>71</v>
      </c>
      <c r="AX944" s="1" t="s">
        <v>71</v>
      </c>
      <c r="BH944" s="1" t="s">
        <v>71</v>
      </c>
    </row>
    <row r="945" customFormat="false" ht="15" hidden="false" customHeight="false" outlineLevel="0" collapsed="false">
      <c r="A945" s="1" t="s">
        <v>3193</v>
      </c>
      <c r="B945" s="1" t="s">
        <v>3194</v>
      </c>
      <c r="C945" s="1" t="s">
        <v>944</v>
      </c>
      <c r="D945" s="1" t="s">
        <v>3195</v>
      </c>
      <c r="E945" s="1" t="s">
        <v>82</v>
      </c>
      <c r="F945" s="1" t="s">
        <v>391</v>
      </c>
      <c r="G945" s="1" t="s">
        <v>443</v>
      </c>
      <c r="H945" s="1" t="s">
        <v>444</v>
      </c>
      <c r="K945" s="1" t="s">
        <v>61</v>
      </c>
      <c r="L945" s="1" t="s">
        <v>445</v>
      </c>
      <c r="M945" s="1" t="s">
        <v>806</v>
      </c>
      <c r="N945" s="1" t="s">
        <v>817</v>
      </c>
      <c r="O945" s="1" t="s">
        <v>818</v>
      </c>
      <c r="P945" s="1"/>
      <c r="Q945" s="1" t="s">
        <v>70</v>
      </c>
      <c r="Z945" s="1" t="s">
        <v>71</v>
      </c>
      <c r="AE945" s="1" t="s">
        <v>3196</v>
      </c>
      <c r="AH945" s="1" t="s">
        <v>73</v>
      </c>
      <c r="AK945" s="1" t="s">
        <v>71</v>
      </c>
      <c r="AM945" s="1" t="s">
        <v>71</v>
      </c>
      <c r="AN945" s="1" t="s">
        <v>71</v>
      </c>
      <c r="AS945" s="1" t="s">
        <v>71</v>
      </c>
      <c r="AX945" s="1" t="s">
        <v>71</v>
      </c>
      <c r="BH945" s="1" t="s">
        <v>71</v>
      </c>
    </row>
    <row r="946" customFormat="false" ht="15" hidden="false" customHeight="false" outlineLevel="0" collapsed="false">
      <c r="A946" s="1" t="s">
        <v>3197</v>
      </c>
      <c r="B946" s="1" t="s">
        <v>3198</v>
      </c>
      <c r="C946" s="1" t="s">
        <v>944</v>
      </c>
      <c r="D946" s="1" t="s">
        <v>3195</v>
      </c>
      <c r="E946" s="1" t="s">
        <v>82</v>
      </c>
      <c r="F946" s="1" t="s">
        <v>391</v>
      </c>
      <c r="G946" s="1" t="s">
        <v>443</v>
      </c>
      <c r="H946" s="1" t="s">
        <v>444</v>
      </c>
      <c r="K946" s="1" t="s">
        <v>61</v>
      </c>
      <c r="L946" s="1" t="s">
        <v>445</v>
      </c>
      <c r="M946" s="1" t="s">
        <v>496</v>
      </c>
      <c r="N946" s="1" t="s">
        <v>2014</v>
      </c>
      <c r="O946" s="1" t="s">
        <v>2015</v>
      </c>
      <c r="P946" s="1"/>
      <c r="Q946" s="1" t="s">
        <v>70</v>
      </c>
      <c r="Z946" s="1" t="s">
        <v>71</v>
      </c>
      <c r="AE946" s="1" t="s">
        <v>3196</v>
      </c>
      <c r="AH946" s="1" t="s">
        <v>73</v>
      </c>
      <c r="AK946" s="1" t="s">
        <v>71</v>
      </c>
      <c r="AM946" s="1" t="s">
        <v>71</v>
      </c>
      <c r="AN946" s="1" t="s">
        <v>71</v>
      </c>
      <c r="AS946" s="1" t="s">
        <v>71</v>
      </c>
      <c r="AX946" s="1" t="s">
        <v>71</v>
      </c>
      <c r="BH946" s="1" t="s">
        <v>71</v>
      </c>
    </row>
    <row r="947" customFormat="false" ht="15" hidden="false" customHeight="false" outlineLevel="0" collapsed="false">
      <c r="A947" s="1" t="s">
        <v>3199</v>
      </c>
      <c r="B947" s="1" t="s">
        <v>3200</v>
      </c>
      <c r="C947" s="1" t="s">
        <v>142</v>
      </c>
      <c r="D947" s="1" t="s">
        <v>1102</v>
      </c>
      <c r="E947" s="1" t="s">
        <v>82</v>
      </c>
      <c r="F947" s="1" t="s">
        <v>391</v>
      </c>
      <c r="G947" s="1" t="s">
        <v>97</v>
      </c>
      <c r="H947" s="1" t="s">
        <v>406</v>
      </c>
      <c r="K947" s="1" t="s">
        <v>407</v>
      </c>
      <c r="L947" s="1" t="s">
        <v>408</v>
      </c>
      <c r="M947" s="1" t="s">
        <v>496</v>
      </c>
      <c r="N947" s="1" t="s">
        <v>3201</v>
      </c>
      <c r="O947" s="1" t="s">
        <v>3202</v>
      </c>
      <c r="P947" s="1"/>
      <c r="Q947" s="1" t="s">
        <v>70</v>
      </c>
      <c r="Z947" s="1" t="s">
        <v>71</v>
      </c>
      <c r="AE947" s="1" t="s">
        <v>3196</v>
      </c>
      <c r="AH947" s="1" t="s">
        <v>73</v>
      </c>
      <c r="AK947" s="1" t="s">
        <v>71</v>
      </c>
      <c r="AM947" s="1" t="s">
        <v>71</v>
      </c>
      <c r="AN947" s="1" t="s">
        <v>71</v>
      </c>
      <c r="AS947" s="1" t="s">
        <v>71</v>
      </c>
      <c r="AX947" s="1" t="s">
        <v>71</v>
      </c>
      <c r="BH947" s="1" t="s">
        <v>71</v>
      </c>
    </row>
    <row r="948" customFormat="false" ht="15" hidden="false" customHeight="false" outlineLevel="0" collapsed="false">
      <c r="A948" s="1" t="s">
        <v>3203</v>
      </c>
      <c r="B948" s="1" t="s">
        <v>3204</v>
      </c>
      <c r="C948" s="1" t="s">
        <v>742</v>
      </c>
      <c r="D948" s="1" t="s">
        <v>1977</v>
      </c>
      <c r="E948" s="1" t="s">
        <v>82</v>
      </c>
      <c r="F948" s="1" t="s">
        <v>391</v>
      </c>
      <c r="G948" s="1" t="s">
        <v>97</v>
      </c>
      <c r="H948" s="1" t="s">
        <v>406</v>
      </c>
      <c r="K948" s="1" t="s">
        <v>59</v>
      </c>
      <c r="L948" s="1" t="s">
        <v>791</v>
      </c>
      <c r="M948" s="1" t="s">
        <v>806</v>
      </c>
      <c r="N948" s="1" t="s">
        <v>3205</v>
      </c>
      <c r="O948" s="1" t="s">
        <v>3206</v>
      </c>
      <c r="P948" s="1"/>
      <c r="Q948" s="1" t="s">
        <v>70</v>
      </c>
      <c r="Z948" s="1" t="s">
        <v>71</v>
      </c>
      <c r="AE948" s="1" t="s">
        <v>3207</v>
      </c>
      <c r="AH948" s="1" t="s">
        <v>73</v>
      </c>
      <c r="AK948" s="1" t="s">
        <v>71</v>
      </c>
      <c r="AM948" s="1" t="s">
        <v>71</v>
      </c>
      <c r="AN948" s="1" t="s">
        <v>71</v>
      </c>
      <c r="AS948" s="1" t="s">
        <v>71</v>
      </c>
      <c r="AX948" s="1" t="s">
        <v>71</v>
      </c>
      <c r="BH948" s="1" t="s">
        <v>71</v>
      </c>
    </row>
    <row r="949" customFormat="false" ht="15" hidden="false" customHeight="false" outlineLevel="0" collapsed="false">
      <c r="A949" s="1" t="s">
        <v>3208</v>
      </c>
      <c r="B949" s="1" t="s">
        <v>3209</v>
      </c>
      <c r="C949" s="1" t="s">
        <v>742</v>
      </c>
      <c r="D949" s="1" t="s">
        <v>1977</v>
      </c>
      <c r="E949" s="1" t="s">
        <v>82</v>
      </c>
      <c r="F949" s="1" t="s">
        <v>391</v>
      </c>
      <c r="G949" s="1" t="s">
        <v>97</v>
      </c>
      <c r="H949" s="1" t="s">
        <v>406</v>
      </c>
      <c r="K949" s="1" t="s">
        <v>59</v>
      </c>
      <c r="L949" s="1" t="s">
        <v>791</v>
      </c>
      <c r="M949" s="1" t="s">
        <v>465</v>
      </c>
      <c r="N949" s="1" t="s">
        <v>3210</v>
      </c>
      <c r="O949" s="1" t="s">
        <v>3211</v>
      </c>
      <c r="P949" s="1"/>
      <c r="Q949" s="1" t="s">
        <v>70</v>
      </c>
      <c r="Z949" s="1" t="s">
        <v>71</v>
      </c>
      <c r="AE949" s="1" t="s">
        <v>3207</v>
      </c>
      <c r="AH949" s="1" t="s">
        <v>73</v>
      </c>
      <c r="AK949" s="1" t="s">
        <v>71</v>
      </c>
      <c r="AM949" s="1" t="s">
        <v>71</v>
      </c>
      <c r="AN949" s="1" t="s">
        <v>71</v>
      </c>
      <c r="AS949" s="1" t="s">
        <v>71</v>
      </c>
      <c r="AX949" s="1" t="s">
        <v>71</v>
      </c>
      <c r="BH949" s="1" t="s">
        <v>71</v>
      </c>
    </row>
    <row r="950" customFormat="false" ht="15" hidden="false" customHeight="false" outlineLevel="0" collapsed="false">
      <c r="A950" s="1" t="s">
        <v>3212</v>
      </c>
      <c r="B950" s="1" t="s">
        <v>3213</v>
      </c>
      <c r="C950" s="1" t="s">
        <v>742</v>
      </c>
      <c r="D950" s="1" t="s">
        <v>1977</v>
      </c>
      <c r="E950" s="1" t="s">
        <v>82</v>
      </c>
      <c r="F950" s="1" t="s">
        <v>391</v>
      </c>
      <c r="G950" s="1" t="s">
        <v>97</v>
      </c>
      <c r="H950" s="1" t="s">
        <v>406</v>
      </c>
      <c r="K950" s="1" t="s">
        <v>59</v>
      </c>
      <c r="L950" s="1" t="s">
        <v>791</v>
      </c>
      <c r="M950" s="1" t="s">
        <v>465</v>
      </c>
      <c r="N950" s="1" t="s">
        <v>3214</v>
      </c>
      <c r="O950" s="1" t="s">
        <v>3215</v>
      </c>
      <c r="P950" s="1"/>
      <c r="Q950" s="1" t="s">
        <v>70</v>
      </c>
      <c r="Z950" s="1" t="s">
        <v>71</v>
      </c>
      <c r="AE950" s="1" t="s">
        <v>3207</v>
      </c>
      <c r="AH950" s="1" t="s">
        <v>73</v>
      </c>
      <c r="AK950" s="1" t="s">
        <v>71</v>
      </c>
      <c r="AM950" s="1" t="s">
        <v>71</v>
      </c>
      <c r="AN950" s="1" t="s">
        <v>71</v>
      </c>
      <c r="AS950" s="1" t="s">
        <v>71</v>
      </c>
      <c r="AX950" s="1" t="s">
        <v>71</v>
      </c>
      <c r="BH950" s="1" t="s">
        <v>71</v>
      </c>
    </row>
    <row r="951" customFormat="false" ht="15" hidden="false" customHeight="false" outlineLevel="0" collapsed="false">
      <c r="A951" s="1" t="s">
        <v>3216</v>
      </c>
      <c r="B951" s="1" t="s">
        <v>3217</v>
      </c>
      <c r="C951" s="1" t="s">
        <v>742</v>
      </c>
      <c r="D951" s="1" t="s">
        <v>1977</v>
      </c>
      <c r="E951" s="1" t="s">
        <v>82</v>
      </c>
      <c r="F951" s="1" t="s">
        <v>391</v>
      </c>
      <c r="G951" s="1" t="s">
        <v>97</v>
      </c>
      <c r="H951" s="1" t="s">
        <v>406</v>
      </c>
      <c r="K951" s="1" t="s">
        <v>59</v>
      </c>
      <c r="L951" s="1" t="s">
        <v>791</v>
      </c>
      <c r="M951" s="1" t="s">
        <v>465</v>
      </c>
      <c r="N951" s="1" t="s">
        <v>1233</v>
      </c>
      <c r="O951" s="1" t="s">
        <v>447</v>
      </c>
      <c r="P951" s="1"/>
      <c r="Q951" s="1" t="s">
        <v>70</v>
      </c>
      <c r="Z951" s="1" t="s">
        <v>71</v>
      </c>
      <c r="AE951" s="1" t="s">
        <v>3207</v>
      </c>
      <c r="AH951" s="1" t="s">
        <v>73</v>
      </c>
      <c r="AK951" s="1" t="s">
        <v>71</v>
      </c>
      <c r="AM951" s="1" t="s">
        <v>71</v>
      </c>
      <c r="AN951" s="1" t="s">
        <v>71</v>
      </c>
      <c r="AS951" s="1" t="s">
        <v>71</v>
      </c>
      <c r="AX951" s="1" t="s">
        <v>71</v>
      </c>
      <c r="BH951" s="1" t="s">
        <v>71</v>
      </c>
    </row>
    <row r="952" customFormat="false" ht="15" hidden="false" customHeight="false" outlineLevel="0" collapsed="false">
      <c r="A952" s="1" t="s">
        <v>3218</v>
      </c>
      <c r="B952" s="1" t="s">
        <v>3219</v>
      </c>
      <c r="C952" s="1" t="s">
        <v>742</v>
      </c>
      <c r="D952" s="1" t="s">
        <v>1977</v>
      </c>
      <c r="E952" s="1" t="s">
        <v>82</v>
      </c>
      <c r="F952" s="1" t="s">
        <v>391</v>
      </c>
      <c r="G952" s="1" t="s">
        <v>97</v>
      </c>
      <c r="H952" s="1" t="s">
        <v>406</v>
      </c>
      <c r="K952" s="1" t="s">
        <v>59</v>
      </c>
      <c r="L952" s="1" t="s">
        <v>791</v>
      </c>
      <c r="M952" s="1" t="s">
        <v>3220</v>
      </c>
      <c r="N952" s="1" t="s">
        <v>3221</v>
      </c>
      <c r="O952" s="1" t="s">
        <v>447</v>
      </c>
      <c r="P952" s="1"/>
      <c r="Q952" s="1" t="s">
        <v>70</v>
      </c>
      <c r="Z952" s="1" t="s">
        <v>71</v>
      </c>
      <c r="AE952" s="1" t="s">
        <v>3222</v>
      </c>
      <c r="AH952" s="1" t="s">
        <v>73</v>
      </c>
      <c r="AK952" s="1" t="s">
        <v>71</v>
      </c>
      <c r="AM952" s="1" t="s">
        <v>71</v>
      </c>
      <c r="AN952" s="1" t="s">
        <v>71</v>
      </c>
      <c r="AS952" s="1" t="s">
        <v>71</v>
      </c>
      <c r="AX952" s="1" t="s">
        <v>71</v>
      </c>
      <c r="BH952" s="1" t="s">
        <v>71</v>
      </c>
    </row>
    <row r="953" customFormat="false" ht="15" hidden="false" customHeight="false" outlineLevel="0" collapsed="false">
      <c r="A953" s="1" t="s">
        <v>3223</v>
      </c>
      <c r="B953" s="1" t="s">
        <v>3224</v>
      </c>
      <c r="C953" s="1" t="s">
        <v>769</v>
      </c>
      <c r="D953" s="1" t="s">
        <v>390</v>
      </c>
      <c r="E953" s="1" t="s">
        <v>82</v>
      </c>
      <c r="F953" s="1" t="s">
        <v>391</v>
      </c>
      <c r="G953" s="1" t="s">
        <v>443</v>
      </c>
      <c r="H953" s="1" t="s">
        <v>444</v>
      </c>
      <c r="K953" s="1" t="s">
        <v>61</v>
      </c>
      <c r="L953" s="1" t="s">
        <v>445</v>
      </c>
      <c r="M953" s="1" t="s">
        <v>496</v>
      </c>
      <c r="N953" s="1" t="s">
        <v>3225</v>
      </c>
      <c r="O953" s="1" t="s">
        <v>3226</v>
      </c>
      <c r="P953" s="1"/>
      <c r="Q953" s="1" t="s">
        <v>70</v>
      </c>
      <c r="Z953" s="1" t="s">
        <v>71</v>
      </c>
      <c r="AE953" s="1" t="s">
        <v>3222</v>
      </c>
      <c r="AH953" s="1" t="s">
        <v>73</v>
      </c>
      <c r="AK953" s="1" t="s">
        <v>71</v>
      </c>
      <c r="AM953" s="1" t="s">
        <v>71</v>
      </c>
      <c r="AN953" s="1" t="s">
        <v>71</v>
      </c>
      <c r="AS953" s="1" t="s">
        <v>71</v>
      </c>
      <c r="AX953" s="1" t="s">
        <v>71</v>
      </c>
      <c r="BH953" s="1" t="s">
        <v>71</v>
      </c>
    </row>
    <row r="954" customFormat="false" ht="15" hidden="false" customHeight="false" outlineLevel="0" collapsed="false">
      <c r="A954" s="1" t="s">
        <v>3227</v>
      </c>
      <c r="B954" s="1" t="s">
        <v>3228</v>
      </c>
      <c r="C954" s="1" t="s">
        <v>769</v>
      </c>
      <c r="D954" s="1" t="s">
        <v>390</v>
      </c>
      <c r="E954" s="1" t="s">
        <v>82</v>
      </c>
      <c r="F954" s="1" t="s">
        <v>391</v>
      </c>
      <c r="G954" s="1" t="s">
        <v>443</v>
      </c>
      <c r="H954" s="1" t="s">
        <v>444</v>
      </c>
      <c r="K954" s="1" t="s">
        <v>61</v>
      </c>
      <c r="L954" s="1" t="s">
        <v>445</v>
      </c>
      <c r="M954" s="1" t="s">
        <v>496</v>
      </c>
      <c r="N954" s="1" t="s">
        <v>399</v>
      </c>
      <c r="O954" s="1" t="s">
        <v>400</v>
      </c>
      <c r="P954" s="1"/>
      <c r="Q954" s="1" t="s">
        <v>70</v>
      </c>
      <c r="Z954" s="1" t="s">
        <v>71</v>
      </c>
      <c r="AE954" s="1" t="s">
        <v>3222</v>
      </c>
      <c r="AH954" s="1" t="s">
        <v>73</v>
      </c>
      <c r="AK954" s="1" t="s">
        <v>71</v>
      </c>
      <c r="AM954" s="1" t="s">
        <v>71</v>
      </c>
      <c r="AN954" s="1" t="s">
        <v>71</v>
      </c>
      <c r="AS954" s="1" t="s">
        <v>71</v>
      </c>
      <c r="AX954" s="1" t="s">
        <v>71</v>
      </c>
      <c r="BH954" s="1" t="s">
        <v>71</v>
      </c>
    </row>
    <row r="955" customFormat="false" ht="15" hidden="false" customHeight="false" outlineLevel="0" collapsed="false">
      <c r="A955" s="1" t="s">
        <v>3229</v>
      </c>
      <c r="B955" s="1" t="s">
        <v>3230</v>
      </c>
      <c r="C955" s="1" t="s">
        <v>150</v>
      </c>
      <c r="D955" s="1" t="s">
        <v>405</v>
      </c>
      <c r="E955" s="1" t="s">
        <v>82</v>
      </c>
      <c r="F955" s="1" t="s">
        <v>391</v>
      </c>
      <c r="G955" s="1" t="s">
        <v>97</v>
      </c>
      <c r="H955" s="1" t="s">
        <v>406</v>
      </c>
      <c r="K955" s="1" t="s">
        <v>407</v>
      </c>
      <c r="L955" s="1" t="s">
        <v>408</v>
      </c>
      <c r="M955" s="1" t="s">
        <v>496</v>
      </c>
      <c r="N955" s="1" t="s">
        <v>503</v>
      </c>
      <c r="O955" s="1" t="s">
        <v>504</v>
      </c>
      <c r="P955" s="1"/>
      <c r="Q955" s="1" t="s">
        <v>70</v>
      </c>
      <c r="Z955" s="1" t="s">
        <v>71</v>
      </c>
      <c r="AE955" s="1" t="s">
        <v>3231</v>
      </c>
      <c r="AH955" s="1" t="s">
        <v>73</v>
      </c>
      <c r="AK955" s="1" t="s">
        <v>71</v>
      </c>
      <c r="AM955" s="1" t="s">
        <v>71</v>
      </c>
      <c r="AN955" s="1" t="s">
        <v>71</v>
      </c>
      <c r="AS955" s="1" t="s">
        <v>71</v>
      </c>
      <c r="AX955" s="1" t="s">
        <v>71</v>
      </c>
      <c r="BH955" s="1" t="s">
        <v>71</v>
      </c>
    </row>
    <row r="956" customFormat="false" ht="15" hidden="false" customHeight="false" outlineLevel="0" collapsed="false">
      <c r="A956" s="1" t="s">
        <v>3232</v>
      </c>
      <c r="B956" s="1" t="s">
        <v>3233</v>
      </c>
      <c r="C956" s="1" t="s">
        <v>150</v>
      </c>
      <c r="D956" s="1" t="s">
        <v>405</v>
      </c>
      <c r="E956" s="1" t="s">
        <v>82</v>
      </c>
      <c r="F956" s="1" t="s">
        <v>391</v>
      </c>
      <c r="G956" s="1" t="s">
        <v>97</v>
      </c>
      <c r="H956" s="1" t="s">
        <v>406</v>
      </c>
      <c r="K956" s="1" t="s">
        <v>407</v>
      </c>
      <c r="L956" s="1" t="s">
        <v>408</v>
      </c>
      <c r="M956" s="1" t="s">
        <v>496</v>
      </c>
      <c r="N956" s="1" t="s">
        <v>3234</v>
      </c>
      <c r="O956" s="1" t="s">
        <v>3235</v>
      </c>
      <c r="P956" s="1"/>
      <c r="Q956" s="1" t="s">
        <v>70</v>
      </c>
      <c r="Z956" s="1" t="s">
        <v>71</v>
      </c>
      <c r="AE956" s="1" t="s">
        <v>3231</v>
      </c>
      <c r="AH956" s="1" t="s">
        <v>73</v>
      </c>
      <c r="AK956" s="1" t="s">
        <v>71</v>
      </c>
      <c r="AM956" s="1" t="s">
        <v>71</v>
      </c>
      <c r="AN956" s="1" t="s">
        <v>71</v>
      </c>
      <c r="AS956" s="1" t="s">
        <v>71</v>
      </c>
      <c r="AX956" s="1" t="s">
        <v>71</v>
      </c>
      <c r="BH956" s="1" t="s">
        <v>71</v>
      </c>
    </row>
    <row r="957" customFormat="false" ht="15" hidden="false" customHeight="false" outlineLevel="0" collapsed="false">
      <c r="A957" s="1" t="s">
        <v>3236</v>
      </c>
      <c r="B957" s="1" t="s">
        <v>3237</v>
      </c>
      <c r="C957" s="1" t="s">
        <v>150</v>
      </c>
      <c r="D957" s="1" t="s">
        <v>405</v>
      </c>
      <c r="E957" s="1" t="s">
        <v>82</v>
      </c>
      <c r="F957" s="1" t="s">
        <v>391</v>
      </c>
      <c r="G957" s="1" t="s">
        <v>97</v>
      </c>
      <c r="H957" s="1" t="s">
        <v>406</v>
      </c>
      <c r="K957" s="1" t="s">
        <v>407</v>
      </c>
      <c r="L957" s="1" t="s">
        <v>408</v>
      </c>
      <c r="M957" s="1" t="s">
        <v>496</v>
      </c>
      <c r="N957" s="1" t="s">
        <v>3238</v>
      </c>
      <c r="O957" s="1" t="s">
        <v>400</v>
      </c>
      <c r="P957" s="1"/>
      <c r="Q957" s="1" t="s">
        <v>70</v>
      </c>
      <c r="Z957" s="1" t="s">
        <v>71</v>
      </c>
      <c r="AE957" s="1" t="s">
        <v>3231</v>
      </c>
      <c r="AH957" s="1" t="s">
        <v>73</v>
      </c>
      <c r="AK957" s="1" t="s">
        <v>71</v>
      </c>
      <c r="AM957" s="1" t="s">
        <v>71</v>
      </c>
      <c r="AN957" s="1" t="s">
        <v>71</v>
      </c>
      <c r="AS957" s="1" t="s">
        <v>71</v>
      </c>
      <c r="AX957" s="1" t="s">
        <v>71</v>
      </c>
      <c r="BH957" s="1" t="s">
        <v>71</v>
      </c>
    </row>
    <row r="958" customFormat="false" ht="15" hidden="false" customHeight="false" outlineLevel="0" collapsed="false">
      <c r="A958" s="1" t="s">
        <v>3239</v>
      </c>
      <c r="B958" s="1" t="s">
        <v>3240</v>
      </c>
      <c r="C958" s="1" t="s">
        <v>150</v>
      </c>
      <c r="D958" s="1" t="s">
        <v>405</v>
      </c>
      <c r="E958" s="1" t="s">
        <v>82</v>
      </c>
      <c r="F958" s="1" t="s">
        <v>391</v>
      </c>
      <c r="G958" s="1" t="s">
        <v>97</v>
      </c>
      <c r="H958" s="1" t="s">
        <v>406</v>
      </c>
      <c r="K958" s="1" t="s">
        <v>407</v>
      </c>
      <c r="L958" s="1" t="s">
        <v>408</v>
      </c>
      <c r="M958" s="1" t="s">
        <v>3241</v>
      </c>
      <c r="N958" s="1" t="s">
        <v>625</v>
      </c>
      <c r="O958" s="1" t="s">
        <v>626</v>
      </c>
      <c r="P958" s="1"/>
      <c r="Q958" s="1" t="s">
        <v>70</v>
      </c>
      <c r="Z958" s="1" t="s">
        <v>71</v>
      </c>
      <c r="AE958" s="1" t="s">
        <v>3231</v>
      </c>
      <c r="AH958" s="1" t="s">
        <v>73</v>
      </c>
      <c r="AK958" s="1" t="s">
        <v>71</v>
      </c>
      <c r="AM958" s="1" t="s">
        <v>71</v>
      </c>
      <c r="AN958" s="1" t="s">
        <v>71</v>
      </c>
      <c r="AS958" s="1" t="s">
        <v>71</v>
      </c>
      <c r="AX958" s="1" t="s">
        <v>71</v>
      </c>
      <c r="BH958" s="1" t="s">
        <v>71</v>
      </c>
    </row>
    <row r="959" customFormat="false" ht="15" hidden="false" customHeight="false" outlineLevel="0" collapsed="false">
      <c r="A959" s="1" t="s">
        <v>3242</v>
      </c>
      <c r="B959" s="1" t="s">
        <v>3243</v>
      </c>
      <c r="C959" s="1" t="s">
        <v>150</v>
      </c>
      <c r="D959" s="1" t="s">
        <v>405</v>
      </c>
      <c r="E959" s="1" t="s">
        <v>82</v>
      </c>
      <c r="F959" s="1" t="s">
        <v>391</v>
      </c>
      <c r="G959" s="1" t="s">
        <v>97</v>
      </c>
      <c r="H959" s="1" t="s">
        <v>406</v>
      </c>
      <c r="K959" s="1" t="s">
        <v>407</v>
      </c>
      <c r="L959" s="1" t="s">
        <v>408</v>
      </c>
      <c r="M959" s="1" t="s">
        <v>496</v>
      </c>
      <c r="N959" s="1" t="s">
        <v>2302</v>
      </c>
      <c r="O959" s="1" t="s">
        <v>2303</v>
      </c>
      <c r="P959" s="1"/>
      <c r="Q959" s="1" t="s">
        <v>70</v>
      </c>
      <c r="Z959" s="1" t="s">
        <v>71</v>
      </c>
      <c r="AE959" s="1" t="s">
        <v>3231</v>
      </c>
      <c r="AH959" s="1" t="s">
        <v>73</v>
      </c>
      <c r="AK959" s="1" t="s">
        <v>71</v>
      </c>
      <c r="AM959" s="1" t="s">
        <v>71</v>
      </c>
      <c r="AN959" s="1" t="s">
        <v>71</v>
      </c>
      <c r="AS959" s="1" t="s">
        <v>71</v>
      </c>
      <c r="AX959" s="1" t="s">
        <v>71</v>
      </c>
      <c r="BH959" s="1" t="s">
        <v>71</v>
      </c>
    </row>
    <row r="960" customFormat="false" ht="15" hidden="false" customHeight="false" outlineLevel="0" collapsed="false">
      <c r="A960" s="1" t="s">
        <v>3244</v>
      </c>
      <c r="B960" s="1" t="s">
        <v>3245</v>
      </c>
      <c r="C960" s="1" t="s">
        <v>161</v>
      </c>
      <c r="D960" s="1" t="s">
        <v>162</v>
      </c>
      <c r="E960" s="1" t="s">
        <v>61</v>
      </c>
      <c r="F960" s="1" t="s">
        <v>101</v>
      </c>
      <c r="G960" s="1" t="s">
        <v>93</v>
      </c>
      <c r="H960" s="1" t="s">
        <v>64</v>
      </c>
      <c r="K960" s="1" t="s">
        <v>249</v>
      </c>
      <c r="L960" s="1" t="s">
        <v>250</v>
      </c>
      <c r="M960" s="1" t="s">
        <v>104</v>
      </c>
      <c r="N960" s="1" t="s">
        <v>105</v>
      </c>
      <c r="O960" s="1" t="s">
        <v>106</v>
      </c>
      <c r="P960" s="1"/>
      <c r="Q960" s="1" t="s">
        <v>70</v>
      </c>
      <c r="U960" s="1" t="s">
        <v>3244</v>
      </c>
      <c r="V960" s="1" t="s">
        <v>3244</v>
      </c>
      <c r="Z960" s="1" t="s">
        <v>71</v>
      </c>
      <c r="AE960" s="1" t="s">
        <v>3246</v>
      </c>
      <c r="AH960" s="1" t="s">
        <v>73</v>
      </c>
      <c r="AK960" s="1" t="s">
        <v>71</v>
      </c>
      <c r="AM960" s="1" t="s">
        <v>71</v>
      </c>
      <c r="AN960" s="1" t="s">
        <v>71</v>
      </c>
      <c r="AS960" s="1" t="s">
        <v>71</v>
      </c>
      <c r="AX960" s="1" t="s">
        <v>71</v>
      </c>
      <c r="AY960" s="1" t="s">
        <v>59</v>
      </c>
      <c r="AZ960" s="1" t="s">
        <v>74</v>
      </c>
      <c r="BH960" s="1" t="s">
        <v>71</v>
      </c>
    </row>
    <row r="961" customFormat="false" ht="15" hidden="false" customHeight="false" outlineLevel="0" collapsed="false">
      <c r="A961" s="1" t="s">
        <v>3247</v>
      </c>
      <c r="B961" s="1" t="s">
        <v>3248</v>
      </c>
      <c r="C961" s="1" t="s">
        <v>769</v>
      </c>
      <c r="D961" s="1" t="s">
        <v>390</v>
      </c>
      <c r="E961" s="1" t="s">
        <v>82</v>
      </c>
      <c r="F961" s="1" t="s">
        <v>391</v>
      </c>
      <c r="G961" s="1" t="s">
        <v>182</v>
      </c>
      <c r="H961" s="1" t="s">
        <v>392</v>
      </c>
      <c r="K961" s="1" t="s">
        <v>65</v>
      </c>
      <c r="L961" s="1" t="s">
        <v>517</v>
      </c>
      <c r="M961" s="1" t="s">
        <v>496</v>
      </c>
      <c r="N961" s="1" t="s">
        <v>3249</v>
      </c>
      <c r="O961" s="1" t="s">
        <v>400</v>
      </c>
      <c r="P961" s="1"/>
      <c r="Q961" s="1" t="s">
        <v>70</v>
      </c>
      <c r="Z961" s="1" t="s">
        <v>71</v>
      </c>
      <c r="AE961" s="1" t="s">
        <v>3250</v>
      </c>
      <c r="AH961" s="1" t="s">
        <v>73</v>
      </c>
      <c r="AK961" s="1" t="s">
        <v>71</v>
      </c>
      <c r="AM961" s="1" t="s">
        <v>71</v>
      </c>
      <c r="AN961" s="1" t="s">
        <v>71</v>
      </c>
      <c r="AS961" s="1" t="s">
        <v>71</v>
      </c>
      <c r="AX961" s="1" t="s">
        <v>71</v>
      </c>
      <c r="BH961" s="1" t="s">
        <v>71</v>
      </c>
    </row>
    <row r="962" customFormat="false" ht="15" hidden="false" customHeight="false" outlineLevel="0" collapsed="false">
      <c r="A962" s="1" t="s">
        <v>3251</v>
      </c>
      <c r="B962" s="1" t="s">
        <v>3252</v>
      </c>
      <c r="C962" s="1" t="s">
        <v>769</v>
      </c>
      <c r="D962" s="1" t="s">
        <v>390</v>
      </c>
      <c r="E962" s="1" t="s">
        <v>82</v>
      </c>
      <c r="F962" s="1" t="s">
        <v>391</v>
      </c>
      <c r="G962" s="1" t="s">
        <v>182</v>
      </c>
      <c r="H962" s="1" t="s">
        <v>392</v>
      </c>
      <c r="K962" s="1" t="s">
        <v>65</v>
      </c>
      <c r="L962" s="1" t="s">
        <v>517</v>
      </c>
      <c r="M962" s="1" t="s">
        <v>496</v>
      </c>
      <c r="N962" s="1" t="s">
        <v>3249</v>
      </c>
      <c r="O962" s="1" t="s">
        <v>400</v>
      </c>
      <c r="P962" s="1"/>
      <c r="Q962" s="1" t="s">
        <v>70</v>
      </c>
      <c r="Z962" s="1" t="s">
        <v>71</v>
      </c>
      <c r="AE962" s="1" t="s">
        <v>3250</v>
      </c>
      <c r="AH962" s="1" t="s">
        <v>73</v>
      </c>
      <c r="AK962" s="1" t="s">
        <v>71</v>
      </c>
      <c r="AM962" s="1" t="s">
        <v>71</v>
      </c>
      <c r="AN962" s="1" t="s">
        <v>71</v>
      </c>
      <c r="AS962" s="1" t="s">
        <v>71</v>
      </c>
      <c r="AX962" s="1" t="s">
        <v>71</v>
      </c>
      <c r="BH962" s="1" t="s">
        <v>71</v>
      </c>
    </row>
    <row r="963" customFormat="false" ht="15" hidden="false" customHeight="false" outlineLevel="0" collapsed="false">
      <c r="A963" s="1" t="s">
        <v>3253</v>
      </c>
      <c r="B963" s="1" t="s">
        <v>3254</v>
      </c>
      <c r="C963" s="1" t="s">
        <v>769</v>
      </c>
      <c r="D963" s="1" t="s">
        <v>390</v>
      </c>
      <c r="E963" s="1" t="s">
        <v>82</v>
      </c>
      <c r="F963" s="1" t="s">
        <v>391</v>
      </c>
      <c r="G963" s="1" t="s">
        <v>182</v>
      </c>
      <c r="H963" s="1" t="s">
        <v>392</v>
      </c>
      <c r="K963" s="1" t="s">
        <v>65</v>
      </c>
      <c r="L963" s="1" t="s">
        <v>517</v>
      </c>
      <c r="M963" s="1" t="s">
        <v>496</v>
      </c>
      <c r="N963" s="1" t="s">
        <v>3255</v>
      </c>
      <c r="O963" s="1" t="s">
        <v>400</v>
      </c>
      <c r="P963" s="1"/>
      <c r="Q963" s="1" t="s">
        <v>70</v>
      </c>
      <c r="Z963" s="1" t="s">
        <v>71</v>
      </c>
      <c r="AE963" s="1" t="s">
        <v>3250</v>
      </c>
      <c r="AH963" s="1" t="s">
        <v>73</v>
      </c>
      <c r="AK963" s="1" t="s">
        <v>71</v>
      </c>
      <c r="AM963" s="1" t="s">
        <v>71</v>
      </c>
      <c r="AN963" s="1" t="s">
        <v>71</v>
      </c>
      <c r="AS963" s="1" t="s">
        <v>71</v>
      </c>
      <c r="AX963" s="1" t="s">
        <v>71</v>
      </c>
      <c r="BH963" s="1" t="s">
        <v>71</v>
      </c>
    </row>
    <row r="964" customFormat="false" ht="15" hidden="false" customHeight="false" outlineLevel="0" collapsed="false">
      <c r="A964" s="1" t="s">
        <v>3256</v>
      </c>
      <c r="B964" s="1" t="s">
        <v>3257</v>
      </c>
      <c r="C964" s="1" t="s">
        <v>769</v>
      </c>
      <c r="D964" s="1" t="s">
        <v>390</v>
      </c>
      <c r="E964" s="1" t="s">
        <v>82</v>
      </c>
      <c r="F964" s="1" t="s">
        <v>391</v>
      </c>
      <c r="G964" s="1" t="s">
        <v>182</v>
      </c>
      <c r="H964" s="1" t="s">
        <v>392</v>
      </c>
      <c r="K964" s="1" t="s">
        <v>65</v>
      </c>
      <c r="L964" s="1" t="s">
        <v>517</v>
      </c>
      <c r="M964" s="1" t="s">
        <v>496</v>
      </c>
      <c r="N964" s="1" t="s">
        <v>2558</v>
      </c>
      <c r="O964" s="1" t="s">
        <v>400</v>
      </c>
      <c r="P964" s="1"/>
      <c r="Q964" s="1" t="s">
        <v>70</v>
      </c>
      <c r="Z964" s="1" t="s">
        <v>71</v>
      </c>
      <c r="AE964" s="1" t="s">
        <v>3250</v>
      </c>
      <c r="AH964" s="1" t="s">
        <v>73</v>
      </c>
      <c r="AK964" s="1" t="s">
        <v>71</v>
      </c>
      <c r="AM964" s="1" t="s">
        <v>71</v>
      </c>
      <c r="AN964" s="1" t="s">
        <v>71</v>
      </c>
      <c r="AS964" s="1" t="s">
        <v>71</v>
      </c>
      <c r="AX964" s="1" t="s">
        <v>71</v>
      </c>
      <c r="BH964" s="1" t="s">
        <v>71</v>
      </c>
    </row>
    <row r="965" customFormat="false" ht="15" hidden="false" customHeight="false" outlineLevel="0" collapsed="false">
      <c r="A965" s="1" t="s">
        <v>3258</v>
      </c>
      <c r="B965" s="1" t="s">
        <v>3259</v>
      </c>
      <c r="C965" s="1" t="s">
        <v>769</v>
      </c>
      <c r="D965" s="1" t="s">
        <v>390</v>
      </c>
      <c r="E965" s="1" t="s">
        <v>82</v>
      </c>
      <c r="F965" s="1" t="s">
        <v>391</v>
      </c>
      <c r="G965" s="1" t="s">
        <v>182</v>
      </c>
      <c r="H965" s="1" t="s">
        <v>392</v>
      </c>
      <c r="K965" s="1" t="s">
        <v>65</v>
      </c>
      <c r="L965" s="1" t="s">
        <v>517</v>
      </c>
      <c r="M965" s="1" t="s">
        <v>1716</v>
      </c>
      <c r="N965" s="1" t="s">
        <v>3260</v>
      </c>
      <c r="O965" s="1" t="s">
        <v>3261</v>
      </c>
      <c r="P965" s="1"/>
      <c r="Q965" s="1" t="s">
        <v>70</v>
      </c>
      <c r="Z965" s="1" t="s">
        <v>71</v>
      </c>
      <c r="AE965" s="1" t="s">
        <v>3250</v>
      </c>
      <c r="AH965" s="1" t="s">
        <v>73</v>
      </c>
      <c r="AK965" s="1" t="s">
        <v>71</v>
      </c>
      <c r="AM965" s="1" t="s">
        <v>71</v>
      </c>
      <c r="AN965" s="1" t="s">
        <v>71</v>
      </c>
      <c r="AS965" s="1" t="s">
        <v>71</v>
      </c>
      <c r="AX965" s="1" t="s">
        <v>71</v>
      </c>
      <c r="BH965" s="1" t="s">
        <v>71</v>
      </c>
    </row>
    <row r="966" customFormat="false" ht="15" hidden="false" customHeight="false" outlineLevel="0" collapsed="false">
      <c r="A966" s="1" t="s">
        <v>3262</v>
      </c>
      <c r="B966" s="1" t="s">
        <v>3263</v>
      </c>
      <c r="C966" s="1" t="s">
        <v>769</v>
      </c>
      <c r="D966" s="1" t="s">
        <v>390</v>
      </c>
      <c r="E966" s="1" t="s">
        <v>82</v>
      </c>
      <c r="F966" s="1" t="s">
        <v>391</v>
      </c>
      <c r="G966" s="1" t="s">
        <v>182</v>
      </c>
      <c r="H966" s="1" t="s">
        <v>392</v>
      </c>
      <c r="K966" s="1" t="s">
        <v>65</v>
      </c>
      <c r="L966" s="1" t="s">
        <v>517</v>
      </c>
      <c r="M966" s="1" t="s">
        <v>496</v>
      </c>
      <c r="N966" s="1" t="s">
        <v>3264</v>
      </c>
      <c r="O966" s="1" t="s">
        <v>447</v>
      </c>
      <c r="P966" s="1"/>
      <c r="Q966" s="1" t="s">
        <v>70</v>
      </c>
      <c r="Z966" s="1" t="s">
        <v>71</v>
      </c>
      <c r="AE966" s="1" t="s">
        <v>3250</v>
      </c>
      <c r="AH966" s="1" t="s">
        <v>73</v>
      </c>
      <c r="AK966" s="1" t="s">
        <v>71</v>
      </c>
      <c r="AM966" s="1" t="s">
        <v>71</v>
      </c>
      <c r="AN966" s="1" t="s">
        <v>71</v>
      </c>
      <c r="AS966" s="1" t="s">
        <v>71</v>
      </c>
      <c r="AX966" s="1" t="s">
        <v>71</v>
      </c>
      <c r="BH966" s="1" t="s">
        <v>71</v>
      </c>
    </row>
    <row r="967" customFormat="false" ht="15" hidden="false" customHeight="false" outlineLevel="0" collapsed="false">
      <c r="A967" s="1" t="s">
        <v>3265</v>
      </c>
      <c r="B967" s="1" t="s">
        <v>3266</v>
      </c>
      <c r="C967" s="1" t="s">
        <v>769</v>
      </c>
      <c r="D967" s="1" t="s">
        <v>390</v>
      </c>
      <c r="E967" s="1" t="s">
        <v>82</v>
      </c>
      <c r="F967" s="1" t="s">
        <v>391</v>
      </c>
      <c r="G967" s="1" t="s">
        <v>182</v>
      </c>
      <c r="H967" s="1" t="s">
        <v>392</v>
      </c>
      <c r="K967" s="1" t="s">
        <v>65</v>
      </c>
      <c r="L967" s="1" t="s">
        <v>517</v>
      </c>
      <c r="M967" s="1" t="s">
        <v>496</v>
      </c>
      <c r="N967" s="1" t="s">
        <v>3267</v>
      </c>
      <c r="O967" s="1" t="s">
        <v>400</v>
      </c>
      <c r="P967" s="1"/>
      <c r="Q967" s="1" t="s">
        <v>70</v>
      </c>
      <c r="Z967" s="1" t="s">
        <v>71</v>
      </c>
      <c r="AE967" s="1" t="s">
        <v>3250</v>
      </c>
      <c r="AH967" s="1" t="s">
        <v>73</v>
      </c>
      <c r="AK967" s="1" t="s">
        <v>71</v>
      </c>
      <c r="AM967" s="1" t="s">
        <v>71</v>
      </c>
      <c r="AN967" s="1" t="s">
        <v>71</v>
      </c>
      <c r="AS967" s="1" t="s">
        <v>71</v>
      </c>
      <c r="AX967" s="1" t="s">
        <v>71</v>
      </c>
      <c r="BH967" s="1" t="s">
        <v>71</v>
      </c>
    </row>
    <row r="968" customFormat="false" ht="15" hidden="false" customHeight="false" outlineLevel="0" collapsed="false">
      <c r="A968" s="1" t="s">
        <v>3268</v>
      </c>
      <c r="B968" s="1" t="s">
        <v>3269</v>
      </c>
      <c r="C968" s="1" t="s">
        <v>161</v>
      </c>
      <c r="D968" s="1" t="s">
        <v>162</v>
      </c>
      <c r="E968" s="1" t="s">
        <v>61</v>
      </c>
      <c r="F968" s="1" t="s">
        <v>101</v>
      </c>
      <c r="G968" s="1" t="s">
        <v>93</v>
      </c>
      <c r="H968" s="1" t="s">
        <v>64</v>
      </c>
      <c r="K968" s="1" t="s">
        <v>217</v>
      </c>
      <c r="L968" s="1" t="s">
        <v>218</v>
      </c>
      <c r="M968" s="1" t="s">
        <v>104</v>
      </c>
      <c r="N968" s="1" t="s">
        <v>105</v>
      </c>
      <c r="O968" s="1" t="s">
        <v>106</v>
      </c>
      <c r="P968" s="1" t="e">
        <f aca="false">image("https://drive.google.com/uc?export=view&amp;id=12FQZhHsa7Y1XCFEFq6kpDVnL3z_Z6Jb-")</f>
        <v>#NAME?</v>
      </c>
      <c r="Q968" s="1" t="s">
        <v>205</v>
      </c>
      <c r="U968" s="1" t="s">
        <v>3268</v>
      </c>
      <c r="Z968" s="1" t="s">
        <v>71</v>
      </c>
      <c r="AE968" s="1" t="s">
        <v>3270</v>
      </c>
      <c r="AH968" s="1" t="s">
        <v>73</v>
      </c>
      <c r="AK968" s="1" t="s">
        <v>71</v>
      </c>
      <c r="AM968" s="1" t="s">
        <v>71</v>
      </c>
      <c r="AN968" s="1" t="s">
        <v>71</v>
      </c>
      <c r="AS968" s="1" t="s">
        <v>71</v>
      </c>
      <c r="AX968" s="1" t="s">
        <v>71</v>
      </c>
      <c r="AY968" s="1" t="s">
        <v>59</v>
      </c>
      <c r="AZ968" s="1" t="s">
        <v>74</v>
      </c>
      <c r="BH968" s="1" t="s">
        <v>71</v>
      </c>
    </row>
    <row r="969" customFormat="false" ht="15" hidden="false" customHeight="false" outlineLevel="0" collapsed="false">
      <c r="A969" s="1" t="s">
        <v>3271</v>
      </c>
      <c r="B969" s="1" t="s">
        <v>3272</v>
      </c>
      <c r="C969" s="1" t="s">
        <v>3273</v>
      </c>
      <c r="D969" s="1" t="s">
        <v>3274</v>
      </c>
      <c r="E969" s="1" t="s">
        <v>82</v>
      </c>
      <c r="F969" s="1" t="s">
        <v>391</v>
      </c>
      <c r="G969" s="1" t="s">
        <v>443</v>
      </c>
      <c r="H969" s="1" t="s">
        <v>444</v>
      </c>
      <c r="K969" s="1" t="s">
        <v>61</v>
      </c>
      <c r="L969" s="1" t="s">
        <v>445</v>
      </c>
      <c r="M969" s="1" t="s">
        <v>496</v>
      </c>
      <c r="N969" s="1" t="s">
        <v>2406</v>
      </c>
      <c r="O969" s="1" t="s">
        <v>2407</v>
      </c>
      <c r="P969" s="1"/>
      <c r="Q969" s="1" t="s">
        <v>70</v>
      </c>
      <c r="Z969" s="1" t="s">
        <v>71</v>
      </c>
      <c r="AE969" s="1" t="s">
        <v>3270</v>
      </c>
      <c r="AH969" s="1" t="s">
        <v>73</v>
      </c>
      <c r="AK969" s="1" t="s">
        <v>71</v>
      </c>
      <c r="AM969" s="1" t="s">
        <v>71</v>
      </c>
      <c r="AN969" s="1" t="s">
        <v>71</v>
      </c>
      <c r="AS969" s="1" t="s">
        <v>71</v>
      </c>
      <c r="AX969" s="1" t="s">
        <v>71</v>
      </c>
      <c r="BH969" s="1" t="s">
        <v>71</v>
      </c>
    </row>
    <row r="970" customFormat="false" ht="15" hidden="false" customHeight="false" outlineLevel="0" collapsed="false">
      <c r="A970" s="1" t="s">
        <v>3275</v>
      </c>
      <c r="B970" s="1" t="s">
        <v>3276</v>
      </c>
      <c r="C970" s="1" t="s">
        <v>3273</v>
      </c>
      <c r="D970" s="1" t="s">
        <v>3274</v>
      </c>
      <c r="E970" s="1" t="s">
        <v>82</v>
      </c>
      <c r="F970" s="1" t="s">
        <v>391</v>
      </c>
      <c r="G970" s="1" t="s">
        <v>443</v>
      </c>
      <c r="H970" s="1" t="s">
        <v>444</v>
      </c>
      <c r="K970" s="1" t="s">
        <v>2219</v>
      </c>
      <c r="L970" s="1" t="s">
        <v>2220</v>
      </c>
      <c r="M970" s="1" t="s">
        <v>496</v>
      </c>
      <c r="N970" s="1" t="s">
        <v>3277</v>
      </c>
      <c r="O970" s="1" t="s">
        <v>447</v>
      </c>
      <c r="P970" s="1"/>
      <c r="Q970" s="1" t="s">
        <v>70</v>
      </c>
      <c r="Z970" s="1" t="s">
        <v>71</v>
      </c>
      <c r="AE970" s="1" t="s">
        <v>3270</v>
      </c>
      <c r="AH970" s="1" t="s">
        <v>73</v>
      </c>
      <c r="AK970" s="1" t="s">
        <v>71</v>
      </c>
      <c r="AM970" s="1" t="s">
        <v>71</v>
      </c>
      <c r="AN970" s="1" t="s">
        <v>71</v>
      </c>
      <c r="AS970" s="1" t="s">
        <v>71</v>
      </c>
      <c r="AX970" s="1" t="s">
        <v>71</v>
      </c>
      <c r="BH970" s="1" t="s">
        <v>71</v>
      </c>
    </row>
    <row r="971" customFormat="false" ht="15" hidden="false" customHeight="false" outlineLevel="0" collapsed="false">
      <c r="A971" s="1" t="s">
        <v>3278</v>
      </c>
      <c r="B971" s="1" t="s">
        <v>3279</v>
      </c>
      <c r="C971" s="1" t="s">
        <v>3273</v>
      </c>
      <c r="D971" s="1" t="s">
        <v>3274</v>
      </c>
      <c r="E971" s="1" t="s">
        <v>82</v>
      </c>
      <c r="F971" s="1" t="s">
        <v>391</v>
      </c>
      <c r="G971" s="1" t="s">
        <v>443</v>
      </c>
      <c r="H971" s="1" t="s">
        <v>444</v>
      </c>
      <c r="K971" s="1" t="s">
        <v>61</v>
      </c>
      <c r="L971" s="1" t="s">
        <v>445</v>
      </c>
      <c r="M971" s="1" t="s">
        <v>496</v>
      </c>
      <c r="N971" s="1" t="s">
        <v>3280</v>
      </c>
      <c r="O971" s="1" t="s">
        <v>400</v>
      </c>
      <c r="P971" s="1"/>
      <c r="Q971" s="1" t="s">
        <v>70</v>
      </c>
      <c r="Z971" s="1" t="s">
        <v>71</v>
      </c>
      <c r="AE971" s="1" t="s">
        <v>3270</v>
      </c>
      <c r="AH971" s="1" t="s">
        <v>73</v>
      </c>
      <c r="AK971" s="1" t="s">
        <v>71</v>
      </c>
      <c r="AM971" s="1" t="s">
        <v>71</v>
      </c>
      <c r="AN971" s="1" t="s">
        <v>71</v>
      </c>
      <c r="AS971" s="1" t="s">
        <v>71</v>
      </c>
      <c r="AX971" s="1" t="s">
        <v>71</v>
      </c>
      <c r="BH971" s="1" t="s">
        <v>71</v>
      </c>
    </row>
    <row r="972" customFormat="false" ht="15" hidden="false" customHeight="false" outlineLevel="0" collapsed="false">
      <c r="A972" s="1" t="s">
        <v>3281</v>
      </c>
      <c r="B972" s="1" t="s">
        <v>3282</v>
      </c>
      <c r="C972" s="1" t="s">
        <v>3273</v>
      </c>
      <c r="D972" s="1" t="s">
        <v>3274</v>
      </c>
      <c r="E972" s="1" t="s">
        <v>82</v>
      </c>
      <c r="F972" s="1" t="s">
        <v>391</v>
      </c>
      <c r="G972" s="1" t="s">
        <v>443</v>
      </c>
      <c r="H972" s="1" t="s">
        <v>444</v>
      </c>
      <c r="K972" s="1" t="s">
        <v>61</v>
      </c>
      <c r="L972" s="1" t="s">
        <v>445</v>
      </c>
      <c r="M972" s="1" t="s">
        <v>496</v>
      </c>
      <c r="N972" s="1" t="s">
        <v>2691</v>
      </c>
      <c r="O972" s="1" t="s">
        <v>400</v>
      </c>
      <c r="P972" s="1"/>
      <c r="Q972" s="1" t="s">
        <v>70</v>
      </c>
      <c r="Z972" s="1" t="s">
        <v>71</v>
      </c>
      <c r="AE972" s="1" t="s">
        <v>3270</v>
      </c>
      <c r="AH972" s="1" t="s">
        <v>73</v>
      </c>
      <c r="AK972" s="1" t="s">
        <v>71</v>
      </c>
      <c r="AM972" s="1" t="s">
        <v>71</v>
      </c>
      <c r="AN972" s="1" t="s">
        <v>71</v>
      </c>
      <c r="AS972" s="1" t="s">
        <v>71</v>
      </c>
      <c r="AX972" s="1" t="s">
        <v>71</v>
      </c>
      <c r="BH972" s="1" t="s">
        <v>71</v>
      </c>
    </row>
    <row r="973" customFormat="false" ht="15" hidden="false" customHeight="false" outlineLevel="0" collapsed="false">
      <c r="A973" s="1" t="s">
        <v>3283</v>
      </c>
      <c r="B973" s="1" t="s">
        <v>3284</v>
      </c>
      <c r="C973" s="1" t="s">
        <v>3273</v>
      </c>
      <c r="D973" s="1" t="s">
        <v>3274</v>
      </c>
      <c r="E973" s="1" t="s">
        <v>82</v>
      </c>
      <c r="F973" s="1" t="s">
        <v>391</v>
      </c>
      <c r="G973" s="1" t="s">
        <v>443</v>
      </c>
      <c r="H973" s="1" t="s">
        <v>444</v>
      </c>
      <c r="K973" s="1" t="s">
        <v>61</v>
      </c>
      <c r="L973" s="1" t="s">
        <v>445</v>
      </c>
      <c r="M973" s="1" t="s">
        <v>496</v>
      </c>
      <c r="N973" s="1" t="s">
        <v>668</v>
      </c>
      <c r="O973" s="1" t="s">
        <v>669</v>
      </c>
      <c r="P973" s="1"/>
      <c r="Q973" s="1" t="s">
        <v>70</v>
      </c>
      <c r="Z973" s="1" t="s">
        <v>71</v>
      </c>
      <c r="AE973" s="1" t="s">
        <v>3270</v>
      </c>
      <c r="AH973" s="1" t="s">
        <v>73</v>
      </c>
      <c r="AK973" s="1" t="s">
        <v>71</v>
      </c>
      <c r="AM973" s="1" t="s">
        <v>71</v>
      </c>
      <c r="AN973" s="1" t="s">
        <v>71</v>
      </c>
      <c r="AS973" s="1" t="s">
        <v>71</v>
      </c>
      <c r="AX973" s="1" t="s">
        <v>71</v>
      </c>
      <c r="BH973" s="1" t="s">
        <v>71</v>
      </c>
    </row>
    <row r="974" customFormat="false" ht="15" hidden="false" customHeight="false" outlineLevel="0" collapsed="false">
      <c r="A974" s="1" t="s">
        <v>3285</v>
      </c>
      <c r="B974" s="1" t="s">
        <v>3286</v>
      </c>
      <c r="C974" s="1" t="s">
        <v>3273</v>
      </c>
      <c r="D974" s="1" t="s">
        <v>3274</v>
      </c>
      <c r="E974" s="1" t="s">
        <v>82</v>
      </c>
      <c r="F974" s="1" t="s">
        <v>391</v>
      </c>
      <c r="G974" s="1" t="s">
        <v>443</v>
      </c>
      <c r="H974" s="1" t="s">
        <v>444</v>
      </c>
      <c r="K974" s="1" t="s">
        <v>61</v>
      </c>
      <c r="L974" s="1" t="s">
        <v>445</v>
      </c>
      <c r="M974" s="1" t="s">
        <v>496</v>
      </c>
      <c r="N974" s="1" t="s">
        <v>807</v>
      </c>
      <c r="O974" s="1" t="s">
        <v>808</v>
      </c>
      <c r="P974" s="1"/>
      <c r="Q974" s="1" t="s">
        <v>70</v>
      </c>
      <c r="Z974" s="1" t="s">
        <v>71</v>
      </c>
      <c r="AE974" s="1" t="s">
        <v>3270</v>
      </c>
      <c r="AH974" s="1" t="s">
        <v>73</v>
      </c>
      <c r="AK974" s="1" t="s">
        <v>71</v>
      </c>
      <c r="AM974" s="1" t="s">
        <v>71</v>
      </c>
      <c r="AN974" s="1" t="s">
        <v>71</v>
      </c>
      <c r="AS974" s="1" t="s">
        <v>71</v>
      </c>
      <c r="AX974" s="1" t="s">
        <v>71</v>
      </c>
      <c r="BH974" s="1" t="s">
        <v>71</v>
      </c>
    </row>
    <row r="975" customFormat="false" ht="15" hidden="false" customHeight="false" outlineLevel="0" collapsed="false">
      <c r="A975" s="1" t="s">
        <v>3287</v>
      </c>
      <c r="B975" s="1" t="s">
        <v>3288</v>
      </c>
      <c r="C975" s="1" t="s">
        <v>3273</v>
      </c>
      <c r="D975" s="1" t="s">
        <v>3274</v>
      </c>
      <c r="E975" s="1" t="s">
        <v>82</v>
      </c>
      <c r="F975" s="1" t="s">
        <v>391</v>
      </c>
      <c r="G975" s="1" t="s">
        <v>443</v>
      </c>
      <c r="H975" s="1" t="s">
        <v>444</v>
      </c>
      <c r="K975" s="1" t="s">
        <v>61</v>
      </c>
      <c r="L975" s="1" t="s">
        <v>445</v>
      </c>
      <c r="M975" s="1" t="s">
        <v>496</v>
      </c>
      <c r="N975" s="1" t="s">
        <v>3289</v>
      </c>
      <c r="O975" s="1" t="s">
        <v>447</v>
      </c>
      <c r="P975" s="1"/>
      <c r="Q975" s="1" t="s">
        <v>70</v>
      </c>
      <c r="Z975" s="1" t="s">
        <v>71</v>
      </c>
      <c r="AE975" s="1" t="s">
        <v>3270</v>
      </c>
      <c r="AH975" s="1" t="s">
        <v>73</v>
      </c>
      <c r="AK975" s="1" t="s">
        <v>71</v>
      </c>
      <c r="AM975" s="1" t="s">
        <v>71</v>
      </c>
      <c r="AN975" s="1" t="s">
        <v>71</v>
      </c>
      <c r="AS975" s="1" t="s">
        <v>71</v>
      </c>
      <c r="AX975" s="1" t="s">
        <v>71</v>
      </c>
      <c r="BH975" s="1" t="s">
        <v>71</v>
      </c>
    </row>
    <row r="976" customFormat="false" ht="15" hidden="false" customHeight="false" outlineLevel="0" collapsed="false">
      <c r="A976" s="1" t="s">
        <v>3290</v>
      </c>
      <c r="B976" s="1" t="s">
        <v>3291</v>
      </c>
      <c r="C976" s="1" t="s">
        <v>3273</v>
      </c>
      <c r="D976" s="1" t="s">
        <v>3274</v>
      </c>
      <c r="E976" s="1" t="s">
        <v>82</v>
      </c>
      <c r="F976" s="1" t="s">
        <v>391</v>
      </c>
      <c r="G976" s="1" t="s">
        <v>443</v>
      </c>
      <c r="H976" s="1" t="s">
        <v>444</v>
      </c>
      <c r="K976" s="1" t="s">
        <v>61</v>
      </c>
      <c r="L976" s="1" t="s">
        <v>445</v>
      </c>
      <c r="M976" s="1" t="s">
        <v>496</v>
      </c>
      <c r="N976" s="1" t="s">
        <v>466</v>
      </c>
      <c r="O976" s="1" t="s">
        <v>467</v>
      </c>
      <c r="P976" s="1"/>
      <c r="Q976" s="1" t="s">
        <v>70</v>
      </c>
      <c r="Z976" s="1" t="s">
        <v>71</v>
      </c>
      <c r="AE976" s="1" t="s">
        <v>3270</v>
      </c>
      <c r="AH976" s="1" t="s">
        <v>73</v>
      </c>
      <c r="AK976" s="1" t="s">
        <v>71</v>
      </c>
      <c r="AM976" s="1" t="s">
        <v>71</v>
      </c>
      <c r="AN976" s="1" t="s">
        <v>71</v>
      </c>
      <c r="AS976" s="1" t="s">
        <v>71</v>
      </c>
      <c r="AX976" s="1" t="s">
        <v>71</v>
      </c>
      <c r="BH976" s="1" t="s">
        <v>71</v>
      </c>
    </row>
    <row r="977" customFormat="false" ht="15" hidden="false" customHeight="false" outlineLevel="0" collapsed="false">
      <c r="A977" s="1" t="s">
        <v>3292</v>
      </c>
      <c r="B977" s="1" t="s">
        <v>3293</v>
      </c>
      <c r="C977" s="1" t="s">
        <v>3273</v>
      </c>
      <c r="D977" s="1" t="s">
        <v>3274</v>
      </c>
      <c r="E977" s="1" t="s">
        <v>82</v>
      </c>
      <c r="F977" s="1" t="s">
        <v>391</v>
      </c>
      <c r="G977" s="1" t="s">
        <v>443</v>
      </c>
      <c r="H977" s="1" t="s">
        <v>444</v>
      </c>
      <c r="K977" s="1" t="s">
        <v>61</v>
      </c>
      <c r="L977" s="1" t="s">
        <v>445</v>
      </c>
      <c r="M977" s="1" t="s">
        <v>496</v>
      </c>
      <c r="N977" s="1" t="s">
        <v>2228</v>
      </c>
      <c r="O977" s="1" t="s">
        <v>2229</v>
      </c>
      <c r="P977" s="1"/>
      <c r="Q977" s="1" t="s">
        <v>70</v>
      </c>
      <c r="Z977" s="1" t="s">
        <v>71</v>
      </c>
      <c r="AE977" s="1" t="s">
        <v>3270</v>
      </c>
      <c r="AH977" s="1" t="s">
        <v>73</v>
      </c>
      <c r="AK977" s="1" t="s">
        <v>71</v>
      </c>
      <c r="AM977" s="1" t="s">
        <v>71</v>
      </c>
      <c r="AN977" s="1" t="s">
        <v>71</v>
      </c>
      <c r="AS977" s="1" t="s">
        <v>71</v>
      </c>
      <c r="AX977" s="1" t="s">
        <v>71</v>
      </c>
      <c r="BH977" s="1" t="s">
        <v>71</v>
      </c>
    </row>
    <row r="978" customFormat="false" ht="15" hidden="false" customHeight="false" outlineLevel="0" collapsed="false">
      <c r="A978" s="1" t="s">
        <v>3294</v>
      </c>
      <c r="B978" s="1" t="s">
        <v>3295</v>
      </c>
      <c r="C978" s="1" t="s">
        <v>3273</v>
      </c>
      <c r="D978" s="1" t="s">
        <v>3274</v>
      </c>
      <c r="E978" s="1" t="s">
        <v>82</v>
      </c>
      <c r="F978" s="1" t="s">
        <v>391</v>
      </c>
      <c r="G978" s="1" t="s">
        <v>443</v>
      </c>
      <c r="H978" s="1" t="s">
        <v>444</v>
      </c>
      <c r="K978" s="1" t="s">
        <v>61</v>
      </c>
      <c r="L978" s="1" t="s">
        <v>445</v>
      </c>
      <c r="M978" s="1" t="s">
        <v>496</v>
      </c>
      <c r="N978" s="1" t="s">
        <v>3296</v>
      </c>
      <c r="O978" s="1" t="s">
        <v>447</v>
      </c>
      <c r="P978" s="1"/>
      <c r="Q978" s="1" t="s">
        <v>70</v>
      </c>
      <c r="Z978" s="1" t="s">
        <v>71</v>
      </c>
      <c r="AE978" s="1" t="s">
        <v>3270</v>
      </c>
      <c r="AH978" s="1" t="s">
        <v>73</v>
      </c>
      <c r="AK978" s="1" t="s">
        <v>71</v>
      </c>
      <c r="AM978" s="1" t="s">
        <v>71</v>
      </c>
      <c r="AN978" s="1" t="s">
        <v>71</v>
      </c>
      <c r="AS978" s="1" t="s">
        <v>71</v>
      </c>
      <c r="AX978" s="1" t="s">
        <v>71</v>
      </c>
      <c r="BH978" s="1" t="s">
        <v>71</v>
      </c>
    </row>
    <row r="979" customFormat="false" ht="15" hidden="false" customHeight="false" outlineLevel="0" collapsed="false">
      <c r="A979" s="1" t="s">
        <v>3297</v>
      </c>
      <c r="B979" s="1" t="s">
        <v>3298</v>
      </c>
      <c r="C979" s="1" t="s">
        <v>3273</v>
      </c>
      <c r="D979" s="1" t="s">
        <v>3274</v>
      </c>
      <c r="E979" s="1" t="s">
        <v>82</v>
      </c>
      <c r="F979" s="1" t="s">
        <v>391</v>
      </c>
      <c r="G979" s="1" t="s">
        <v>443</v>
      </c>
      <c r="H979" s="1" t="s">
        <v>444</v>
      </c>
      <c r="K979" s="1" t="s">
        <v>61</v>
      </c>
      <c r="L979" s="1" t="s">
        <v>445</v>
      </c>
      <c r="M979" s="1" t="s">
        <v>496</v>
      </c>
      <c r="N979" s="1" t="s">
        <v>3299</v>
      </c>
      <c r="O979" s="1" t="s">
        <v>3300</v>
      </c>
      <c r="P979" s="1"/>
      <c r="Q979" s="1" t="s">
        <v>70</v>
      </c>
      <c r="Z979" s="1" t="s">
        <v>71</v>
      </c>
      <c r="AE979" s="1" t="s">
        <v>3270</v>
      </c>
      <c r="AH979" s="1" t="s">
        <v>73</v>
      </c>
      <c r="AK979" s="1" t="s">
        <v>71</v>
      </c>
      <c r="AM979" s="1" t="s">
        <v>71</v>
      </c>
      <c r="AN979" s="1" t="s">
        <v>71</v>
      </c>
      <c r="AS979" s="1" t="s">
        <v>71</v>
      </c>
      <c r="AX979" s="1" t="s">
        <v>71</v>
      </c>
      <c r="BH979" s="1" t="s">
        <v>71</v>
      </c>
    </row>
    <row r="980" customFormat="false" ht="15" hidden="false" customHeight="false" outlineLevel="0" collapsed="false">
      <c r="A980" s="1" t="s">
        <v>3301</v>
      </c>
      <c r="B980" s="1" t="s">
        <v>3302</v>
      </c>
      <c r="C980" s="1" t="s">
        <v>3273</v>
      </c>
      <c r="D980" s="1" t="s">
        <v>3274</v>
      </c>
      <c r="E980" s="1" t="s">
        <v>82</v>
      </c>
      <c r="F980" s="1" t="s">
        <v>391</v>
      </c>
      <c r="G980" s="1" t="s">
        <v>443</v>
      </c>
      <c r="H980" s="1" t="s">
        <v>444</v>
      </c>
      <c r="K980" s="1" t="s">
        <v>61</v>
      </c>
      <c r="L980" s="1" t="s">
        <v>445</v>
      </c>
      <c r="M980" s="1" t="s">
        <v>1716</v>
      </c>
      <c r="N980" s="1" t="s">
        <v>3303</v>
      </c>
      <c r="O980" s="1" t="s">
        <v>400</v>
      </c>
      <c r="P980" s="1"/>
      <c r="Q980" s="1" t="s">
        <v>70</v>
      </c>
      <c r="Z980" s="1" t="s">
        <v>71</v>
      </c>
      <c r="AE980" s="1" t="s">
        <v>3270</v>
      </c>
      <c r="AH980" s="1" t="s">
        <v>73</v>
      </c>
      <c r="AK980" s="1" t="s">
        <v>71</v>
      </c>
      <c r="AM980" s="1" t="s">
        <v>71</v>
      </c>
      <c r="AN980" s="1" t="s">
        <v>71</v>
      </c>
      <c r="AS980" s="1" t="s">
        <v>71</v>
      </c>
      <c r="AX980" s="1" t="s">
        <v>71</v>
      </c>
      <c r="BH980" s="1" t="s">
        <v>71</v>
      </c>
    </row>
    <row r="981" customFormat="false" ht="15" hidden="false" customHeight="false" outlineLevel="0" collapsed="false">
      <c r="A981" s="1" t="s">
        <v>3304</v>
      </c>
      <c r="B981" s="1" t="s">
        <v>3305</v>
      </c>
      <c r="C981" s="1" t="s">
        <v>992</v>
      </c>
      <c r="D981" s="1" t="s">
        <v>3306</v>
      </c>
      <c r="E981" s="1" t="s">
        <v>82</v>
      </c>
      <c r="F981" s="1" t="s">
        <v>391</v>
      </c>
      <c r="G981" s="1" t="s">
        <v>443</v>
      </c>
      <c r="H981" s="1" t="s">
        <v>444</v>
      </c>
      <c r="K981" s="1" t="s">
        <v>61</v>
      </c>
      <c r="L981" s="1" t="s">
        <v>445</v>
      </c>
      <c r="M981" s="1" t="s">
        <v>496</v>
      </c>
      <c r="N981" s="1" t="s">
        <v>3118</v>
      </c>
      <c r="O981" s="1" t="s">
        <v>3119</v>
      </c>
      <c r="P981" s="1"/>
      <c r="Q981" s="1" t="s">
        <v>70</v>
      </c>
      <c r="Z981" s="1" t="s">
        <v>71</v>
      </c>
      <c r="AE981" s="1" t="s">
        <v>3270</v>
      </c>
      <c r="AH981" s="1" t="s">
        <v>73</v>
      </c>
      <c r="AK981" s="1" t="s">
        <v>71</v>
      </c>
      <c r="AM981" s="1" t="s">
        <v>71</v>
      </c>
      <c r="AN981" s="1" t="s">
        <v>71</v>
      </c>
      <c r="AS981" s="1" t="s">
        <v>71</v>
      </c>
      <c r="AX981" s="1" t="s">
        <v>71</v>
      </c>
      <c r="BH981" s="1" t="s">
        <v>71</v>
      </c>
    </row>
    <row r="982" customFormat="false" ht="15" hidden="false" customHeight="false" outlineLevel="0" collapsed="false">
      <c r="A982" s="1" t="s">
        <v>3307</v>
      </c>
      <c r="B982" s="1" t="s">
        <v>3308</v>
      </c>
      <c r="C982" s="1" t="s">
        <v>3273</v>
      </c>
      <c r="D982" s="1" t="s">
        <v>3274</v>
      </c>
      <c r="E982" s="1" t="s">
        <v>82</v>
      </c>
      <c r="F982" s="1" t="s">
        <v>391</v>
      </c>
      <c r="G982" s="1" t="s">
        <v>443</v>
      </c>
      <c r="H982" s="1" t="s">
        <v>444</v>
      </c>
      <c r="K982" s="1" t="s">
        <v>61</v>
      </c>
      <c r="L982" s="1" t="s">
        <v>445</v>
      </c>
      <c r="M982" s="1" t="s">
        <v>806</v>
      </c>
      <c r="N982" s="1" t="s">
        <v>3309</v>
      </c>
      <c r="O982" s="1" t="s">
        <v>3310</v>
      </c>
      <c r="P982" s="1"/>
      <c r="Q982" s="1" t="s">
        <v>70</v>
      </c>
      <c r="Z982" s="1" t="s">
        <v>71</v>
      </c>
      <c r="AE982" s="1" t="s">
        <v>3270</v>
      </c>
      <c r="AH982" s="1" t="s">
        <v>73</v>
      </c>
      <c r="AK982" s="1" t="s">
        <v>71</v>
      </c>
      <c r="AM982" s="1" t="s">
        <v>71</v>
      </c>
      <c r="AN982" s="1" t="s">
        <v>71</v>
      </c>
      <c r="AS982" s="1" t="s">
        <v>71</v>
      </c>
      <c r="AX982" s="1" t="s">
        <v>71</v>
      </c>
      <c r="BH982" s="1" t="s">
        <v>71</v>
      </c>
    </row>
    <row r="983" customFormat="false" ht="15" hidden="false" customHeight="false" outlineLevel="0" collapsed="false">
      <c r="A983" s="1" t="s">
        <v>3311</v>
      </c>
      <c r="B983" s="1" t="s">
        <v>3312</v>
      </c>
      <c r="C983" s="1" t="s">
        <v>526</v>
      </c>
      <c r="D983" s="1" t="s">
        <v>527</v>
      </c>
      <c r="E983" s="1" t="s">
        <v>82</v>
      </c>
      <c r="F983" s="1" t="s">
        <v>391</v>
      </c>
      <c r="G983" s="1" t="s">
        <v>213</v>
      </c>
      <c r="H983" s="1" t="s">
        <v>477</v>
      </c>
      <c r="K983" s="1" t="s">
        <v>478</v>
      </c>
      <c r="L983" s="1" t="s">
        <v>479</v>
      </c>
      <c r="M983" s="1" t="s">
        <v>496</v>
      </c>
      <c r="N983" s="1" t="s">
        <v>3313</v>
      </c>
      <c r="O983" s="1" t="s">
        <v>1778</v>
      </c>
      <c r="P983" s="1"/>
      <c r="Q983" s="1" t="s">
        <v>70</v>
      </c>
      <c r="Z983" s="1" t="s">
        <v>71</v>
      </c>
      <c r="AE983" s="1" t="s">
        <v>3270</v>
      </c>
      <c r="AH983" s="1" t="s">
        <v>73</v>
      </c>
      <c r="AK983" s="1" t="s">
        <v>71</v>
      </c>
      <c r="AM983" s="1" t="s">
        <v>71</v>
      </c>
      <c r="AN983" s="1" t="s">
        <v>71</v>
      </c>
      <c r="AS983" s="1" t="s">
        <v>71</v>
      </c>
      <c r="AX983" s="1" t="s">
        <v>71</v>
      </c>
      <c r="BH983" s="1" t="s">
        <v>71</v>
      </c>
    </row>
    <row r="984" customFormat="false" ht="15" hidden="false" customHeight="false" outlineLevel="0" collapsed="false">
      <c r="A984" s="1" t="s">
        <v>3314</v>
      </c>
      <c r="B984" s="1" t="s">
        <v>3315</v>
      </c>
      <c r="C984" s="1" t="s">
        <v>453</v>
      </c>
      <c r="D984" s="1" t="s">
        <v>2008</v>
      </c>
      <c r="E984" s="1" t="s">
        <v>82</v>
      </c>
      <c r="F984" s="1" t="s">
        <v>391</v>
      </c>
      <c r="G984" s="1" t="s">
        <v>443</v>
      </c>
      <c r="H984" s="1" t="s">
        <v>444</v>
      </c>
      <c r="K984" s="1" t="s">
        <v>61</v>
      </c>
      <c r="L984" s="1" t="s">
        <v>445</v>
      </c>
      <c r="M984" s="1" t="s">
        <v>806</v>
      </c>
      <c r="N984" s="1" t="s">
        <v>2009</v>
      </c>
      <c r="O984" s="1" t="s">
        <v>2010</v>
      </c>
      <c r="P984" s="1"/>
      <c r="Q984" s="1" t="s">
        <v>70</v>
      </c>
      <c r="Z984" s="1" t="s">
        <v>71</v>
      </c>
      <c r="AE984" s="1" t="s">
        <v>3270</v>
      </c>
      <c r="AH984" s="1" t="s">
        <v>73</v>
      </c>
      <c r="AK984" s="1" t="s">
        <v>71</v>
      </c>
      <c r="AM984" s="1" t="s">
        <v>71</v>
      </c>
      <c r="AN984" s="1" t="s">
        <v>71</v>
      </c>
      <c r="AS984" s="1" t="s">
        <v>71</v>
      </c>
      <c r="AX984" s="1" t="s">
        <v>71</v>
      </c>
      <c r="BH984" s="1" t="s">
        <v>71</v>
      </c>
    </row>
    <row r="985" customFormat="false" ht="15" hidden="false" customHeight="false" outlineLevel="0" collapsed="false">
      <c r="A985" s="1" t="s">
        <v>3316</v>
      </c>
      <c r="B985" s="1" t="s">
        <v>3317</v>
      </c>
      <c r="C985" s="1" t="s">
        <v>353</v>
      </c>
      <c r="D985" s="1" t="s">
        <v>1771</v>
      </c>
      <c r="E985" s="1" t="s">
        <v>82</v>
      </c>
      <c r="F985" s="1" t="s">
        <v>391</v>
      </c>
      <c r="G985" s="1" t="s">
        <v>213</v>
      </c>
      <c r="H985" s="1" t="s">
        <v>477</v>
      </c>
      <c r="K985" s="1" t="s">
        <v>1904</v>
      </c>
      <c r="L985" s="1" t="s">
        <v>1905</v>
      </c>
      <c r="M985" s="1" t="s">
        <v>496</v>
      </c>
      <c r="N985" s="1" t="s">
        <v>639</v>
      </c>
      <c r="O985" s="1" t="s">
        <v>640</v>
      </c>
      <c r="P985" s="1"/>
      <c r="Q985" s="1" t="s">
        <v>70</v>
      </c>
      <c r="Z985" s="1" t="s">
        <v>71</v>
      </c>
      <c r="AE985" s="1" t="s">
        <v>3318</v>
      </c>
      <c r="AH985" s="1" t="s">
        <v>73</v>
      </c>
      <c r="AK985" s="1" t="s">
        <v>71</v>
      </c>
      <c r="AM985" s="1" t="s">
        <v>71</v>
      </c>
      <c r="AN985" s="1" t="s">
        <v>71</v>
      </c>
      <c r="AS985" s="1" t="s">
        <v>71</v>
      </c>
      <c r="AX985" s="1" t="s">
        <v>71</v>
      </c>
      <c r="BH985" s="1" t="s">
        <v>71</v>
      </c>
    </row>
    <row r="986" customFormat="false" ht="15" hidden="false" customHeight="false" outlineLevel="0" collapsed="false">
      <c r="A986" s="1" t="s">
        <v>3319</v>
      </c>
      <c r="B986" s="1" t="s">
        <v>3320</v>
      </c>
      <c r="C986" s="1" t="s">
        <v>769</v>
      </c>
      <c r="D986" s="1" t="s">
        <v>390</v>
      </c>
      <c r="E986" s="1" t="s">
        <v>82</v>
      </c>
      <c r="F986" s="1" t="s">
        <v>391</v>
      </c>
      <c r="G986" s="1" t="s">
        <v>443</v>
      </c>
      <c r="H986" s="1" t="s">
        <v>444</v>
      </c>
      <c r="K986" s="1" t="s">
        <v>61</v>
      </c>
      <c r="L986" s="1" t="s">
        <v>445</v>
      </c>
      <c r="M986" s="1" t="s">
        <v>496</v>
      </c>
      <c r="N986" s="1" t="s">
        <v>2691</v>
      </c>
      <c r="O986" s="1" t="s">
        <v>400</v>
      </c>
      <c r="P986" s="1"/>
      <c r="Q986" s="1" t="s">
        <v>70</v>
      </c>
      <c r="Z986" s="1" t="s">
        <v>71</v>
      </c>
      <c r="AE986" s="1" t="s">
        <v>3318</v>
      </c>
      <c r="AH986" s="1" t="s">
        <v>73</v>
      </c>
      <c r="AK986" s="1" t="s">
        <v>71</v>
      </c>
      <c r="AM986" s="1" t="s">
        <v>71</v>
      </c>
      <c r="AN986" s="1" t="s">
        <v>71</v>
      </c>
      <c r="AS986" s="1" t="s">
        <v>71</v>
      </c>
      <c r="AX986" s="1" t="s">
        <v>71</v>
      </c>
      <c r="BH986" s="1" t="s">
        <v>71</v>
      </c>
    </row>
    <row r="987" customFormat="false" ht="15" hidden="false" customHeight="false" outlineLevel="0" collapsed="false">
      <c r="A987" s="1" t="s">
        <v>3321</v>
      </c>
      <c r="B987" s="1" t="s">
        <v>3322</v>
      </c>
      <c r="C987" s="1" t="s">
        <v>769</v>
      </c>
      <c r="D987" s="1" t="s">
        <v>390</v>
      </c>
      <c r="E987" s="1" t="s">
        <v>82</v>
      </c>
      <c r="F987" s="1" t="s">
        <v>391</v>
      </c>
      <c r="G987" s="1" t="s">
        <v>443</v>
      </c>
      <c r="H987" s="1" t="s">
        <v>444</v>
      </c>
      <c r="K987" s="1" t="s">
        <v>61</v>
      </c>
      <c r="L987" s="1" t="s">
        <v>445</v>
      </c>
      <c r="M987" s="1" t="s">
        <v>496</v>
      </c>
      <c r="N987" s="1" t="s">
        <v>2691</v>
      </c>
      <c r="O987" s="1" t="s">
        <v>400</v>
      </c>
      <c r="P987" s="1"/>
      <c r="Q987" s="1" t="s">
        <v>70</v>
      </c>
      <c r="Z987" s="1" t="s">
        <v>71</v>
      </c>
      <c r="AE987" s="1" t="s">
        <v>3318</v>
      </c>
      <c r="AH987" s="1" t="s">
        <v>73</v>
      </c>
      <c r="AK987" s="1" t="s">
        <v>71</v>
      </c>
      <c r="AM987" s="1" t="s">
        <v>71</v>
      </c>
      <c r="AN987" s="1" t="s">
        <v>71</v>
      </c>
      <c r="AS987" s="1" t="s">
        <v>71</v>
      </c>
      <c r="AX987" s="1" t="s">
        <v>71</v>
      </c>
      <c r="BH987" s="1" t="s">
        <v>71</v>
      </c>
    </row>
    <row r="988" customFormat="false" ht="15" hidden="false" customHeight="false" outlineLevel="0" collapsed="false">
      <c r="A988" s="1" t="s">
        <v>3323</v>
      </c>
      <c r="B988" s="1" t="s">
        <v>3324</v>
      </c>
      <c r="C988" s="1" t="s">
        <v>769</v>
      </c>
      <c r="D988" s="1" t="s">
        <v>390</v>
      </c>
      <c r="E988" s="1" t="s">
        <v>82</v>
      </c>
      <c r="F988" s="1" t="s">
        <v>391</v>
      </c>
      <c r="G988" s="1" t="s">
        <v>443</v>
      </c>
      <c r="H988" s="1" t="s">
        <v>444</v>
      </c>
      <c r="K988" s="1" t="s">
        <v>61</v>
      </c>
      <c r="L988" s="1" t="s">
        <v>445</v>
      </c>
      <c r="M988" s="1" t="s">
        <v>496</v>
      </c>
      <c r="N988" s="1" t="s">
        <v>984</v>
      </c>
      <c r="O988" s="1" t="s">
        <v>985</v>
      </c>
      <c r="P988" s="1"/>
      <c r="Q988" s="1" t="s">
        <v>70</v>
      </c>
      <c r="Z988" s="1" t="s">
        <v>71</v>
      </c>
      <c r="AE988" s="1" t="s">
        <v>3318</v>
      </c>
      <c r="AH988" s="1" t="s">
        <v>73</v>
      </c>
      <c r="AK988" s="1" t="s">
        <v>71</v>
      </c>
      <c r="AM988" s="1" t="s">
        <v>71</v>
      </c>
      <c r="AN988" s="1" t="s">
        <v>71</v>
      </c>
      <c r="AS988" s="1" t="s">
        <v>71</v>
      </c>
      <c r="AX988" s="1" t="s">
        <v>71</v>
      </c>
      <c r="BH988" s="1" t="s">
        <v>71</v>
      </c>
    </row>
    <row r="989" customFormat="false" ht="15" hidden="false" customHeight="false" outlineLevel="0" collapsed="false">
      <c r="A989" s="1" t="s">
        <v>3325</v>
      </c>
      <c r="B989" s="1" t="s">
        <v>3326</v>
      </c>
      <c r="C989" s="1" t="s">
        <v>769</v>
      </c>
      <c r="D989" s="1" t="s">
        <v>390</v>
      </c>
      <c r="E989" s="1" t="s">
        <v>82</v>
      </c>
      <c r="F989" s="1" t="s">
        <v>391</v>
      </c>
      <c r="G989" s="1" t="s">
        <v>443</v>
      </c>
      <c r="H989" s="1" t="s">
        <v>444</v>
      </c>
      <c r="K989" s="1" t="s">
        <v>61</v>
      </c>
      <c r="L989" s="1" t="s">
        <v>445</v>
      </c>
      <c r="M989" s="1" t="s">
        <v>496</v>
      </c>
      <c r="N989" s="1" t="s">
        <v>1068</v>
      </c>
      <c r="O989" s="1" t="s">
        <v>400</v>
      </c>
      <c r="P989" s="1"/>
      <c r="Q989" s="1" t="s">
        <v>70</v>
      </c>
      <c r="Z989" s="1" t="s">
        <v>71</v>
      </c>
      <c r="AE989" s="1" t="s">
        <v>3318</v>
      </c>
      <c r="AH989" s="1" t="s">
        <v>73</v>
      </c>
      <c r="AK989" s="1" t="s">
        <v>71</v>
      </c>
      <c r="AM989" s="1" t="s">
        <v>71</v>
      </c>
      <c r="AN989" s="1" t="s">
        <v>71</v>
      </c>
      <c r="AS989" s="1" t="s">
        <v>71</v>
      </c>
      <c r="AX989" s="1" t="s">
        <v>71</v>
      </c>
      <c r="BH989" s="1" t="s">
        <v>71</v>
      </c>
    </row>
    <row r="990" customFormat="false" ht="15" hidden="false" customHeight="false" outlineLevel="0" collapsed="false">
      <c r="A990" s="1" t="s">
        <v>3327</v>
      </c>
      <c r="B990" s="1" t="s">
        <v>3328</v>
      </c>
      <c r="C990" s="1" t="s">
        <v>3329</v>
      </c>
      <c r="D990" s="1" t="s">
        <v>3330</v>
      </c>
      <c r="E990" s="1" t="s">
        <v>82</v>
      </c>
      <c r="F990" s="1" t="s">
        <v>391</v>
      </c>
      <c r="G990" s="1" t="s">
        <v>443</v>
      </c>
      <c r="H990" s="1" t="s">
        <v>444</v>
      </c>
      <c r="K990" s="1" t="s">
        <v>61</v>
      </c>
      <c r="L990" s="1" t="s">
        <v>445</v>
      </c>
      <c r="M990" s="1" t="s">
        <v>496</v>
      </c>
      <c r="N990" s="1" t="s">
        <v>3331</v>
      </c>
      <c r="O990" s="1" t="s">
        <v>3332</v>
      </c>
      <c r="P990" s="1"/>
      <c r="Q990" s="1" t="s">
        <v>70</v>
      </c>
      <c r="Z990" s="1" t="s">
        <v>71</v>
      </c>
      <c r="AE990" s="1" t="s">
        <v>3333</v>
      </c>
      <c r="AH990" s="1" t="s">
        <v>73</v>
      </c>
      <c r="AK990" s="1" t="s">
        <v>71</v>
      </c>
      <c r="AM990" s="1" t="s">
        <v>71</v>
      </c>
      <c r="AN990" s="1" t="s">
        <v>71</v>
      </c>
      <c r="AS990" s="1" t="s">
        <v>71</v>
      </c>
      <c r="AX990" s="1" t="s">
        <v>71</v>
      </c>
      <c r="BH990" s="1" t="s">
        <v>71</v>
      </c>
    </row>
    <row r="991" customFormat="false" ht="15" hidden="false" customHeight="false" outlineLevel="0" collapsed="false">
      <c r="A991" s="1" t="s">
        <v>3334</v>
      </c>
      <c r="B991" s="1" t="s">
        <v>3335</v>
      </c>
      <c r="C991" s="1" t="s">
        <v>353</v>
      </c>
      <c r="D991" s="1" t="s">
        <v>1771</v>
      </c>
      <c r="E991" s="1" t="s">
        <v>82</v>
      </c>
      <c r="F991" s="1" t="s">
        <v>391</v>
      </c>
      <c r="G991" s="1" t="s">
        <v>213</v>
      </c>
      <c r="H991" s="1" t="s">
        <v>477</v>
      </c>
      <c r="K991" s="1" t="s">
        <v>1904</v>
      </c>
      <c r="L991" s="1" t="s">
        <v>1905</v>
      </c>
      <c r="M991" s="1" t="s">
        <v>496</v>
      </c>
      <c r="N991" s="1" t="s">
        <v>884</v>
      </c>
      <c r="O991" s="1" t="s">
        <v>447</v>
      </c>
      <c r="P991" s="1"/>
      <c r="Q991" s="1" t="s">
        <v>70</v>
      </c>
      <c r="Z991" s="1" t="s">
        <v>71</v>
      </c>
      <c r="AE991" s="1" t="s">
        <v>3336</v>
      </c>
      <c r="AH991" s="1" t="s">
        <v>73</v>
      </c>
      <c r="AK991" s="1" t="s">
        <v>71</v>
      </c>
      <c r="AM991" s="1" t="s">
        <v>71</v>
      </c>
      <c r="AN991" s="1" t="s">
        <v>71</v>
      </c>
      <c r="AS991" s="1" t="s">
        <v>71</v>
      </c>
      <c r="AX991" s="1" t="s">
        <v>71</v>
      </c>
      <c r="BH991" s="1" t="s">
        <v>71</v>
      </c>
    </row>
    <row r="992" customFormat="false" ht="15" hidden="false" customHeight="false" outlineLevel="0" collapsed="false">
      <c r="A992" s="1" t="s">
        <v>3337</v>
      </c>
      <c r="B992" s="1" t="s">
        <v>3338</v>
      </c>
      <c r="C992" s="1" t="s">
        <v>353</v>
      </c>
      <c r="D992" s="1" t="s">
        <v>1771</v>
      </c>
      <c r="E992" s="1" t="s">
        <v>82</v>
      </c>
      <c r="F992" s="1" t="s">
        <v>391</v>
      </c>
      <c r="G992" s="1" t="s">
        <v>213</v>
      </c>
      <c r="H992" s="1" t="s">
        <v>477</v>
      </c>
      <c r="K992" s="1" t="s">
        <v>1904</v>
      </c>
      <c r="L992" s="1" t="s">
        <v>1905</v>
      </c>
      <c r="M992" s="1" t="s">
        <v>496</v>
      </c>
      <c r="N992" s="1" t="s">
        <v>894</v>
      </c>
      <c r="O992" s="1" t="s">
        <v>400</v>
      </c>
      <c r="P992" s="1"/>
      <c r="Q992" s="1" t="s">
        <v>70</v>
      </c>
      <c r="Z992" s="1" t="s">
        <v>71</v>
      </c>
      <c r="AE992" s="1" t="s">
        <v>3336</v>
      </c>
      <c r="AH992" s="1" t="s">
        <v>73</v>
      </c>
      <c r="AK992" s="1" t="s">
        <v>71</v>
      </c>
      <c r="AM992" s="1" t="s">
        <v>71</v>
      </c>
      <c r="AN992" s="1" t="s">
        <v>71</v>
      </c>
      <c r="AS992" s="1" t="s">
        <v>71</v>
      </c>
      <c r="AX992" s="1" t="s">
        <v>71</v>
      </c>
      <c r="BH992" s="1" t="s">
        <v>71</v>
      </c>
    </row>
    <row r="993" customFormat="false" ht="15" hidden="false" customHeight="false" outlineLevel="0" collapsed="false">
      <c r="A993" s="1" t="s">
        <v>3339</v>
      </c>
      <c r="B993" s="1" t="s">
        <v>3340</v>
      </c>
      <c r="C993" s="1" t="s">
        <v>353</v>
      </c>
      <c r="D993" s="1" t="s">
        <v>1771</v>
      </c>
      <c r="E993" s="1" t="s">
        <v>82</v>
      </c>
      <c r="F993" s="1" t="s">
        <v>391</v>
      </c>
      <c r="G993" s="1" t="s">
        <v>213</v>
      </c>
      <c r="H993" s="1" t="s">
        <v>477</v>
      </c>
      <c r="K993" s="1" t="s">
        <v>1904</v>
      </c>
      <c r="L993" s="1" t="s">
        <v>1905</v>
      </c>
      <c r="M993" s="1" t="s">
        <v>692</v>
      </c>
      <c r="N993" s="1" t="s">
        <v>536</v>
      </c>
      <c r="O993" s="1" t="s">
        <v>537</v>
      </c>
      <c r="P993" s="1"/>
      <c r="Q993" s="1" t="s">
        <v>70</v>
      </c>
      <c r="Z993" s="1" t="s">
        <v>71</v>
      </c>
      <c r="AE993" s="1" t="s">
        <v>3336</v>
      </c>
      <c r="AH993" s="1" t="s">
        <v>73</v>
      </c>
      <c r="AK993" s="1" t="s">
        <v>71</v>
      </c>
      <c r="AM993" s="1" t="s">
        <v>71</v>
      </c>
      <c r="AN993" s="1" t="s">
        <v>71</v>
      </c>
      <c r="AS993" s="1" t="s">
        <v>71</v>
      </c>
      <c r="AX993" s="1" t="s">
        <v>71</v>
      </c>
      <c r="BH993" s="1" t="s">
        <v>71</v>
      </c>
    </row>
    <row r="994" customFormat="false" ht="15" hidden="false" customHeight="false" outlineLevel="0" collapsed="false">
      <c r="A994" s="1" t="s">
        <v>3341</v>
      </c>
      <c r="B994" s="1" t="s">
        <v>3342</v>
      </c>
      <c r="C994" s="1" t="s">
        <v>353</v>
      </c>
      <c r="D994" s="1" t="s">
        <v>1771</v>
      </c>
      <c r="E994" s="1" t="s">
        <v>82</v>
      </c>
      <c r="F994" s="1" t="s">
        <v>391</v>
      </c>
      <c r="G994" s="1" t="s">
        <v>213</v>
      </c>
      <c r="H994" s="1" t="s">
        <v>477</v>
      </c>
      <c r="K994" s="1" t="s">
        <v>1904</v>
      </c>
      <c r="L994" s="1" t="s">
        <v>1905</v>
      </c>
      <c r="M994" s="1" t="s">
        <v>496</v>
      </c>
      <c r="N994" s="1" t="s">
        <v>1751</v>
      </c>
      <c r="O994" s="1" t="s">
        <v>400</v>
      </c>
      <c r="P994" s="1"/>
      <c r="Q994" s="1" t="s">
        <v>70</v>
      </c>
      <c r="Z994" s="1" t="s">
        <v>71</v>
      </c>
      <c r="AE994" s="1" t="s">
        <v>3336</v>
      </c>
      <c r="AH994" s="1" t="s">
        <v>73</v>
      </c>
      <c r="AK994" s="1" t="s">
        <v>71</v>
      </c>
      <c r="AM994" s="1" t="s">
        <v>71</v>
      </c>
      <c r="AN994" s="1" t="s">
        <v>71</v>
      </c>
      <c r="AS994" s="1" t="s">
        <v>71</v>
      </c>
      <c r="AX994" s="1" t="s">
        <v>71</v>
      </c>
      <c r="BH994" s="1" t="s">
        <v>71</v>
      </c>
    </row>
    <row r="995" customFormat="false" ht="15" hidden="false" customHeight="false" outlineLevel="0" collapsed="false">
      <c r="A995" s="1" t="s">
        <v>3343</v>
      </c>
      <c r="B995" s="1" t="s">
        <v>3344</v>
      </c>
      <c r="C995" s="1" t="s">
        <v>659</v>
      </c>
      <c r="D995" s="1" t="s">
        <v>2329</v>
      </c>
      <c r="E995" s="1" t="s">
        <v>82</v>
      </c>
      <c r="F995" s="1" t="s">
        <v>391</v>
      </c>
      <c r="G995" s="1" t="s">
        <v>443</v>
      </c>
      <c r="H995" s="1" t="s">
        <v>444</v>
      </c>
      <c r="K995" s="1" t="s">
        <v>1927</v>
      </c>
      <c r="L995" s="1" t="s">
        <v>1928</v>
      </c>
      <c r="M995" s="1" t="s">
        <v>2020</v>
      </c>
      <c r="N995" s="1" t="s">
        <v>3345</v>
      </c>
      <c r="O995" s="1" t="s">
        <v>3346</v>
      </c>
      <c r="P995" s="1"/>
      <c r="Q995" s="1" t="s">
        <v>70</v>
      </c>
      <c r="Z995" s="1" t="s">
        <v>71</v>
      </c>
      <c r="AE995" s="1" t="s">
        <v>3347</v>
      </c>
      <c r="AH995" s="1" t="s">
        <v>73</v>
      </c>
      <c r="AK995" s="1" t="s">
        <v>71</v>
      </c>
      <c r="AM995" s="1" t="s">
        <v>71</v>
      </c>
      <c r="AN995" s="1" t="s">
        <v>71</v>
      </c>
      <c r="AS995" s="1" t="s">
        <v>71</v>
      </c>
      <c r="AX995" s="1" t="s">
        <v>71</v>
      </c>
      <c r="BH995" s="1" t="s">
        <v>71</v>
      </c>
    </row>
    <row r="996" customFormat="false" ht="15" hidden="false" customHeight="false" outlineLevel="0" collapsed="false">
      <c r="A996" s="1" t="s">
        <v>3348</v>
      </c>
      <c r="B996" s="1" t="s">
        <v>3349</v>
      </c>
      <c r="C996" s="1" t="s">
        <v>659</v>
      </c>
      <c r="D996" s="1" t="s">
        <v>2329</v>
      </c>
      <c r="E996" s="1" t="s">
        <v>82</v>
      </c>
      <c r="F996" s="1" t="s">
        <v>391</v>
      </c>
      <c r="G996" s="1" t="s">
        <v>443</v>
      </c>
      <c r="H996" s="1" t="s">
        <v>444</v>
      </c>
      <c r="K996" s="1" t="s">
        <v>2214</v>
      </c>
      <c r="L996" s="1" t="s">
        <v>2215</v>
      </c>
      <c r="M996" s="1" t="s">
        <v>2020</v>
      </c>
      <c r="N996" s="1" t="s">
        <v>3004</v>
      </c>
      <c r="O996" s="1" t="s">
        <v>3005</v>
      </c>
      <c r="P996" s="1"/>
      <c r="Q996" s="1" t="s">
        <v>70</v>
      </c>
      <c r="Z996" s="1" t="s">
        <v>71</v>
      </c>
      <c r="AE996" s="1" t="s">
        <v>3347</v>
      </c>
      <c r="AH996" s="1" t="s">
        <v>73</v>
      </c>
      <c r="AK996" s="1" t="s">
        <v>71</v>
      </c>
      <c r="AM996" s="1" t="s">
        <v>71</v>
      </c>
      <c r="AN996" s="1" t="s">
        <v>71</v>
      </c>
      <c r="AS996" s="1" t="s">
        <v>71</v>
      </c>
      <c r="AX996" s="1" t="s">
        <v>71</v>
      </c>
      <c r="BH996" s="1" t="s">
        <v>71</v>
      </c>
    </row>
    <row r="997" customFormat="false" ht="15" hidden="false" customHeight="false" outlineLevel="0" collapsed="false">
      <c r="A997" s="1" t="s">
        <v>3350</v>
      </c>
      <c r="B997" s="1" t="s">
        <v>3351</v>
      </c>
      <c r="C997" s="1" t="s">
        <v>969</v>
      </c>
      <c r="D997" s="1" t="s">
        <v>3352</v>
      </c>
      <c r="E997" s="1" t="s">
        <v>82</v>
      </c>
      <c r="F997" s="1" t="s">
        <v>391</v>
      </c>
      <c r="G997" s="1" t="s">
        <v>443</v>
      </c>
      <c r="H997" s="1" t="s">
        <v>444</v>
      </c>
      <c r="K997" s="1" t="s">
        <v>61</v>
      </c>
      <c r="L997" s="1" t="s">
        <v>445</v>
      </c>
      <c r="M997" s="1" t="s">
        <v>3353</v>
      </c>
      <c r="N997" s="1" t="s">
        <v>3354</v>
      </c>
      <c r="O997" s="1" t="s">
        <v>400</v>
      </c>
      <c r="P997" s="1"/>
      <c r="Q997" s="1" t="s">
        <v>70</v>
      </c>
      <c r="Z997" s="1" t="s">
        <v>71</v>
      </c>
      <c r="AE997" s="1" t="s">
        <v>3347</v>
      </c>
      <c r="AH997" s="1" t="s">
        <v>73</v>
      </c>
      <c r="AK997" s="1" t="s">
        <v>71</v>
      </c>
      <c r="AM997" s="1" t="s">
        <v>71</v>
      </c>
      <c r="AN997" s="1" t="s">
        <v>71</v>
      </c>
      <c r="AS997" s="1" t="s">
        <v>71</v>
      </c>
      <c r="AX997" s="1" t="s">
        <v>71</v>
      </c>
      <c r="BH997" s="1" t="s">
        <v>71</v>
      </c>
    </row>
    <row r="998" customFormat="false" ht="15" hidden="false" customHeight="false" outlineLevel="0" collapsed="false">
      <c r="A998" s="1" t="s">
        <v>3355</v>
      </c>
      <c r="B998" s="1" t="s">
        <v>3356</v>
      </c>
      <c r="C998" s="1" t="s">
        <v>969</v>
      </c>
      <c r="D998" s="1" t="s">
        <v>3352</v>
      </c>
      <c r="E998" s="1" t="s">
        <v>82</v>
      </c>
      <c r="F998" s="1" t="s">
        <v>391</v>
      </c>
      <c r="G998" s="1" t="s">
        <v>443</v>
      </c>
      <c r="H998" s="1" t="s">
        <v>444</v>
      </c>
      <c r="K998" s="1" t="s">
        <v>61</v>
      </c>
      <c r="L998" s="1" t="s">
        <v>445</v>
      </c>
      <c r="M998" s="1" t="s">
        <v>496</v>
      </c>
      <c r="N998" s="1" t="s">
        <v>2973</v>
      </c>
      <c r="O998" s="1" t="s">
        <v>2974</v>
      </c>
      <c r="P998" s="1"/>
      <c r="Q998" s="1" t="s">
        <v>70</v>
      </c>
      <c r="Z998" s="1" t="s">
        <v>71</v>
      </c>
      <c r="AE998" s="1" t="s">
        <v>3347</v>
      </c>
      <c r="AH998" s="1" t="s">
        <v>73</v>
      </c>
      <c r="AK998" s="1" t="s">
        <v>71</v>
      </c>
      <c r="AM998" s="1" t="s">
        <v>71</v>
      </c>
      <c r="AN998" s="1" t="s">
        <v>71</v>
      </c>
      <c r="AS998" s="1" t="s">
        <v>71</v>
      </c>
      <c r="AX998" s="1" t="s">
        <v>71</v>
      </c>
      <c r="BH998" s="1" t="s">
        <v>71</v>
      </c>
    </row>
    <row r="999" customFormat="false" ht="15" hidden="false" customHeight="false" outlineLevel="0" collapsed="false">
      <c r="A999" s="1" t="s">
        <v>3357</v>
      </c>
      <c r="B999" s="1" t="s">
        <v>3358</v>
      </c>
      <c r="C999" s="1" t="s">
        <v>969</v>
      </c>
      <c r="D999" s="1" t="s">
        <v>3352</v>
      </c>
      <c r="E999" s="1" t="s">
        <v>82</v>
      </c>
      <c r="F999" s="1" t="s">
        <v>391</v>
      </c>
      <c r="G999" s="1" t="s">
        <v>443</v>
      </c>
      <c r="H999" s="1" t="s">
        <v>444</v>
      </c>
      <c r="K999" s="1" t="s">
        <v>61</v>
      </c>
      <c r="L999" s="1" t="s">
        <v>445</v>
      </c>
      <c r="M999" s="1" t="s">
        <v>3359</v>
      </c>
      <c r="N999" s="1" t="s">
        <v>3360</v>
      </c>
      <c r="O999" s="1" t="s">
        <v>3361</v>
      </c>
      <c r="P999" s="1"/>
      <c r="Q999" s="1" t="s">
        <v>70</v>
      </c>
      <c r="Z999" s="1" t="s">
        <v>71</v>
      </c>
      <c r="AE999" s="1" t="s">
        <v>3347</v>
      </c>
      <c r="AH999" s="1" t="s">
        <v>73</v>
      </c>
      <c r="AK999" s="1" t="s">
        <v>71</v>
      </c>
      <c r="AM999" s="1" t="s">
        <v>71</v>
      </c>
      <c r="AN999" s="1" t="s">
        <v>71</v>
      </c>
      <c r="AS999" s="1" t="s">
        <v>71</v>
      </c>
      <c r="AX999" s="1" t="s">
        <v>71</v>
      </c>
      <c r="BH999" s="1" t="s">
        <v>71</v>
      </c>
    </row>
    <row r="1000" customFormat="false" ht="15" hidden="false" customHeight="false" outlineLevel="0" collapsed="false">
      <c r="A1000" s="1" t="s">
        <v>3362</v>
      </c>
      <c r="B1000" s="1" t="s">
        <v>3363</v>
      </c>
      <c r="C1000" s="1" t="s">
        <v>969</v>
      </c>
      <c r="D1000" s="1" t="s">
        <v>3352</v>
      </c>
      <c r="E1000" s="1" t="s">
        <v>82</v>
      </c>
      <c r="F1000" s="1" t="s">
        <v>391</v>
      </c>
      <c r="G1000" s="1" t="s">
        <v>443</v>
      </c>
      <c r="H1000" s="1" t="s">
        <v>444</v>
      </c>
      <c r="K1000" s="1" t="s">
        <v>61</v>
      </c>
      <c r="L1000" s="1" t="s">
        <v>445</v>
      </c>
      <c r="M1000" s="1" t="s">
        <v>496</v>
      </c>
      <c r="N1000" s="1" t="s">
        <v>3360</v>
      </c>
      <c r="O1000" s="1" t="s">
        <v>3361</v>
      </c>
      <c r="P1000" s="1"/>
      <c r="Q1000" s="1" t="s">
        <v>70</v>
      </c>
      <c r="Z1000" s="1" t="s">
        <v>71</v>
      </c>
      <c r="AE1000" s="1" t="s">
        <v>3347</v>
      </c>
      <c r="AH1000" s="1" t="s">
        <v>73</v>
      </c>
      <c r="AK1000" s="1" t="s">
        <v>71</v>
      </c>
      <c r="AM1000" s="1" t="s">
        <v>71</v>
      </c>
      <c r="AN1000" s="1" t="s">
        <v>71</v>
      </c>
      <c r="AS1000" s="1" t="s">
        <v>71</v>
      </c>
      <c r="AX1000" s="1" t="s">
        <v>71</v>
      </c>
      <c r="BH1000" s="1" t="s">
        <v>71</v>
      </c>
    </row>
    <row r="1001" customFormat="false" ht="15" hidden="false" customHeight="false" outlineLevel="0" collapsed="false">
      <c r="A1001" s="1" t="s">
        <v>3364</v>
      </c>
      <c r="B1001" s="1" t="s">
        <v>3365</v>
      </c>
      <c r="C1001" s="1" t="s">
        <v>969</v>
      </c>
      <c r="D1001" s="1" t="s">
        <v>3352</v>
      </c>
      <c r="E1001" s="1" t="s">
        <v>82</v>
      </c>
      <c r="F1001" s="1" t="s">
        <v>391</v>
      </c>
      <c r="G1001" s="1" t="s">
        <v>443</v>
      </c>
      <c r="H1001" s="1" t="s">
        <v>444</v>
      </c>
      <c r="K1001" s="1" t="s">
        <v>61</v>
      </c>
      <c r="L1001" s="1" t="s">
        <v>445</v>
      </c>
      <c r="M1001" s="1" t="s">
        <v>3353</v>
      </c>
      <c r="N1001" s="1" t="s">
        <v>3354</v>
      </c>
      <c r="O1001" s="1" t="s">
        <v>400</v>
      </c>
      <c r="P1001" s="1"/>
      <c r="Q1001" s="1" t="s">
        <v>70</v>
      </c>
      <c r="Z1001" s="1" t="s">
        <v>71</v>
      </c>
      <c r="AE1001" s="1" t="s">
        <v>3366</v>
      </c>
      <c r="AH1001" s="1" t="s">
        <v>73</v>
      </c>
      <c r="AK1001" s="1" t="s">
        <v>71</v>
      </c>
      <c r="AM1001" s="1" t="s">
        <v>71</v>
      </c>
      <c r="AN1001" s="1" t="s">
        <v>71</v>
      </c>
      <c r="AS1001" s="1" t="s">
        <v>71</v>
      </c>
      <c r="AX1001" s="1" t="s">
        <v>71</v>
      </c>
      <c r="BH1001" s="1" t="s">
        <v>71</v>
      </c>
    </row>
    <row r="1002" customFormat="false" ht="15" hidden="false" customHeight="false" outlineLevel="0" collapsed="false">
      <c r="A1002" s="1" t="s">
        <v>3367</v>
      </c>
      <c r="B1002" s="1" t="s">
        <v>3368</v>
      </c>
      <c r="C1002" s="1" t="s">
        <v>969</v>
      </c>
      <c r="D1002" s="1" t="s">
        <v>3352</v>
      </c>
      <c r="E1002" s="1" t="s">
        <v>82</v>
      </c>
      <c r="F1002" s="1" t="s">
        <v>391</v>
      </c>
      <c r="G1002" s="1" t="s">
        <v>443</v>
      </c>
      <c r="H1002" s="1" t="s">
        <v>444</v>
      </c>
      <c r="K1002" s="1" t="s">
        <v>61</v>
      </c>
      <c r="L1002" s="1" t="s">
        <v>445</v>
      </c>
      <c r="M1002" s="1" t="s">
        <v>496</v>
      </c>
      <c r="N1002" s="1" t="s">
        <v>3369</v>
      </c>
      <c r="O1002" s="1" t="s">
        <v>3370</v>
      </c>
      <c r="P1002" s="1"/>
      <c r="Q1002" s="1" t="s">
        <v>70</v>
      </c>
      <c r="Z1002" s="1" t="s">
        <v>71</v>
      </c>
      <c r="AE1002" s="1" t="s">
        <v>3366</v>
      </c>
      <c r="AH1002" s="1" t="s">
        <v>73</v>
      </c>
      <c r="AK1002" s="1" t="s">
        <v>71</v>
      </c>
      <c r="AM1002" s="1" t="s">
        <v>71</v>
      </c>
      <c r="AN1002" s="1" t="s">
        <v>71</v>
      </c>
      <c r="AS1002" s="1" t="s">
        <v>71</v>
      </c>
      <c r="AX1002" s="1" t="s">
        <v>71</v>
      </c>
      <c r="BH1002" s="1" t="s">
        <v>71</v>
      </c>
    </row>
    <row r="1003" customFormat="false" ht="15" hidden="false" customHeight="false" outlineLevel="0" collapsed="false">
      <c r="A1003" s="1" t="s">
        <v>3371</v>
      </c>
      <c r="B1003" s="1" t="s">
        <v>3372</v>
      </c>
      <c r="C1003" s="1" t="s">
        <v>969</v>
      </c>
      <c r="D1003" s="1" t="s">
        <v>3352</v>
      </c>
      <c r="E1003" s="1" t="s">
        <v>82</v>
      </c>
      <c r="F1003" s="1" t="s">
        <v>391</v>
      </c>
      <c r="G1003" s="1" t="s">
        <v>443</v>
      </c>
      <c r="H1003" s="1" t="s">
        <v>444</v>
      </c>
      <c r="K1003" s="1" t="s">
        <v>61</v>
      </c>
      <c r="L1003" s="1" t="s">
        <v>445</v>
      </c>
      <c r="M1003" s="1" t="s">
        <v>496</v>
      </c>
      <c r="N1003" s="1" t="s">
        <v>915</v>
      </c>
      <c r="O1003" s="1" t="s">
        <v>400</v>
      </c>
      <c r="P1003" s="1"/>
      <c r="Q1003" s="1" t="s">
        <v>70</v>
      </c>
      <c r="Z1003" s="1" t="s">
        <v>71</v>
      </c>
      <c r="AE1003" s="1" t="s">
        <v>3366</v>
      </c>
      <c r="AH1003" s="1" t="s">
        <v>73</v>
      </c>
      <c r="AK1003" s="1" t="s">
        <v>71</v>
      </c>
      <c r="AM1003" s="1" t="s">
        <v>71</v>
      </c>
      <c r="AN1003" s="1" t="s">
        <v>71</v>
      </c>
      <c r="AS1003" s="1" t="s">
        <v>71</v>
      </c>
      <c r="AX1003" s="1" t="s">
        <v>71</v>
      </c>
      <c r="BH1003" s="1" t="s">
        <v>71</v>
      </c>
    </row>
    <row r="1004" customFormat="false" ht="15" hidden="false" customHeight="false" outlineLevel="0" collapsed="false">
      <c r="A1004" s="1" t="s">
        <v>3373</v>
      </c>
      <c r="B1004" s="1" t="s">
        <v>3374</v>
      </c>
      <c r="C1004" s="1" t="s">
        <v>969</v>
      </c>
      <c r="D1004" s="1" t="s">
        <v>3352</v>
      </c>
      <c r="E1004" s="1" t="s">
        <v>82</v>
      </c>
      <c r="F1004" s="1" t="s">
        <v>391</v>
      </c>
      <c r="G1004" s="1" t="s">
        <v>443</v>
      </c>
      <c r="H1004" s="1" t="s">
        <v>444</v>
      </c>
      <c r="K1004" s="1" t="s">
        <v>61</v>
      </c>
      <c r="L1004" s="1" t="s">
        <v>445</v>
      </c>
      <c r="M1004" s="1" t="s">
        <v>496</v>
      </c>
      <c r="N1004" s="1" t="s">
        <v>3375</v>
      </c>
      <c r="O1004" s="1" t="s">
        <v>400</v>
      </c>
      <c r="P1004" s="1"/>
      <c r="Q1004" s="1" t="s">
        <v>70</v>
      </c>
      <c r="Z1004" s="1" t="s">
        <v>71</v>
      </c>
      <c r="AE1004" s="1" t="s">
        <v>3366</v>
      </c>
      <c r="AH1004" s="1" t="s">
        <v>73</v>
      </c>
      <c r="AK1004" s="1" t="s">
        <v>71</v>
      </c>
      <c r="AM1004" s="1" t="s">
        <v>71</v>
      </c>
      <c r="AN1004" s="1" t="s">
        <v>71</v>
      </c>
      <c r="AS1004" s="1" t="s">
        <v>71</v>
      </c>
      <c r="AX1004" s="1" t="s">
        <v>71</v>
      </c>
      <c r="BH1004" s="1" t="s">
        <v>71</v>
      </c>
    </row>
    <row r="1005" customFormat="false" ht="15" hidden="false" customHeight="false" outlineLevel="0" collapsed="false">
      <c r="A1005" s="1" t="s">
        <v>3376</v>
      </c>
      <c r="B1005" s="1" t="s">
        <v>3377</v>
      </c>
      <c r="C1005" s="1" t="s">
        <v>969</v>
      </c>
      <c r="D1005" s="1" t="s">
        <v>3352</v>
      </c>
      <c r="E1005" s="1" t="s">
        <v>82</v>
      </c>
      <c r="F1005" s="1" t="s">
        <v>391</v>
      </c>
      <c r="G1005" s="1" t="s">
        <v>443</v>
      </c>
      <c r="H1005" s="1" t="s">
        <v>444</v>
      </c>
      <c r="K1005" s="1" t="s">
        <v>61</v>
      </c>
      <c r="L1005" s="1" t="s">
        <v>445</v>
      </c>
      <c r="M1005" s="1" t="s">
        <v>496</v>
      </c>
      <c r="N1005" s="1" t="s">
        <v>3360</v>
      </c>
      <c r="O1005" s="1" t="s">
        <v>3361</v>
      </c>
      <c r="P1005" s="1"/>
      <c r="Q1005" s="1" t="s">
        <v>70</v>
      </c>
      <c r="Z1005" s="1" t="s">
        <v>71</v>
      </c>
      <c r="AE1005" s="1" t="s">
        <v>3366</v>
      </c>
      <c r="AH1005" s="1" t="s">
        <v>73</v>
      </c>
      <c r="AK1005" s="1" t="s">
        <v>71</v>
      </c>
      <c r="AM1005" s="1" t="s">
        <v>71</v>
      </c>
      <c r="AN1005" s="1" t="s">
        <v>71</v>
      </c>
      <c r="AS1005" s="1" t="s">
        <v>71</v>
      </c>
      <c r="AX1005" s="1" t="s">
        <v>71</v>
      </c>
      <c r="BH1005" s="1" t="s">
        <v>71</v>
      </c>
    </row>
    <row r="1006" customFormat="false" ht="15" hidden="false" customHeight="false" outlineLevel="0" collapsed="false">
      <c r="A1006" s="1" t="s">
        <v>3378</v>
      </c>
      <c r="B1006" s="1" t="s">
        <v>3379</v>
      </c>
      <c r="C1006" s="1" t="s">
        <v>161</v>
      </c>
      <c r="D1006" s="1" t="s">
        <v>162</v>
      </c>
      <c r="E1006" s="1" t="s">
        <v>59</v>
      </c>
      <c r="F1006" s="1" t="s">
        <v>63</v>
      </c>
      <c r="G1006" s="1" t="s">
        <v>59</v>
      </c>
      <c r="H1006" s="1" t="s">
        <v>64</v>
      </c>
      <c r="K1006" s="1" t="s">
        <v>61</v>
      </c>
      <c r="L1006" s="1" t="s">
        <v>78</v>
      </c>
      <c r="M1006" s="1" t="s">
        <v>1546</v>
      </c>
      <c r="N1006" s="1" t="s">
        <v>68</v>
      </c>
      <c r="O1006" s="1" t="s">
        <v>69</v>
      </c>
      <c r="P1006" s="1"/>
      <c r="Q1006" s="1" t="s">
        <v>70</v>
      </c>
      <c r="U1006" s="1" t="s">
        <v>3378</v>
      </c>
      <c r="Z1006" s="1" t="s">
        <v>71</v>
      </c>
      <c r="AE1006" s="1" t="s">
        <v>3380</v>
      </c>
      <c r="AH1006" s="1" t="s">
        <v>73</v>
      </c>
      <c r="AK1006" s="1" t="s">
        <v>71</v>
      </c>
      <c r="AM1006" s="1" t="s">
        <v>71</v>
      </c>
      <c r="AN1006" s="1" t="s">
        <v>71</v>
      </c>
      <c r="AS1006" s="1" t="s">
        <v>71</v>
      </c>
      <c r="AX1006" s="1" t="s">
        <v>71</v>
      </c>
      <c r="AY1006" s="1" t="s">
        <v>59</v>
      </c>
      <c r="AZ1006" s="1" t="s">
        <v>74</v>
      </c>
      <c r="BH1006" s="1" t="s">
        <v>71</v>
      </c>
    </row>
    <row r="1007" customFormat="false" ht="15" hidden="false" customHeight="false" outlineLevel="0" collapsed="false">
      <c r="A1007" s="1" t="s">
        <v>3381</v>
      </c>
      <c r="B1007" s="1" t="s">
        <v>3382</v>
      </c>
      <c r="C1007" s="1" t="s">
        <v>752</v>
      </c>
      <c r="D1007" s="1" t="s">
        <v>2143</v>
      </c>
      <c r="E1007" s="1" t="s">
        <v>82</v>
      </c>
      <c r="F1007" s="1" t="s">
        <v>391</v>
      </c>
      <c r="G1007" s="1" t="s">
        <v>213</v>
      </c>
      <c r="H1007" s="1" t="s">
        <v>477</v>
      </c>
      <c r="K1007" s="1" t="s">
        <v>478</v>
      </c>
      <c r="L1007" s="1" t="s">
        <v>479</v>
      </c>
      <c r="M1007" s="1" t="s">
        <v>496</v>
      </c>
      <c r="N1007" s="1" t="s">
        <v>2951</v>
      </c>
      <c r="O1007" s="1" t="s">
        <v>2952</v>
      </c>
      <c r="P1007" s="1"/>
      <c r="Q1007" s="1" t="s">
        <v>70</v>
      </c>
      <c r="Z1007" s="1" t="s">
        <v>71</v>
      </c>
      <c r="AE1007" s="1" t="s">
        <v>3380</v>
      </c>
      <c r="AH1007" s="1" t="s">
        <v>73</v>
      </c>
      <c r="AK1007" s="1" t="s">
        <v>71</v>
      </c>
      <c r="AM1007" s="1" t="s">
        <v>71</v>
      </c>
      <c r="AN1007" s="1" t="s">
        <v>71</v>
      </c>
      <c r="AS1007" s="1" t="s">
        <v>71</v>
      </c>
      <c r="AX1007" s="1" t="s">
        <v>71</v>
      </c>
      <c r="BH1007" s="1" t="s">
        <v>71</v>
      </c>
    </row>
    <row r="1008" customFormat="false" ht="15" hidden="false" customHeight="false" outlineLevel="0" collapsed="false">
      <c r="A1008" s="1" t="s">
        <v>3383</v>
      </c>
      <c r="B1008" s="1" t="s">
        <v>3384</v>
      </c>
      <c r="C1008" s="1" t="s">
        <v>969</v>
      </c>
      <c r="D1008" s="1" t="s">
        <v>3352</v>
      </c>
      <c r="E1008" s="1" t="s">
        <v>82</v>
      </c>
      <c r="F1008" s="1" t="s">
        <v>391</v>
      </c>
      <c r="G1008" s="1" t="s">
        <v>443</v>
      </c>
      <c r="H1008" s="1" t="s">
        <v>444</v>
      </c>
      <c r="K1008" s="1" t="s">
        <v>61</v>
      </c>
      <c r="L1008" s="1" t="s">
        <v>445</v>
      </c>
      <c r="M1008" s="1" t="s">
        <v>2020</v>
      </c>
      <c r="N1008" s="1" t="s">
        <v>3221</v>
      </c>
      <c r="O1008" s="1" t="s">
        <v>447</v>
      </c>
      <c r="P1008" s="1"/>
      <c r="Q1008" s="1" t="s">
        <v>70</v>
      </c>
      <c r="Z1008" s="1" t="s">
        <v>71</v>
      </c>
      <c r="AE1008" s="1" t="s">
        <v>3380</v>
      </c>
      <c r="AH1008" s="1" t="s">
        <v>73</v>
      </c>
      <c r="AK1008" s="1" t="s">
        <v>71</v>
      </c>
      <c r="AM1008" s="1" t="s">
        <v>71</v>
      </c>
      <c r="AN1008" s="1" t="s">
        <v>71</v>
      </c>
      <c r="AS1008" s="1" t="s">
        <v>71</v>
      </c>
      <c r="AX1008" s="1" t="s">
        <v>71</v>
      </c>
      <c r="BH1008" s="1" t="s">
        <v>71</v>
      </c>
    </row>
    <row r="1009" customFormat="false" ht="15" hidden="false" customHeight="false" outlineLevel="0" collapsed="false">
      <c r="A1009" s="1" t="s">
        <v>3385</v>
      </c>
      <c r="B1009" s="1" t="s">
        <v>3386</v>
      </c>
      <c r="C1009" s="1" t="s">
        <v>969</v>
      </c>
      <c r="D1009" s="1" t="s">
        <v>3352</v>
      </c>
      <c r="E1009" s="1" t="s">
        <v>82</v>
      </c>
      <c r="F1009" s="1" t="s">
        <v>391</v>
      </c>
      <c r="G1009" s="1" t="s">
        <v>443</v>
      </c>
      <c r="H1009" s="1" t="s">
        <v>444</v>
      </c>
      <c r="K1009" s="1" t="s">
        <v>61</v>
      </c>
      <c r="L1009" s="1" t="s">
        <v>445</v>
      </c>
      <c r="M1009" s="1" t="s">
        <v>3353</v>
      </c>
      <c r="N1009" s="1" t="s">
        <v>3354</v>
      </c>
      <c r="O1009" s="1" t="s">
        <v>400</v>
      </c>
      <c r="P1009" s="1"/>
      <c r="Q1009" s="1" t="s">
        <v>70</v>
      </c>
      <c r="Z1009" s="1" t="s">
        <v>71</v>
      </c>
      <c r="AE1009" s="1" t="s">
        <v>3380</v>
      </c>
      <c r="AH1009" s="1" t="s">
        <v>73</v>
      </c>
      <c r="AK1009" s="1" t="s">
        <v>71</v>
      </c>
      <c r="AM1009" s="1" t="s">
        <v>71</v>
      </c>
      <c r="AN1009" s="1" t="s">
        <v>71</v>
      </c>
      <c r="AS1009" s="1" t="s">
        <v>71</v>
      </c>
      <c r="AX1009" s="1" t="s">
        <v>71</v>
      </c>
      <c r="BH1009" s="1" t="s">
        <v>71</v>
      </c>
    </row>
    <row r="1010" customFormat="false" ht="15" hidden="false" customHeight="false" outlineLevel="0" collapsed="false">
      <c r="A1010" s="1" t="s">
        <v>3387</v>
      </c>
      <c r="B1010" s="1" t="s">
        <v>3388</v>
      </c>
      <c r="C1010" s="1" t="s">
        <v>969</v>
      </c>
      <c r="D1010" s="1" t="s">
        <v>3352</v>
      </c>
      <c r="E1010" s="1" t="s">
        <v>82</v>
      </c>
      <c r="F1010" s="1" t="s">
        <v>391</v>
      </c>
      <c r="G1010" s="1" t="s">
        <v>443</v>
      </c>
      <c r="H1010" s="1" t="s">
        <v>444</v>
      </c>
      <c r="K1010" s="1" t="s">
        <v>61</v>
      </c>
      <c r="L1010" s="1" t="s">
        <v>445</v>
      </c>
      <c r="M1010" s="1" t="s">
        <v>3353</v>
      </c>
      <c r="N1010" s="1" t="s">
        <v>3354</v>
      </c>
      <c r="O1010" s="1" t="s">
        <v>400</v>
      </c>
      <c r="P1010" s="1"/>
      <c r="Q1010" s="1" t="s">
        <v>70</v>
      </c>
      <c r="Z1010" s="1" t="s">
        <v>71</v>
      </c>
      <c r="AE1010" s="1" t="s">
        <v>3389</v>
      </c>
      <c r="AH1010" s="1" t="s">
        <v>73</v>
      </c>
      <c r="AK1010" s="1" t="s">
        <v>71</v>
      </c>
      <c r="AM1010" s="1" t="s">
        <v>71</v>
      </c>
      <c r="AN1010" s="1" t="s">
        <v>71</v>
      </c>
      <c r="AS1010" s="1" t="s">
        <v>71</v>
      </c>
      <c r="AX1010" s="1" t="s">
        <v>71</v>
      </c>
      <c r="BH1010" s="1" t="s">
        <v>71</v>
      </c>
    </row>
    <row r="1011" customFormat="false" ht="15" hidden="false" customHeight="false" outlineLevel="0" collapsed="false">
      <c r="A1011" s="1" t="s">
        <v>3390</v>
      </c>
      <c r="B1011" s="1" t="s">
        <v>3391</v>
      </c>
      <c r="C1011" s="1" t="s">
        <v>969</v>
      </c>
      <c r="D1011" s="1" t="s">
        <v>3352</v>
      </c>
      <c r="E1011" s="1" t="s">
        <v>82</v>
      </c>
      <c r="F1011" s="1" t="s">
        <v>391</v>
      </c>
      <c r="G1011" s="1" t="s">
        <v>443</v>
      </c>
      <c r="H1011" s="1" t="s">
        <v>444</v>
      </c>
      <c r="K1011" s="1" t="s">
        <v>61</v>
      </c>
      <c r="L1011" s="1" t="s">
        <v>445</v>
      </c>
      <c r="M1011" s="1" t="s">
        <v>496</v>
      </c>
      <c r="N1011" s="1" t="s">
        <v>3360</v>
      </c>
      <c r="O1011" s="1" t="s">
        <v>3361</v>
      </c>
      <c r="P1011" s="1"/>
      <c r="Q1011" s="1" t="s">
        <v>70</v>
      </c>
      <c r="Z1011" s="1" t="s">
        <v>71</v>
      </c>
      <c r="AE1011" s="1" t="s">
        <v>3389</v>
      </c>
      <c r="AH1011" s="1" t="s">
        <v>73</v>
      </c>
      <c r="AK1011" s="1" t="s">
        <v>71</v>
      </c>
      <c r="AM1011" s="1" t="s">
        <v>71</v>
      </c>
      <c r="AN1011" s="1" t="s">
        <v>71</v>
      </c>
      <c r="AS1011" s="1" t="s">
        <v>71</v>
      </c>
      <c r="AX1011" s="1" t="s">
        <v>71</v>
      </c>
      <c r="BH1011" s="1" t="s">
        <v>71</v>
      </c>
    </row>
    <row r="1012" customFormat="false" ht="15" hidden="false" customHeight="false" outlineLevel="0" collapsed="false">
      <c r="A1012" s="1" t="s">
        <v>3392</v>
      </c>
      <c r="B1012" s="1" t="s">
        <v>3393</v>
      </c>
      <c r="C1012" s="1" t="s">
        <v>969</v>
      </c>
      <c r="D1012" s="1" t="s">
        <v>3352</v>
      </c>
      <c r="E1012" s="1" t="s">
        <v>82</v>
      </c>
      <c r="F1012" s="1" t="s">
        <v>391</v>
      </c>
      <c r="G1012" s="1" t="s">
        <v>443</v>
      </c>
      <c r="H1012" s="1" t="s">
        <v>444</v>
      </c>
      <c r="K1012" s="1" t="s">
        <v>61</v>
      </c>
      <c r="L1012" s="1" t="s">
        <v>445</v>
      </c>
      <c r="M1012" s="1" t="s">
        <v>3353</v>
      </c>
      <c r="N1012" s="1" t="s">
        <v>3354</v>
      </c>
      <c r="O1012" s="1" t="s">
        <v>400</v>
      </c>
      <c r="P1012" s="1"/>
      <c r="Q1012" s="1" t="s">
        <v>70</v>
      </c>
      <c r="Z1012" s="1" t="s">
        <v>71</v>
      </c>
      <c r="AE1012" s="1" t="s">
        <v>3389</v>
      </c>
      <c r="AH1012" s="1" t="s">
        <v>73</v>
      </c>
      <c r="AK1012" s="1" t="s">
        <v>71</v>
      </c>
      <c r="AM1012" s="1" t="s">
        <v>71</v>
      </c>
      <c r="AN1012" s="1" t="s">
        <v>71</v>
      </c>
      <c r="AS1012" s="1" t="s">
        <v>71</v>
      </c>
      <c r="AX1012" s="1" t="s">
        <v>71</v>
      </c>
      <c r="BH1012" s="1" t="s">
        <v>71</v>
      </c>
    </row>
    <row r="1013" customFormat="false" ht="15" hidden="false" customHeight="false" outlineLevel="0" collapsed="false">
      <c r="A1013" s="1" t="s">
        <v>3394</v>
      </c>
      <c r="B1013" s="1" t="s">
        <v>3395</v>
      </c>
      <c r="C1013" s="1" t="s">
        <v>161</v>
      </c>
      <c r="D1013" s="1" t="s">
        <v>162</v>
      </c>
      <c r="E1013" s="1" t="s">
        <v>59</v>
      </c>
      <c r="F1013" s="1" t="s">
        <v>63</v>
      </c>
      <c r="G1013" s="1" t="s">
        <v>59</v>
      </c>
      <c r="H1013" s="1" t="s">
        <v>64</v>
      </c>
      <c r="K1013" s="1" t="s">
        <v>93</v>
      </c>
      <c r="L1013" s="1" t="s">
        <v>95</v>
      </c>
      <c r="M1013" s="1" t="s">
        <v>96</v>
      </c>
      <c r="N1013" s="1" t="s">
        <v>85</v>
      </c>
      <c r="O1013" s="1" t="s">
        <v>86</v>
      </c>
      <c r="P1013" s="1"/>
      <c r="Q1013" s="1" t="s">
        <v>70</v>
      </c>
      <c r="U1013" s="1" t="s">
        <v>3394</v>
      </c>
      <c r="Z1013" s="1" t="s">
        <v>71</v>
      </c>
      <c r="AE1013" s="1" t="s">
        <v>3396</v>
      </c>
      <c r="AH1013" s="1" t="s">
        <v>73</v>
      </c>
      <c r="AK1013" s="1" t="s">
        <v>71</v>
      </c>
      <c r="AM1013" s="1" t="s">
        <v>71</v>
      </c>
      <c r="AN1013" s="1" t="s">
        <v>71</v>
      </c>
      <c r="AS1013" s="1" t="s">
        <v>71</v>
      </c>
      <c r="AX1013" s="1" t="s">
        <v>71</v>
      </c>
      <c r="AY1013" s="1" t="s">
        <v>59</v>
      </c>
      <c r="AZ1013" s="1" t="s">
        <v>74</v>
      </c>
      <c r="BH1013" s="1" t="s">
        <v>71</v>
      </c>
    </row>
    <row r="1014" customFormat="false" ht="15" hidden="false" customHeight="false" outlineLevel="0" collapsed="false">
      <c r="A1014" s="1" t="s">
        <v>3397</v>
      </c>
      <c r="B1014" s="1" t="s">
        <v>3398</v>
      </c>
      <c r="C1014" s="1" t="s">
        <v>161</v>
      </c>
      <c r="D1014" s="1" t="s">
        <v>162</v>
      </c>
      <c r="E1014" s="1" t="s">
        <v>65</v>
      </c>
      <c r="F1014" s="1" t="s">
        <v>119</v>
      </c>
      <c r="G1014" s="1" t="s">
        <v>65</v>
      </c>
      <c r="H1014" s="1" t="s">
        <v>64</v>
      </c>
      <c r="K1014" s="1" t="s">
        <v>148</v>
      </c>
      <c r="L1014" s="1" t="s">
        <v>1176</v>
      </c>
      <c r="M1014" s="1" t="s">
        <v>90</v>
      </c>
      <c r="N1014" s="1" t="s">
        <v>85</v>
      </c>
      <c r="O1014" s="1" t="s">
        <v>86</v>
      </c>
      <c r="P1014" s="1"/>
      <c r="Q1014" s="1" t="s">
        <v>70</v>
      </c>
      <c r="U1014" s="1" t="s">
        <v>3397</v>
      </c>
      <c r="Z1014" s="1" t="s">
        <v>71</v>
      </c>
      <c r="AE1014" s="1" t="s">
        <v>3396</v>
      </c>
      <c r="AH1014" s="1" t="s">
        <v>73</v>
      </c>
      <c r="AK1014" s="1" t="s">
        <v>71</v>
      </c>
      <c r="AM1014" s="1" t="s">
        <v>71</v>
      </c>
      <c r="AN1014" s="1" t="s">
        <v>71</v>
      </c>
      <c r="AS1014" s="1" t="s">
        <v>71</v>
      </c>
      <c r="AX1014" s="1" t="s">
        <v>71</v>
      </c>
      <c r="AY1014" s="1" t="s">
        <v>59</v>
      </c>
      <c r="AZ1014" s="1" t="s">
        <v>74</v>
      </c>
      <c r="BH1014" s="1" t="s">
        <v>71</v>
      </c>
    </row>
    <row r="1015" customFormat="false" ht="15" hidden="false" customHeight="false" outlineLevel="0" collapsed="false">
      <c r="A1015" s="1" t="s">
        <v>3399</v>
      </c>
      <c r="B1015" s="1" t="s">
        <v>3400</v>
      </c>
      <c r="C1015" s="1" t="s">
        <v>969</v>
      </c>
      <c r="D1015" s="1" t="s">
        <v>3352</v>
      </c>
      <c r="E1015" s="1" t="s">
        <v>82</v>
      </c>
      <c r="F1015" s="1" t="s">
        <v>391</v>
      </c>
      <c r="G1015" s="1" t="s">
        <v>443</v>
      </c>
      <c r="H1015" s="1" t="s">
        <v>444</v>
      </c>
      <c r="K1015" s="1" t="s">
        <v>61</v>
      </c>
      <c r="L1015" s="1" t="s">
        <v>445</v>
      </c>
      <c r="M1015" s="1" t="s">
        <v>3353</v>
      </c>
      <c r="N1015" s="1" t="s">
        <v>3401</v>
      </c>
      <c r="O1015" s="1" t="s">
        <v>400</v>
      </c>
      <c r="P1015" s="1"/>
      <c r="Q1015" s="1" t="s">
        <v>70</v>
      </c>
      <c r="Z1015" s="1" t="s">
        <v>71</v>
      </c>
      <c r="AE1015" s="1" t="s">
        <v>3396</v>
      </c>
      <c r="AH1015" s="1" t="s">
        <v>73</v>
      </c>
      <c r="AK1015" s="1" t="s">
        <v>71</v>
      </c>
      <c r="AM1015" s="1" t="s">
        <v>71</v>
      </c>
      <c r="AN1015" s="1" t="s">
        <v>71</v>
      </c>
      <c r="AS1015" s="1" t="s">
        <v>71</v>
      </c>
      <c r="AX1015" s="1" t="s">
        <v>71</v>
      </c>
      <c r="BH1015" s="1" t="s">
        <v>71</v>
      </c>
    </row>
    <row r="1016" customFormat="false" ht="15" hidden="false" customHeight="false" outlineLevel="0" collapsed="false">
      <c r="A1016" s="1" t="s">
        <v>3402</v>
      </c>
      <c r="B1016" s="1" t="s">
        <v>3403</v>
      </c>
      <c r="C1016" s="1" t="s">
        <v>969</v>
      </c>
      <c r="D1016" s="1" t="s">
        <v>3352</v>
      </c>
      <c r="E1016" s="1" t="s">
        <v>82</v>
      </c>
      <c r="F1016" s="1" t="s">
        <v>391</v>
      </c>
      <c r="G1016" s="1" t="s">
        <v>443</v>
      </c>
      <c r="H1016" s="1" t="s">
        <v>444</v>
      </c>
      <c r="K1016" s="1" t="s">
        <v>61</v>
      </c>
      <c r="L1016" s="1" t="s">
        <v>445</v>
      </c>
      <c r="M1016" s="1" t="s">
        <v>496</v>
      </c>
      <c r="N1016" s="1" t="s">
        <v>3221</v>
      </c>
      <c r="O1016" s="1" t="s">
        <v>447</v>
      </c>
      <c r="P1016" s="1"/>
      <c r="Q1016" s="1" t="s">
        <v>70</v>
      </c>
      <c r="Z1016" s="1" t="s">
        <v>71</v>
      </c>
      <c r="AE1016" s="1" t="s">
        <v>3396</v>
      </c>
      <c r="AH1016" s="1" t="s">
        <v>73</v>
      </c>
      <c r="AK1016" s="1" t="s">
        <v>71</v>
      </c>
      <c r="AM1016" s="1" t="s">
        <v>71</v>
      </c>
      <c r="AN1016" s="1" t="s">
        <v>71</v>
      </c>
      <c r="AS1016" s="1" t="s">
        <v>71</v>
      </c>
      <c r="AX1016" s="1" t="s">
        <v>71</v>
      </c>
      <c r="BH1016" s="1" t="s">
        <v>71</v>
      </c>
    </row>
    <row r="1017" customFormat="false" ht="15" hidden="false" customHeight="false" outlineLevel="0" collapsed="false">
      <c r="A1017" s="1" t="s">
        <v>3404</v>
      </c>
      <c r="B1017" s="1" t="s">
        <v>3405</v>
      </c>
      <c r="C1017" s="1" t="s">
        <v>969</v>
      </c>
      <c r="D1017" s="1" t="s">
        <v>3352</v>
      </c>
      <c r="E1017" s="1" t="s">
        <v>82</v>
      </c>
      <c r="F1017" s="1" t="s">
        <v>391</v>
      </c>
      <c r="G1017" s="1" t="s">
        <v>443</v>
      </c>
      <c r="H1017" s="1" t="s">
        <v>444</v>
      </c>
      <c r="K1017" s="1" t="s">
        <v>61</v>
      </c>
      <c r="L1017" s="1" t="s">
        <v>445</v>
      </c>
      <c r="M1017" s="1" t="s">
        <v>3353</v>
      </c>
      <c r="N1017" s="1" t="s">
        <v>3354</v>
      </c>
      <c r="O1017" s="1" t="s">
        <v>400</v>
      </c>
      <c r="P1017" s="1"/>
      <c r="Q1017" s="1" t="s">
        <v>70</v>
      </c>
      <c r="Z1017" s="1" t="s">
        <v>71</v>
      </c>
      <c r="AE1017" s="1" t="s">
        <v>3396</v>
      </c>
      <c r="AH1017" s="1" t="s">
        <v>73</v>
      </c>
      <c r="AK1017" s="1" t="s">
        <v>71</v>
      </c>
      <c r="AM1017" s="1" t="s">
        <v>71</v>
      </c>
      <c r="AN1017" s="1" t="s">
        <v>71</v>
      </c>
      <c r="AS1017" s="1" t="s">
        <v>71</v>
      </c>
      <c r="AX1017" s="1" t="s">
        <v>71</v>
      </c>
      <c r="BH1017" s="1" t="s">
        <v>71</v>
      </c>
    </row>
    <row r="1018" customFormat="false" ht="15" hidden="false" customHeight="false" outlineLevel="0" collapsed="false">
      <c r="A1018" s="1" t="s">
        <v>3406</v>
      </c>
      <c r="B1018" s="1" t="s">
        <v>3407</v>
      </c>
      <c r="C1018" s="1" t="s">
        <v>834</v>
      </c>
      <c r="D1018" s="1" t="s">
        <v>2721</v>
      </c>
      <c r="E1018" s="1" t="s">
        <v>82</v>
      </c>
      <c r="F1018" s="1" t="s">
        <v>391</v>
      </c>
      <c r="G1018" s="1" t="s">
        <v>443</v>
      </c>
      <c r="H1018" s="1" t="s">
        <v>444</v>
      </c>
      <c r="K1018" s="1" t="s">
        <v>61</v>
      </c>
      <c r="L1018" s="1" t="s">
        <v>445</v>
      </c>
      <c r="M1018" s="1" t="s">
        <v>496</v>
      </c>
      <c r="N1018" s="1" t="s">
        <v>842</v>
      </c>
      <c r="O1018" s="1" t="s">
        <v>400</v>
      </c>
      <c r="P1018" s="1"/>
      <c r="Q1018" s="1" t="s">
        <v>70</v>
      </c>
      <c r="Z1018" s="1" t="s">
        <v>71</v>
      </c>
      <c r="AE1018" s="1" t="s">
        <v>3396</v>
      </c>
      <c r="AH1018" s="1" t="s">
        <v>73</v>
      </c>
      <c r="AK1018" s="1" t="s">
        <v>71</v>
      </c>
      <c r="AM1018" s="1" t="s">
        <v>71</v>
      </c>
      <c r="AN1018" s="1" t="s">
        <v>71</v>
      </c>
      <c r="AS1018" s="1" t="s">
        <v>71</v>
      </c>
      <c r="AX1018" s="1" t="s">
        <v>71</v>
      </c>
      <c r="BH1018" s="1" t="s">
        <v>71</v>
      </c>
    </row>
    <row r="1019" customFormat="false" ht="15" hidden="false" customHeight="false" outlineLevel="0" collapsed="false">
      <c r="A1019" s="1" t="s">
        <v>3408</v>
      </c>
      <c r="B1019" s="1" t="s">
        <v>3409</v>
      </c>
      <c r="C1019" s="1" t="s">
        <v>982</v>
      </c>
      <c r="D1019" s="1" t="s">
        <v>3410</v>
      </c>
      <c r="E1019" s="1" t="s">
        <v>82</v>
      </c>
      <c r="F1019" s="1" t="s">
        <v>391</v>
      </c>
      <c r="G1019" s="1" t="s">
        <v>213</v>
      </c>
      <c r="H1019" s="1" t="s">
        <v>477</v>
      </c>
      <c r="K1019" s="1" t="s">
        <v>478</v>
      </c>
      <c r="L1019" s="1" t="s">
        <v>479</v>
      </c>
      <c r="M1019" s="1" t="s">
        <v>692</v>
      </c>
      <c r="N1019" s="1" t="s">
        <v>3411</v>
      </c>
      <c r="O1019" s="1" t="s">
        <v>3412</v>
      </c>
      <c r="P1019" s="1"/>
      <c r="Q1019" s="1" t="s">
        <v>70</v>
      </c>
      <c r="Z1019" s="1" t="s">
        <v>71</v>
      </c>
      <c r="AE1019" s="1" t="s">
        <v>3396</v>
      </c>
      <c r="AH1019" s="1" t="s">
        <v>73</v>
      </c>
      <c r="AK1019" s="1" t="s">
        <v>71</v>
      </c>
      <c r="AM1019" s="1" t="s">
        <v>71</v>
      </c>
      <c r="AN1019" s="1" t="s">
        <v>71</v>
      </c>
      <c r="AS1019" s="1" t="s">
        <v>71</v>
      </c>
      <c r="AX1019" s="1" t="s">
        <v>71</v>
      </c>
      <c r="BH1019" s="1" t="s">
        <v>71</v>
      </c>
    </row>
    <row r="1020" customFormat="false" ht="15" hidden="false" customHeight="false" outlineLevel="0" collapsed="false">
      <c r="A1020" s="1" t="s">
        <v>3413</v>
      </c>
      <c r="B1020" s="1" t="s">
        <v>3414</v>
      </c>
      <c r="C1020" s="1" t="s">
        <v>982</v>
      </c>
      <c r="D1020" s="1" t="s">
        <v>3410</v>
      </c>
      <c r="E1020" s="1" t="s">
        <v>82</v>
      </c>
      <c r="F1020" s="1" t="s">
        <v>391</v>
      </c>
      <c r="G1020" s="1" t="s">
        <v>213</v>
      </c>
      <c r="H1020" s="1" t="s">
        <v>477</v>
      </c>
      <c r="K1020" s="1" t="s">
        <v>478</v>
      </c>
      <c r="L1020" s="1" t="s">
        <v>479</v>
      </c>
      <c r="M1020" s="1" t="s">
        <v>806</v>
      </c>
      <c r="N1020" s="1" t="s">
        <v>3415</v>
      </c>
      <c r="O1020" s="1" t="s">
        <v>3416</v>
      </c>
      <c r="P1020" s="1"/>
      <c r="Q1020" s="1" t="s">
        <v>70</v>
      </c>
      <c r="Z1020" s="1" t="s">
        <v>71</v>
      </c>
      <c r="AE1020" s="1" t="s">
        <v>3396</v>
      </c>
      <c r="AH1020" s="1" t="s">
        <v>73</v>
      </c>
      <c r="AK1020" s="1" t="s">
        <v>71</v>
      </c>
      <c r="AM1020" s="1" t="s">
        <v>71</v>
      </c>
      <c r="AN1020" s="1" t="s">
        <v>71</v>
      </c>
      <c r="AS1020" s="1" t="s">
        <v>71</v>
      </c>
      <c r="AX1020" s="1" t="s">
        <v>71</v>
      </c>
      <c r="BH1020" s="1" t="s">
        <v>71</v>
      </c>
    </row>
    <row r="1021" customFormat="false" ht="15" hidden="false" customHeight="false" outlineLevel="0" collapsed="false">
      <c r="A1021" s="1" t="s">
        <v>3417</v>
      </c>
      <c r="B1021" s="1" t="s">
        <v>3418</v>
      </c>
      <c r="C1021" s="1" t="s">
        <v>982</v>
      </c>
      <c r="D1021" s="1" t="s">
        <v>3410</v>
      </c>
      <c r="E1021" s="1" t="s">
        <v>82</v>
      </c>
      <c r="F1021" s="1" t="s">
        <v>391</v>
      </c>
      <c r="G1021" s="1" t="s">
        <v>213</v>
      </c>
      <c r="H1021" s="1" t="s">
        <v>477</v>
      </c>
      <c r="K1021" s="1" t="s">
        <v>478</v>
      </c>
      <c r="L1021" s="1" t="s">
        <v>479</v>
      </c>
      <c r="M1021" s="1" t="s">
        <v>806</v>
      </c>
      <c r="N1021" s="1" t="s">
        <v>3419</v>
      </c>
      <c r="O1021" s="1" t="s">
        <v>3420</v>
      </c>
      <c r="P1021" s="1"/>
      <c r="Q1021" s="1" t="s">
        <v>70</v>
      </c>
      <c r="Z1021" s="1" t="s">
        <v>71</v>
      </c>
      <c r="AE1021" s="1" t="s">
        <v>3396</v>
      </c>
      <c r="AH1021" s="1" t="s">
        <v>73</v>
      </c>
      <c r="AK1021" s="1" t="s">
        <v>71</v>
      </c>
      <c r="AM1021" s="1" t="s">
        <v>71</v>
      </c>
      <c r="AN1021" s="1" t="s">
        <v>71</v>
      </c>
      <c r="AS1021" s="1" t="s">
        <v>71</v>
      </c>
      <c r="AX1021" s="1" t="s">
        <v>71</v>
      </c>
      <c r="BH1021" s="1" t="s">
        <v>71</v>
      </c>
    </row>
    <row r="1022" customFormat="false" ht="15" hidden="false" customHeight="false" outlineLevel="0" collapsed="false">
      <c r="A1022" s="1" t="s">
        <v>3421</v>
      </c>
      <c r="B1022" s="1" t="s">
        <v>3422</v>
      </c>
      <c r="C1022" s="1" t="s">
        <v>982</v>
      </c>
      <c r="D1022" s="1" t="s">
        <v>3410</v>
      </c>
      <c r="E1022" s="1" t="s">
        <v>82</v>
      </c>
      <c r="F1022" s="1" t="s">
        <v>391</v>
      </c>
      <c r="G1022" s="1" t="s">
        <v>213</v>
      </c>
      <c r="H1022" s="1" t="s">
        <v>477</v>
      </c>
      <c r="K1022" s="1" t="s">
        <v>478</v>
      </c>
      <c r="L1022" s="1" t="s">
        <v>479</v>
      </c>
      <c r="M1022" s="1" t="s">
        <v>496</v>
      </c>
      <c r="N1022" s="1" t="s">
        <v>1953</v>
      </c>
      <c r="O1022" s="1" t="s">
        <v>1954</v>
      </c>
      <c r="P1022" s="1"/>
      <c r="Q1022" s="1" t="s">
        <v>70</v>
      </c>
      <c r="Z1022" s="1" t="s">
        <v>71</v>
      </c>
      <c r="AE1022" s="1" t="s">
        <v>3396</v>
      </c>
      <c r="AH1022" s="1" t="s">
        <v>73</v>
      </c>
      <c r="AK1022" s="1" t="s">
        <v>71</v>
      </c>
      <c r="AM1022" s="1" t="s">
        <v>71</v>
      </c>
      <c r="AN1022" s="1" t="s">
        <v>71</v>
      </c>
      <c r="AS1022" s="1" t="s">
        <v>71</v>
      </c>
      <c r="AX1022" s="1" t="s">
        <v>71</v>
      </c>
      <c r="BH1022" s="1" t="s">
        <v>71</v>
      </c>
    </row>
    <row r="1023" customFormat="false" ht="15" hidden="false" customHeight="false" outlineLevel="0" collapsed="false">
      <c r="A1023" s="1" t="s">
        <v>3423</v>
      </c>
      <c r="B1023" s="1" t="s">
        <v>3424</v>
      </c>
      <c r="C1023" s="1" t="s">
        <v>982</v>
      </c>
      <c r="D1023" s="1" t="s">
        <v>3410</v>
      </c>
      <c r="E1023" s="1" t="s">
        <v>82</v>
      </c>
      <c r="F1023" s="1" t="s">
        <v>391</v>
      </c>
      <c r="G1023" s="1" t="s">
        <v>213</v>
      </c>
      <c r="H1023" s="1" t="s">
        <v>477</v>
      </c>
      <c r="K1023" s="1" t="s">
        <v>478</v>
      </c>
      <c r="L1023" s="1" t="s">
        <v>479</v>
      </c>
      <c r="M1023" s="1" t="s">
        <v>806</v>
      </c>
      <c r="N1023" s="1" t="s">
        <v>3425</v>
      </c>
      <c r="O1023" s="1" t="s">
        <v>3426</v>
      </c>
      <c r="P1023" s="1"/>
      <c r="Q1023" s="1" t="s">
        <v>70</v>
      </c>
      <c r="Z1023" s="1" t="s">
        <v>71</v>
      </c>
      <c r="AE1023" s="1" t="s">
        <v>3396</v>
      </c>
      <c r="AH1023" s="1" t="s">
        <v>73</v>
      </c>
      <c r="AK1023" s="1" t="s">
        <v>71</v>
      </c>
      <c r="AM1023" s="1" t="s">
        <v>71</v>
      </c>
      <c r="AN1023" s="1" t="s">
        <v>71</v>
      </c>
      <c r="AS1023" s="1" t="s">
        <v>71</v>
      </c>
      <c r="AX1023" s="1" t="s">
        <v>71</v>
      </c>
      <c r="BH1023" s="1" t="s">
        <v>71</v>
      </c>
    </row>
    <row r="1024" customFormat="false" ht="15" hidden="false" customHeight="false" outlineLevel="0" collapsed="false">
      <c r="A1024" s="1" t="s">
        <v>3427</v>
      </c>
      <c r="B1024" s="1" t="s">
        <v>3428</v>
      </c>
      <c r="C1024" s="1" t="s">
        <v>152</v>
      </c>
      <c r="D1024" s="1" t="s">
        <v>464</v>
      </c>
      <c r="E1024" s="1" t="s">
        <v>82</v>
      </c>
      <c r="F1024" s="1" t="s">
        <v>391</v>
      </c>
      <c r="G1024" s="1" t="s">
        <v>213</v>
      </c>
      <c r="H1024" s="1" t="s">
        <v>477</v>
      </c>
      <c r="K1024" s="1" t="s">
        <v>478</v>
      </c>
      <c r="L1024" s="1" t="s">
        <v>479</v>
      </c>
      <c r="M1024" s="1" t="s">
        <v>465</v>
      </c>
      <c r="N1024" s="1" t="s">
        <v>3429</v>
      </c>
      <c r="O1024" s="1" t="s">
        <v>447</v>
      </c>
      <c r="P1024" s="1"/>
      <c r="Q1024" s="1" t="s">
        <v>70</v>
      </c>
      <c r="Z1024" s="1" t="s">
        <v>71</v>
      </c>
      <c r="AE1024" s="1" t="s">
        <v>3430</v>
      </c>
      <c r="AH1024" s="1" t="s">
        <v>73</v>
      </c>
      <c r="AK1024" s="1" t="s">
        <v>71</v>
      </c>
      <c r="AM1024" s="1" t="s">
        <v>71</v>
      </c>
      <c r="AN1024" s="1" t="s">
        <v>71</v>
      </c>
      <c r="AS1024" s="1" t="s">
        <v>71</v>
      </c>
      <c r="AX1024" s="1" t="s">
        <v>71</v>
      </c>
      <c r="BH1024" s="1" t="s">
        <v>71</v>
      </c>
    </row>
    <row r="1025" customFormat="false" ht="15" hidden="false" customHeight="false" outlineLevel="0" collapsed="false">
      <c r="A1025" s="1" t="s">
        <v>3431</v>
      </c>
      <c r="B1025" s="1" t="s">
        <v>3432</v>
      </c>
      <c r="C1025" s="1" t="s">
        <v>152</v>
      </c>
      <c r="D1025" s="1" t="s">
        <v>464</v>
      </c>
      <c r="E1025" s="1" t="s">
        <v>82</v>
      </c>
      <c r="F1025" s="1" t="s">
        <v>391</v>
      </c>
      <c r="G1025" s="1" t="s">
        <v>213</v>
      </c>
      <c r="H1025" s="1" t="s">
        <v>477</v>
      </c>
      <c r="K1025" s="1" t="s">
        <v>478</v>
      </c>
      <c r="L1025" s="1" t="s">
        <v>479</v>
      </c>
      <c r="M1025" s="1" t="s">
        <v>465</v>
      </c>
      <c r="N1025" s="1" t="s">
        <v>889</v>
      </c>
      <c r="O1025" s="1" t="s">
        <v>400</v>
      </c>
      <c r="P1025" s="1"/>
      <c r="Q1025" s="1" t="s">
        <v>70</v>
      </c>
      <c r="Z1025" s="1" t="s">
        <v>71</v>
      </c>
      <c r="AE1025" s="1" t="s">
        <v>3430</v>
      </c>
      <c r="AH1025" s="1" t="s">
        <v>73</v>
      </c>
      <c r="AK1025" s="1" t="s">
        <v>71</v>
      </c>
      <c r="AM1025" s="1" t="s">
        <v>71</v>
      </c>
      <c r="AN1025" s="1" t="s">
        <v>71</v>
      </c>
      <c r="AS1025" s="1" t="s">
        <v>71</v>
      </c>
      <c r="AX1025" s="1" t="s">
        <v>71</v>
      </c>
      <c r="BH1025" s="1" t="s">
        <v>71</v>
      </c>
    </row>
    <row r="1026" customFormat="false" ht="15" hidden="false" customHeight="false" outlineLevel="0" collapsed="false">
      <c r="A1026" s="1" t="s">
        <v>3433</v>
      </c>
      <c r="B1026" s="1" t="s">
        <v>3434</v>
      </c>
      <c r="C1026" s="1" t="s">
        <v>152</v>
      </c>
      <c r="D1026" s="1" t="s">
        <v>464</v>
      </c>
      <c r="E1026" s="1" t="s">
        <v>82</v>
      </c>
      <c r="F1026" s="1" t="s">
        <v>391</v>
      </c>
      <c r="G1026" s="1" t="s">
        <v>213</v>
      </c>
      <c r="H1026" s="1" t="s">
        <v>477</v>
      </c>
      <c r="K1026" s="1" t="s">
        <v>478</v>
      </c>
      <c r="L1026" s="1" t="s">
        <v>479</v>
      </c>
      <c r="M1026" s="1" t="s">
        <v>465</v>
      </c>
      <c r="N1026" s="1" t="s">
        <v>3027</v>
      </c>
      <c r="O1026" s="1" t="s">
        <v>3028</v>
      </c>
      <c r="P1026" s="1"/>
      <c r="Q1026" s="1" t="s">
        <v>70</v>
      </c>
      <c r="Z1026" s="1" t="s">
        <v>71</v>
      </c>
      <c r="AE1026" s="1" t="s">
        <v>3430</v>
      </c>
      <c r="AH1026" s="1" t="s">
        <v>73</v>
      </c>
      <c r="AK1026" s="1" t="s">
        <v>71</v>
      </c>
      <c r="AM1026" s="1" t="s">
        <v>71</v>
      </c>
      <c r="AN1026" s="1" t="s">
        <v>71</v>
      </c>
      <c r="AS1026" s="1" t="s">
        <v>71</v>
      </c>
      <c r="AX1026" s="1" t="s">
        <v>71</v>
      </c>
      <c r="BH1026" s="1" t="s">
        <v>71</v>
      </c>
    </row>
    <row r="1027" customFormat="false" ht="15" hidden="false" customHeight="false" outlineLevel="0" collapsed="false">
      <c r="A1027" s="1" t="s">
        <v>3435</v>
      </c>
      <c r="B1027" s="1" t="s">
        <v>3436</v>
      </c>
      <c r="C1027" s="1" t="s">
        <v>992</v>
      </c>
      <c r="D1027" s="1" t="s">
        <v>3306</v>
      </c>
      <c r="E1027" s="1" t="s">
        <v>82</v>
      </c>
      <c r="F1027" s="1" t="s">
        <v>391</v>
      </c>
      <c r="G1027" s="1" t="s">
        <v>97</v>
      </c>
      <c r="H1027" s="1" t="s">
        <v>406</v>
      </c>
      <c r="K1027" s="1" t="s">
        <v>407</v>
      </c>
      <c r="L1027" s="1" t="s">
        <v>408</v>
      </c>
      <c r="M1027" s="1" t="s">
        <v>496</v>
      </c>
      <c r="N1027" s="1" t="s">
        <v>1722</v>
      </c>
      <c r="O1027" s="1" t="s">
        <v>1723</v>
      </c>
      <c r="P1027" s="1"/>
      <c r="Q1027" s="1" t="s">
        <v>70</v>
      </c>
      <c r="Z1027" s="1" t="s">
        <v>71</v>
      </c>
      <c r="AE1027" s="1" t="s">
        <v>3437</v>
      </c>
      <c r="AH1027" s="1" t="s">
        <v>73</v>
      </c>
      <c r="AK1027" s="1" t="s">
        <v>71</v>
      </c>
      <c r="AM1027" s="1" t="s">
        <v>71</v>
      </c>
      <c r="AN1027" s="1" t="s">
        <v>71</v>
      </c>
      <c r="AS1027" s="1" t="s">
        <v>71</v>
      </c>
      <c r="AX1027" s="1" t="s">
        <v>71</v>
      </c>
      <c r="BH1027" s="1" t="s">
        <v>71</v>
      </c>
    </row>
    <row r="1028" customFormat="false" ht="15" hidden="false" customHeight="false" outlineLevel="0" collapsed="false">
      <c r="A1028" s="1" t="s">
        <v>3438</v>
      </c>
      <c r="B1028" s="1" t="s">
        <v>3439</v>
      </c>
      <c r="C1028" s="1" t="s">
        <v>2171</v>
      </c>
      <c r="D1028" s="1" t="s">
        <v>3440</v>
      </c>
      <c r="E1028" s="1" t="s">
        <v>61</v>
      </c>
      <c r="F1028" s="1" t="s">
        <v>101</v>
      </c>
      <c r="G1028" s="1" t="s">
        <v>93</v>
      </c>
      <c r="H1028" s="1" t="s">
        <v>64</v>
      </c>
      <c r="K1028" s="1" t="s">
        <v>126</v>
      </c>
      <c r="L1028" s="1" t="s">
        <v>335</v>
      </c>
      <c r="M1028" s="1" t="s">
        <v>1512</v>
      </c>
      <c r="N1028" s="1" t="s">
        <v>105</v>
      </c>
      <c r="O1028" s="1" t="s">
        <v>106</v>
      </c>
      <c r="P1028" s="1"/>
      <c r="Q1028" s="1" t="s">
        <v>70</v>
      </c>
      <c r="U1028" s="1" t="s">
        <v>3438</v>
      </c>
      <c r="Z1028" s="1" t="s">
        <v>71</v>
      </c>
      <c r="AE1028" s="1" t="s">
        <v>3441</v>
      </c>
      <c r="AH1028" s="1" t="s">
        <v>73</v>
      </c>
      <c r="AK1028" s="1" t="s">
        <v>71</v>
      </c>
      <c r="AM1028" s="1" t="s">
        <v>71</v>
      </c>
      <c r="AN1028" s="1" t="s">
        <v>71</v>
      </c>
      <c r="AS1028" s="1" t="s">
        <v>71</v>
      </c>
      <c r="AX1028" s="1" t="s">
        <v>71</v>
      </c>
      <c r="AY1028" s="1" t="s">
        <v>59</v>
      </c>
      <c r="AZ1028" s="1" t="s">
        <v>74</v>
      </c>
      <c r="BH1028" s="1" t="s">
        <v>71</v>
      </c>
    </row>
    <row r="1029" customFormat="false" ht="15" hidden="false" customHeight="false" outlineLevel="0" collapsed="false">
      <c r="A1029" s="1" t="s">
        <v>3442</v>
      </c>
      <c r="B1029" s="1" t="s">
        <v>3443</v>
      </c>
      <c r="C1029" s="1" t="s">
        <v>998</v>
      </c>
      <c r="D1029" s="1" t="s">
        <v>3444</v>
      </c>
      <c r="E1029" s="1" t="s">
        <v>82</v>
      </c>
      <c r="F1029" s="1" t="s">
        <v>391</v>
      </c>
      <c r="G1029" s="1" t="s">
        <v>443</v>
      </c>
      <c r="H1029" s="1" t="s">
        <v>444</v>
      </c>
      <c r="K1029" s="1" t="s">
        <v>61</v>
      </c>
      <c r="L1029" s="1" t="s">
        <v>445</v>
      </c>
      <c r="M1029" s="1" t="s">
        <v>496</v>
      </c>
      <c r="N1029" s="1" t="s">
        <v>3445</v>
      </c>
      <c r="O1029" s="1" t="s">
        <v>3446</v>
      </c>
      <c r="P1029" s="1"/>
      <c r="Q1029" s="1" t="s">
        <v>70</v>
      </c>
      <c r="Z1029" s="1" t="s">
        <v>71</v>
      </c>
      <c r="AE1029" s="1" t="s">
        <v>3447</v>
      </c>
      <c r="AH1029" s="1" t="s">
        <v>73</v>
      </c>
      <c r="AK1029" s="1" t="s">
        <v>71</v>
      </c>
      <c r="AM1029" s="1" t="s">
        <v>71</v>
      </c>
      <c r="AN1029" s="1" t="s">
        <v>71</v>
      </c>
      <c r="AS1029" s="1" t="s">
        <v>71</v>
      </c>
      <c r="AX1029" s="1" t="s">
        <v>71</v>
      </c>
      <c r="BH1029" s="1" t="s">
        <v>71</v>
      </c>
    </row>
    <row r="1030" customFormat="false" ht="15" hidden="false" customHeight="false" outlineLevel="0" collapsed="false">
      <c r="A1030" s="1" t="s">
        <v>3448</v>
      </c>
      <c r="B1030" s="1" t="s">
        <v>3449</v>
      </c>
      <c r="C1030" s="1" t="s">
        <v>998</v>
      </c>
      <c r="D1030" s="1" t="s">
        <v>3444</v>
      </c>
      <c r="E1030" s="1" t="s">
        <v>82</v>
      </c>
      <c r="F1030" s="1" t="s">
        <v>391</v>
      </c>
      <c r="G1030" s="1" t="s">
        <v>443</v>
      </c>
      <c r="H1030" s="1" t="s">
        <v>444</v>
      </c>
      <c r="K1030" s="1" t="s">
        <v>61</v>
      </c>
      <c r="L1030" s="1" t="s">
        <v>445</v>
      </c>
      <c r="M1030" s="1" t="s">
        <v>496</v>
      </c>
      <c r="N1030" s="1" t="s">
        <v>3445</v>
      </c>
      <c r="O1030" s="1" t="s">
        <v>3446</v>
      </c>
      <c r="P1030" s="1"/>
      <c r="Q1030" s="1" t="s">
        <v>70</v>
      </c>
      <c r="Z1030" s="1" t="s">
        <v>71</v>
      </c>
      <c r="AE1030" s="1" t="s">
        <v>3447</v>
      </c>
      <c r="AH1030" s="1" t="s">
        <v>73</v>
      </c>
      <c r="AK1030" s="1" t="s">
        <v>71</v>
      </c>
      <c r="AM1030" s="1" t="s">
        <v>71</v>
      </c>
      <c r="AN1030" s="1" t="s">
        <v>71</v>
      </c>
      <c r="AS1030" s="1" t="s">
        <v>71</v>
      </c>
      <c r="AX1030" s="1" t="s">
        <v>71</v>
      </c>
      <c r="BH1030" s="1" t="s">
        <v>71</v>
      </c>
    </row>
    <row r="1031" customFormat="false" ht="15" hidden="false" customHeight="false" outlineLevel="0" collapsed="false">
      <c r="A1031" s="1" t="s">
        <v>3450</v>
      </c>
      <c r="B1031" s="1" t="s">
        <v>3451</v>
      </c>
      <c r="C1031" s="1" t="s">
        <v>998</v>
      </c>
      <c r="D1031" s="1" t="s">
        <v>3444</v>
      </c>
      <c r="E1031" s="1" t="s">
        <v>82</v>
      </c>
      <c r="F1031" s="1" t="s">
        <v>391</v>
      </c>
      <c r="G1031" s="1" t="s">
        <v>443</v>
      </c>
      <c r="H1031" s="1" t="s">
        <v>444</v>
      </c>
      <c r="K1031" s="1" t="s">
        <v>61</v>
      </c>
      <c r="L1031" s="1" t="s">
        <v>445</v>
      </c>
      <c r="M1031" s="1" t="s">
        <v>496</v>
      </c>
      <c r="N1031" s="1" t="s">
        <v>3445</v>
      </c>
      <c r="O1031" s="1" t="s">
        <v>3446</v>
      </c>
      <c r="P1031" s="1"/>
      <c r="Q1031" s="1" t="s">
        <v>70</v>
      </c>
      <c r="Z1031" s="1" t="s">
        <v>71</v>
      </c>
      <c r="AE1031" s="1" t="s">
        <v>3447</v>
      </c>
      <c r="AH1031" s="1" t="s">
        <v>73</v>
      </c>
      <c r="AK1031" s="1" t="s">
        <v>71</v>
      </c>
      <c r="AM1031" s="1" t="s">
        <v>71</v>
      </c>
      <c r="AN1031" s="1" t="s">
        <v>71</v>
      </c>
      <c r="AS1031" s="1" t="s">
        <v>71</v>
      </c>
      <c r="AX1031" s="1" t="s">
        <v>71</v>
      </c>
      <c r="BH1031" s="1" t="s">
        <v>71</v>
      </c>
    </row>
    <row r="1032" customFormat="false" ht="15" hidden="false" customHeight="false" outlineLevel="0" collapsed="false">
      <c r="A1032" s="1" t="s">
        <v>3452</v>
      </c>
      <c r="B1032" s="1" t="s">
        <v>3453</v>
      </c>
      <c r="C1032" s="1" t="s">
        <v>998</v>
      </c>
      <c r="D1032" s="1" t="s">
        <v>3444</v>
      </c>
      <c r="E1032" s="1" t="s">
        <v>82</v>
      </c>
      <c r="F1032" s="1" t="s">
        <v>391</v>
      </c>
      <c r="G1032" s="1" t="s">
        <v>443</v>
      </c>
      <c r="H1032" s="1" t="s">
        <v>444</v>
      </c>
      <c r="K1032" s="1" t="s">
        <v>61</v>
      </c>
      <c r="L1032" s="1" t="s">
        <v>445</v>
      </c>
      <c r="M1032" s="1" t="s">
        <v>496</v>
      </c>
      <c r="N1032" s="1" t="s">
        <v>3445</v>
      </c>
      <c r="O1032" s="1" t="s">
        <v>3446</v>
      </c>
      <c r="P1032" s="1"/>
      <c r="Q1032" s="1" t="s">
        <v>70</v>
      </c>
      <c r="Z1032" s="1" t="s">
        <v>71</v>
      </c>
      <c r="AE1032" s="1" t="s">
        <v>3447</v>
      </c>
      <c r="AH1032" s="1" t="s">
        <v>73</v>
      </c>
      <c r="AK1032" s="1" t="s">
        <v>71</v>
      </c>
      <c r="AM1032" s="1" t="s">
        <v>71</v>
      </c>
      <c r="AN1032" s="1" t="s">
        <v>71</v>
      </c>
      <c r="AS1032" s="1" t="s">
        <v>71</v>
      </c>
      <c r="AX1032" s="1" t="s">
        <v>71</v>
      </c>
      <c r="BH1032" s="1" t="s">
        <v>71</v>
      </c>
    </row>
    <row r="1033" customFormat="false" ht="15" hidden="false" customHeight="false" outlineLevel="0" collapsed="false">
      <c r="A1033" s="1" t="s">
        <v>3454</v>
      </c>
      <c r="B1033" s="1" t="s">
        <v>3455</v>
      </c>
      <c r="C1033" s="1" t="s">
        <v>998</v>
      </c>
      <c r="D1033" s="1" t="s">
        <v>3444</v>
      </c>
      <c r="E1033" s="1" t="s">
        <v>82</v>
      </c>
      <c r="F1033" s="1" t="s">
        <v>391</v>
      </c>
      <c r="G1033" s="1" t="s">
        <v>443</v>
      </c>
      <c r="H1033" s="1" t="s">
        <v>444</v>
      </c>
      <c r="K1033" s="1" t="s">
        <v>61</v>
      </c>
      <c r="L1033" s="1" t="s">
        <v>445</v>
      </c>
      <c r="M1033" s="1" t="s">
        <v>496</v>
      </c>
      <c r="N1033" s="1" t="s">
        <v>3445</v>
      </c>
      <c r="O1033" s="1" t="s">
        <v>3446</v>
      </c>
      <c r="P1033" s="1"/>
      <c r="Q1033" s="1" t="s">
        <v>70</v>
      </c>
      <c r="Z1033" s="1" t="s">
        <v>71</v>
      </c>
      <c r="AE1033" s="1" t="s">
        <v>3447</v>
      </c>
      <c r="AH1033" s="1" t="s">
        <v>73</v>
      </c>
      <c r="AK1033" s="1" t="s">
        <v>71</v>
      </c>
      <c r="AM1033" s="1" t="s">
        <v>71</v>
      </c>
      <c r="AN1033" s="1" t="s">
        <v>71</v>
      </c>
      <c r="AS1033" s="1" t="s">
        <v>71</v>
      </c>
      <c r="AX1033" s="1" t="s">
        <v>71</v>
      </c>
      <c r="BH1033" s="1" t="s">
        <v>71</v>
      </c>
    </row>
    <row r="1034" customFormat="false" ht="15" hidden="false" customHeight="false" outlineLevel="0" collapsed="false">
      <c r="A1034" s="1" t="s">
        <v>3456</v>
      </c>
      <c r="B1034" s="1" t="s">
        <v>3457</v>
      </c>
      <c r="C1034" s="1" t="s">
        <v>969</v>
      </c>
      <c r="D1034" s="1" t="s">
        <v>3352</v>
      </c>
      <c r="E1034" s="1" t="s">
        <v>82</v>
      </c>
      <c r="F1034" s="1" t="s">
        <v>391</v>
      </c>
      <c r="G1034" s="1" t="s">
        <v>443</v>
      </c>
      <c r="H1034" s="1" t="s">
        <v>444</v>
      </c>
      <c r="K1034" s="1" t="s">
        <v>61</v>
      </c>
      <c r="L1034" s="1" t="s">
        <v>445</v>
      </c>
      <c r="M1034" s="1" t="s">
        <v>3458</v>
      </c>
      <c r="N1034" s="1" t="s">
        <v>807</v>
      </c>
      <c r="O1034" s="1" t="s">
        <v>808</v>
      </c>
      <c r="P1034" s="1"/>
      <c r="Q1034" s="1" t="s">
        <v>70</v>
      </c>
      <c r="Z1034" s="1" t="s">
        <v>71</v>
      </c>
      <c r="AE1034" s="1" t="s">
        <v>3447</v>
      </c>
      <c r="AH1034" s="1" t="s">
        <v>73</v>
      </c>
      <c r="AK1034" s="1" t="s">
        <v>71</v>
      </c>
      <c r="AM1034" s="1" t="s">
        <v>71</v>
      </c>
      <c r="AN1034" s="1" t="s">
        <v>71</v>
      </c>
      <c r="AS1034" s="1" t="s">
        <v>71</v>
      </c>
      <c r="AX1034" s="1" t="s">
        <v>71</v>
      </c>
      <c r="BH1034" s="1" t="s">
        <v>71</v>
      </c>
    </row>
    <row r="1035" customFormat="false" ht="15" hidden="false" customHeight="false" outlineLevel="0" collapsed="false">
      <c r="A1035" s="1" t="s">
        <v>3459</v>
      </c>
      <c r="B1035" s="1" t="s">
        <v>3460</v>
      </c>
      <c r="C1035" s="1" t="s">
        <v>969</v>
      </c>
      <c r="D1035" s="1" t="s">
        <v>3352</v>
      </c>
      <c r="E1035" s="1" t="s">
        <v>82</v>
      </c>
      <c r="F1035" s="1" t="s">
        <v>391</v>
      </c>
      <c r="G1035" s="1" t="s">
        <v>443</v>
      </c>
      <c r="H1035" s="1" t="s">
        <v>444</v>
      </c>
      <c r="K1035" s="1" t="s">
        <v>618</v>
      </c>
      <c r="L1035" s="1" t="s">
        <v>619</v>
      </c>
      <c r="M1035" s="1" t="s">
        <v>3353</v>
      </c>
      <c r="N1035" s="1" t="s">
        <v>3461</v>
      </c>
      <c r="O1035" s="1" t="s">
        <v>3462</v>
      </c>
      <c r="P1035" s="1"/>
      <c r="Q1035" s="1" t="s">
        <v>70</v>
      </c>
      <c r="Z1035" s="1" t="s">
        <v>71</v>
      </c>
      <c r="AE1035" s="1" t="s">
        <v>3463</v>
      </c>
      <c r="AH1035" s="1" t="s">
        <v>73</v>
      </c>
      <c r="AK1035" s="1" t="s">
        <v>71</v>
      </c>
      <c r="AM1035" s="1" t="s">
        <v>71</v>
      </c>
      <c r="AN1035" s="1" t="s">
        <v>71</v>
      </c>
      <c r="AS1035" s="1" t="s">
        <v>71</v>
      </c>
      <c r="AX1035" s="1" t="s">
        <v>71</v>
      </c>
      <c r="BH1035" s="1" t="s">
        <v>71</v>
      </c>
    </row>
    <row r="1036" customFormat="false" ht="15" hidden="false" customHeight="false" outlineLevel="0" collapsed="false">
      <c r="A1036" s="1" t="s">
        <v>3464</v>
      </c>
      <c r="B1036" s="1" t="s">
        <v>3465</v>
      </c>
      <c r="C1036" s="1" t="s">
        <v>969</v>
      </c>
      <c r="D1036" s="1" t="s">
        <v>3352</v>
      </c>
      <c r="E1036" s="1" t="s">
        <v>82</v>
      </c>
      <c r="F1036" s="1" t="s">
        <v>391</v>
      </c>
      <c r="G1036" s="1" t="s">
        <v>443</v>
      </c>
      <c r="H1036" s="1" t="s">
        <v>444</v>
      </c>
      <c r="K1036" s="1" t="s">
        <v>61</v>
      </c>
      <c r="L1036" s="1" t="s">
        <v>445</v>
      </c>
      <c r="M1036" s="1" t="s">
        <v>496</v>
      </c>
      <c r="N1036" s="1" t="s">
        <v>3360</v>
      </c>
      <c r="O1036" s="1" t="s">
        <v>3361</v>
      </c>
      <c r="P1036" s="1"/>
      <c r="Q1036" s="1" t="s">
        <v>70</v>
      </c>
      <c r="Z1036" s="1" t="s">
        <v>71</v>
      </c>
      <c r="AE1036" s="1" t="s">
        <v>3463</v>
      </c>
      <c r="AH1036" s="1" t="s">
        <v>73</v>
      </c>
      <c r="AK1036" s="1" t="s">
        <v>71</v>
      </c>
      <c r="AM1036" s="1" t="s">
        <v>71</v>
      </c>
      <c r="AN1036" s="1" t="s">
        <v>71</v>
      </c>
      <c r="AS1036" s="1" t="s">
        <v>71</v>
      </c>
      <c r="AX1036" s="1" t="s">
        <v>71</v>
      </c>
      <c r="BH1036" s="1" t="s">
        <v>71</v>
      </c>
    </row>
    <row r="1037" customFormat="false" ht="15" hidden="false" customHeight="false" outlineLevel="0" collapsed="false">
      <c r="A1037" s="1" t="s">
        <v>3466</v>
      </c>
      <c r="B1037" s="1" t="s">
        <v>3467</v>
      </c>
      <c r="C1037" s="1" t="s">
        <v>920</v>
      </c>
      <c r="D1037" s="1" t="s">
        <v>3085</v>
      </c>
      <c r="E1037" s="1" t="s">
        <v>82</v>
      </c>
      <c r="F1037" s="1" t="s">
        <v>391</v>
      </c>
      <c r="G1037" s="1" t="s">
        <v>443</v>
      </c>
      <c r="H1037" s="1" t="s">
        <v>444</v>
      </c>
      <c r="K1037" s="1" t="s">
        <v>988</v>
      </c>
      <c r="L1037" s="1" t="s">
        <v>989</v>
      </c>
      <c r="M1037" s="1" t="s">
        <v>496</v>
      </c>
      <c r="N1037" s="1" t="s">
        <v>1682</v>
      </c>
      <c r="O1037" s="1" t="s">
        <v>1001</v>
      </c>
      <c r="P1037" s="1"/>
      <c r="Q1037" s="1" t="s">
        <v>70</v>
      </c>
      <c r="Z1037" s="1" t="s">
        <v>71</v>
      </c>
      <c r="AE1037" s="1" t="s">
        <v>3463</v>
      </c>
      <c r="AH1037" s="1" t="s">
        <v>73</v>
      </c>
      <c r="AK1037" s="1" t="s">
        <v>71</v>
      </c>
      <c r="AM1037" s="1" t="s">
        <v>71</v>
      </c>
      <c r="AN1037" s="1" t="s">
        <v>71</v>
      </c>
      <c r="AS1037" s="1" t="s">
        <v>71</v>
      </c>
      <c r="AX1037" s="1" t="s">
        <v>71</v>
      </c>
      <c r="BH1037" s="1" t="s">
        <v>71</v>
      </c>
    </row>
    <row r="1038" customFormat="false" ht="15" hidden="false" customHeight="false" outlineLevel="0" collapsed="false">
      <c r="A1038" s="1" t="s">
        <v>3468</v>
      </c>
      <c r="B1038" s="1" t="s">
        <v>3469</v>
      </c>
      <c r="C1038" s="1" t="s">
        <v>920</v>
      </c>
      <c r="D1038" s="1" t="s">
        <v>3085</v>
      </c>
      <c r="E1038" s="1" t="s">
        <v>82</v>
      </c>
      <c r="F1038" s="1" t="s">
        <v>391</v>
      </c>
      <c r="G1038" s="1" t="s">
        <v>443</v>
      </c>
      <c r="H1038" s="1" t="s">
        <v>444</v>
      </c>
      <c r="K1038" s="1" t="s">
        <v>988</v>
      </c>
      <c r="L1038" s="1" t="s">
        <v>989</v>
      </c>
      <c r="M1038" s="1" t="s">
        <v>496</v>
      </c>
      <c r="N1038" s="1" t="s">
        <v>1682</v>
      </c>
      <c r="O1038" s="1" t="s">
        <v>1001</v>
      </c>
      <c r="P1038" s="1"/>
      <c r="Q1038" s="1" t="s">
        <v>70</v>
      </c>
      <c r="Z1038" s="1" t="s">
        <v>71</v>
      </c>
      <c r="AE1038" s="1" t="s">
        <v>3463</v>
      </c>
      <c r="AH1038" s="1" t="s">
        <v>73</v>
      </c>
      <c r="AK1038" s="1" t="s">
        <v>71</v>
      </c>
      <c r="AM1038" s="1" t="s">
        <v>71</v>
      </c>
      <c r="AN1038" s="1" t="s">
        <v>71</v>
      </c>
      <c r="AS1038" s="1" t="s">
        <v>71</v>
      </c>
      <c r="AX1038" s="1" t="s">
        <v>71</v>
      </c>
      <c r="BH1038" s="1" t="s">
        <v>71</v>
      </c>
    </row>
    <row r="1039" customFormat="false" ht="15" hidden="false" customHeight="false" outlineLevel="0" collapsed="false">
      <c r="A1039" s="1" t="s">
        <v>3470</v>
      </c>
      <c r="B1039" s="1" t="s">
        <v>3471</v>
      </c>
      <c r="C1039" s="1" t="s">
        <v>920</v>
      </c>
      <c r="D1039" s="1" t="s">
        <v>3085</v>
      </c>
      <c r="E1039" s="1" t="s">
        <v>82</v>
      </c>
      <c r="F1039" s="1" t="s">
        <v>391</v>
      </c>
      <c r="G1039" s="1" t="s">
        <v>443</v>
      </c>
      <c r="H1039" s="1" t="s">
        <v>444</v>
      </c>
      <c r="K1039" s="1" t="s">
        <v>988</v>
      </c>
      <c r="L1039" s="1" t="s">
        <v>989</v>
      </c>
      <c r="M1039" s="1" t="s">
        <v>496</v>
      </c>
      <c r="N1039" s="1" t="s">
        <v>1682</v>
      </c>
      <c r="O1039" s="1" t="s">
        <v>1001</v>
      </c>
      <c r="P1039" s="1" t="s">
        <v>3472</v>
      </c>
      <c r="Z1039" s="1" t="s">
        <v>71</v>
      </c>
      <c r="AE1039" s="1" t="s">
        <v>3463</v>
      </c>
      <c r="AH1039" s="1" t="s">
        <v>73</v>
      </c>
      <c r="AK1039" s="1" t="s">
        <v>71</v>
      </c>
      <c r="AM1039" s="1" t="s">
        <v>71</v>
      </c>
      <c r="AN1039" s="1" t="s">
        <v>71</v>
      </c>
      <c r="AS1039" s="1" t="s">
        <v>71</v>
      </c>
      <c r="AX1039" s="1" t="s">
        <v>71</v>
      </c>
      <c r="BH1039" s="1" t="s">
        <v>71</v>
      </c>
    </row>
    <row r="1040" customFormat="false" ht="15" hidden="false" customHeight="false" outlineLevel="0" collapsed="false">
      <c r="A1040" s="1" t="s">
        <v>3473</v>
      </c>
      <c r="B1040" s="1" t="s">
        <v>3105</v>
      </c>
      <c r="C1040" s="1" t="s">
        <v>920</v>
      </c>
      <c r="D1040" s="1" t="s">
        <v>3085</v>
      </c>
      <c r="E1040" s="1" t="s">
        <v>82</v>
      </c>
      <c r="F1040" s="1" t="s">
        <v>391</v>
      </c>
      <c r="G1040" s="1" t="s">
        <v>443</v>
      </c>
      <c r="H1040" s="1" t="s">
        <v>444</v>
      </c>
      <c r="K1040" s="1" t="s">
        <v>618</v>
      </c>
      <c r="L1040" s="1" t="s">
        <v>619</v>
      </c>
      <c r="M1040" s="1" t="s">
        <v>496</v>
      </c>
      <c r="N1040" s="1" t="s">
        <v>2032</v>
      </c>
      <c r="O1040" s="1" t="s">
        <v>447</v>
      </c>
      <c r="P1040" s="1" t="s">
        <v>3474</v>
      </c>
      <c r="Z1040" s="1" t="s">
        <v>71</v>
      </c>
      <c r="AE1040" s="1" t="s">
        <v>3463</v>
      </c>
      <c r="AH1040" s="1" t="s">
        <v>73</v>
      </c>
      <c r="AK1040" s="1" t="s">
        <v>71</v>
      </c>
      <c r="AM1040" s="1" t="s">
        <v>71</v>
      </c>
      <c r="AN1040" s="1" t="s">
        <v>71</v>
      </c>
      <c r="AS1040" s="1" t="s">
        <v>71</v>
      </c>
      <c r="AX1040" s="1" t="s">
        <v>71</v>
      </c>
      <c r="BH1040" s="1" t="s">
        <v>71</v>
      </c>
    </row>
    <row r="1041" customFormat="false" ht="15" hidden="false" customHeight="false" outlineLevel="0" collapsed="false">
      <c r="A1041" s="1" t="s">
        <v>3475</v>
      </c>
      <c r="B1041" s="1" t="s">
        <v>3476</v>
      </c>
      <c r="C1041" s="1" t="s">
        <v>992</v>
      </c>
      <c r="D1041" s="1" t="s">
        <v>3306</v>
      </c>
      <c r="E1041" s="1" t="s">
        <v>88</v>
      </c>
      <c r="F1041" s="1" t="s">
        <v>432</v>
      </c>
      <c r="G1041" s="1" t="s">
        <v>229</v>
      </c>
      <c r="H1041" s="1" t="s">
        <v>495</v>
      </c>
      <c r="K1041" s="1" t="s">
        <v>561</v>
      </c>
      <c r="L1041" s="1" t="s">
        <v>1720</v>
      </c>
      <c r="M1041" s="1" t="s">
        <v>496</v>
      </c>
      <c r="N1041" s="1" t="s">
        <v>1722</v>
      </c>
      <c r="O1041" s="1" t="s">
        <v>1723</v>
      </c>
      <c r="P1041" s="1" t="s">
        <v>3477</v>
      </c>
      <c r="Z1041" s="1" t="s">
        <v>71</v>
      </c>
      <c r="AE1041" s="1" t="s">
        <v>3463</v>
      </c>
      <c r="AH1041" s="1" t="s">
        <v>73</v>
      </c>
      <c r="AK1041" s="1" t="s">
        <v>71</v>
      </c>
      <c r="AM1041" s="1" t="s">
        <v>71</v>
      </c>
      <c r="AN1041" s="1" t="s">
        <v>71</v>
      </c>
      <c r="AS1041" s="1" t="s">
        <v>71</v>
      </c>
      <c r="AX1041" s="1" t="s">
        <v>71</v>
      </c>
      <c r="BH1041" s="1" t="s">
        <v>71</v>
      </c>
    </row>
    <row r="1042" customFormat="false" ht="15" hidden="false" customHeight="false" outlineLevel="0" collapsed="false">
      <c r="A1042" s="1" t="s">
        <v>3478</v>
      </c>
      <c r="B1042" s="1" t="s">
        <v>3479</v>
      </c>
      <c r="C1042" s="1" t="s">
        <v>992</v>
      </c>
      <c r="D1042" s="1" t="s">
        <v>3306</v>
      </c>
      <c r="E1042" s="1" t="s">
        <v>88</v>
      </c>
      <c r="F1042" s="1" t="s">
        <v>432</v>
      </c>
      <c r="G1042" s="1" t="s">
        <v>229</v>
      </c>
      <c r="H1042" s="1" t="s">
        <v>495</v>
      </c>
      <c r="K1042" s="1" t="s">
        <v>251</v>
      </c>
      <c r="L1042" s="1" t="s">
        <v>2664</v>
      </c>
      <c r="M1042" s="1" t="s">
        <v>496</v>
      </c>
      <c r="N1042" s="1" t="s">
        <v>2663</v>
      </c>
      <c r="O1042" s="1" t="s">
        <v>2664</v>
      </c>
      <c r="P1042" s="1" t="s">
        <v>3480</v>
      </c>
      <c r="Z1042" s="1" t="s">
        <v>71</v>
      </c>
      <c r="AE1042" s="1" t="s">
        <v>3463</v>
      </c>
      <c r="AH1042" s="1" t="s">
        <v>73</v>
      </c>
      <c r="AK1042" s="1" t="s">
        <v>71</v>
      </c>
      <c r="AM1042" s="1" t="s">
        <v>71</v>
      </c>
      <c r="AN1042" s="1" t="s">
        <v>71</v>
      </c>
      <c r="AS1042" s="1" t="s">
        <v>71</v>
      </c>
      <c r="AX1042" s="1" t="s">
        <v>71</v>
      </c>
      <c r="BH1042" s="1" t="s">
        <v>71</v>
      </c>
    </row>
    <row r="1043" customFormat="false" ht="15" hidden="false" customHeight="false" outlineLevel="0" collapsed="false">
      <c r="A1043" s="1" t="s">
        <v>3481</v>
      </c>
      <c r="B1043" s="1" t="s">
        <v>3482</v>
      </c>
      <c r="C1043" s="1" t="s">
        <v>992</v>
      </c>
      <c r="D1043" s="1" t="s">
        <v>3306</v>
      </c>
      <c r="E1043" s="1" t="s">
        <v>88</v>
      </c>
      <c r="F1043" s="1" t="s">
        <v>432</v>
      </c>
      <c r="G1043" s="1" t="s">
        <v>229</v>
      </c>
      <c r="H1043" s="1" t="s">
        <v>495</v>
      </c>
      <c r="K1043" s="1" t="s">
        <v>251</v>
      </c>
      <c r="L1043" s="1" t="s">
        <v>2664</v>
      </c>
      <c r="M1043" s="1" t="s">
        <v>496</v>
      </c>
      <c r="N1043" s="1" t="s">
        <v>2663</v>
      </c>
      <c r="O1043" s="1" t="s">
        <v>2664</v>
      </c>
      <c r="P1043" s="1" t="s">
        <v>3480</v>
      </c>
      <c r="Z1043" s="1" t="s">
        <v>71</v>
      </c>
      <c r="AE1043" s="1" t="s">
        <v>3463</v>
      </c>
      <c r="AH1043" s="1" t="s">
        <v>73</v>
      </c>
      <c r="AK1043" s="1" t="s">
        <v>71</v>
      </c>
      <c r="AM1043" s="1" t="s">
        <v>71</v>
      </c>
      <c r="AN1043" s="1" t="s">
        <v>71</v>
      </c>
      <c r="AS1043" s="1" t="s">
        <v>71</v>
      </c>
      <c r="AX1043" s="1" t="s">
        <v>71</v>
      </c>
      <c r="BH1043" s="1" t="s">
        <v>71</v>
      </c>
    </row>
    <row r="1044" customFormat="false" ht="15" hidden="false" customHeight="false" outlineLevel="0" collapsed="false">
      <c r="A1044" s="1" t="s">
        <v>3483</v>
      </c>
      <c r="B1044" s="1" t="s">
        <v>3484</v>
      </c>
      <c r="C1044" s="1" t="s">
        <v>1002</v>
      </c>
      <c r="D1044" s="1" t="s">
        <v>3485</v>
      </c>
      <c r="E1044" s="1" t="s">
        <v>82</v>
      </c>
      <c r="F1044" s="1" t="s">
        <v>391</v>
      </c>
      <c r="G1044" s="1" t="s">
        <v>97</v>
      </c>
      <c r="H1044" s="1" t="s">
        <v>406</v>
      </c>
      <c r="K1044" s="1" t="s">
        <v>2144</v>
      </c>
      <c r="L1044" s="1" t="s">
        <v>2145</v>
      </c>
      <c r="M1044" s="1" t="s">
        <v>465</v>
      </c>
      <c r="N1044" s="1" t="s">
        <v>3486</v>
      </c>
      <c r="O1044" s="1" t="s">
        <v>400</v>
      </c>
      <c r="P1044" s="1" t="s">
        <v>3487</v>
      </c>
      <c r="Z1044" s="1" t="s">
        <v>71</v>
      </c>
      <c r="AE1044" s="1" t="s">
        <v>3488</v>
      </c>
      <c r="AH1044" s="1" t="s">
        <v>73</v>
      </c>
      <c r="AK1044" s="1" t="s">
        <v>71</v>
      </c>
      <c r="AM1044" s="1" t="s">
        <v>71</v>
      </c>
      <c r="AN1044" s="1" t="s">
        <v>71</v>
      </c>
      <c r="AS1044" s="1" t="s">
        <v>71</v>
      </c>
      <c r="AX1044" s="1" t="s">
        <v>71</v>
      </c>
      <c r="BH1044" s="1" t="s">
        <v>71</v>
      </c>
    </row>
    <row r="1045" customFormat="false" ht="15" hidden="false" customHeight="false" outlineLevel="0" collapsed="false">
      <c r="A1045" s="1" t="s">
        <v>3489</v>
      </c>
      <c r="B1045" s="1" t="s">
        <v>3358</v>
      </c>
      <c r="C1045" s="1" t="s">
        <v>969</v>
      </c>
      <c r="D1045" s="1" t="s">
        <v>3352</v>
      </c>
      <c r="E1045" s="1" t="s">
        <v>82</v>
      </c>
      <c r="F1045" s="1" t="s">
        <v>391</v>
      </c>
      <c r="G1045" s="1" t="s">
        <v>443</v>
      </c>
      <c r="H1045" s="1" t="s">
        <v>444</v>
      </c>
      <c r="K1045" s="1" t="s">
        <v>618</v>
      </c>
      <c r="L1045" s="1" t="s">
        <v>619</v>
      </c>
      <c r="M1045" s="1" t="s">
        <v>3359</v>
      </c>
      <c r="N1045" s="1" t="s">
        <v>3360</v>
      </c>
      <c r="O1045" s="1" t="s">
        <v>3361</v>
      </c>
      <c r="P1045" s="1" t="s">
        <v>3490</v>
      </c>
      <c r="Z1045" s="1" t="s">
        <v>71</v>
      </c>
      <c r="AE1045" s="1" t="s">
        <v>3491</v>
      </c>
      <c r="AH1045" s="1" t="s">
        <v>73</v>
      </c>
      <c r="AK1045" s="1" t="s">
        <v>71</v>
      </c>
      <c r="AM1045" s="1" t="s">
        <v>71</v>
      </c>
      <c r="AN1045" s="1" t="s">
        <v>71</v>
      </c>
      <c r="AS1045" s="1" t="s">
        <v>71</v>
      </c>
      <c r="AX1045" s="1" t="s">
        <v>71</v>
      </c>
      <c r="BH1045" s="1" t="s">
        <v>71</v>
      </c>
    </row>
    <row r="1046" customFormat="false" ht="15" hidden="false" customHeight="false" outlineLevel="0" collapsed="false">
      <c r="A1046" s="1" t="s">
        <v>3492</v>
      </c>
      <c r="B1046" s="1" t="s">
        <v>3493</v>
      </c>
      <c r="C1046" s="1" t="s">
        <v>969</v>
      </c>
      <c r="D1046" s="1" t="s">
        <v>3352</v>
      </c>
      <c r="E1046" s="1" t="s">
        <v>82</v>
      </c>
      <c r="F1046" s="1" t="s">
        <v>391</v>
      </c>
      <c r="G1046" s="1" t="s">
        <v>443</v>
      </c>
      <c r="H1046" s="1" t="s">
        <v>444</v>
      </c>
      <c r="K1046" s="1" t="s">
        <v>61</v>
      </c>
      <c r="L1046" s="1" t="s">
        <v>445</v>
      </c>
      <c r="M1046" s="1" t="s">
        <v>496</v>
      </c>
      <c r="N1046" s="1" t="s">
        <v>685</v>
      </c>
      <c r="O1046" s="1" t="s">
        <v>400</v>
      </c>
      <c r="P1046" s="1" t="s">
        <v>3494</v>
      </c>
      <c r="Z1046" s="1" t="s">
        <v>71</v>
      </c>
      <c r="AE1046" s="1" t="s">
        <v>3491</v>
      </c>
      <c r="AH1046" s="1" t="s">
        <v>73</v>
      </c>
      <c r="AK1046" s="1" t="s">
        <v>71</v>
      </c>
      <c r="AM1046" s="1" t="s">
        <v>71</v>
      </c>
      <c r="AN1046" s="1" t="s">
        <v>71</v>
      </c>
      <c r="AS1046" s="1" t="s">
        <v>71</v>
      </c>
      <c r="AX1046" s="1" t="s">
        <v>71</v>
      </c>
      <c r="BH1046" s="1" t="s">
        <v>71</v>
      </c>
    </row>
    <row r="1047" customFormat="false" ht="15" hidden="false" customHeight="false" outlineLevel="0" collapsed="false">
      <c r="A1047" s="1" t="s">
        <v>3495</v>
      </c>
      <c r="B1047" s="1" t="s">
        <v>3496</v>
      </c>
      <c r="C1047" s="1" t="s">
        <v>969</v>
      </c>
      <c r="D1047" s="1" t="s">
        <v>3352</v>
      </c>
      <c r="E1047" s="1" t="s">
        <v>82</v>
      </c>
      <c r="F1047" s="1" t="s">
        <v>391</v>
      </c>
      <c r="G1047" s="1" t="s">
        <v>443</v>
      </c>
      <c r="H1047" s="1" t="s">
        <v>444</v>
      </c>
      <c r="K1047" s="1" t="s">
        <v>61</v>
      </c>
      <c r="L1047" s="1" t="s">
        <v>445</v>
      </c>
      <c r="M1047" s="1" t="s">
        <v>3353</v>
      </c>
      <c r="N1047" s="1" t="s">
        <v>3354</v>
      </c>
      <c r="O1047" s="1" t="s">
        <v>400</v>
      </c>
      <c r="P1047" s="1" t="s">
        <v>3497</v>
      </c>
      <c r="Z1047" s="1" t="s">
        <v>71</v>
      </c>
      <c r="AE1047" s="1" t="s">
        <v>3491</v>
      </c>
      <c r="AH1047" s="1" t="s">
        <v>73</v>
      </c>
      <c r="AK1047" s="1" t="s">
        <v>71</v>
      </c>
      <c r="AM1047" s="1" t="s">
        <v>71</v>
      </c>
      <c r="AN1047" s="1" t="s">
        <v>71</v>
      </c>
      <c r="AS1047" s="1" t="s">
        <v>71</v>
      </c>
      <c r="AX1047" s="1" t="s">
        <v>71</v>
      </c>
      <c r="BH1047" s="1" t="s">
        <v>71</v>
      </c>
    </row>
    <row r="1048" customFormat="false" ht="15" hidden="false" customHeight="false" outlineLevel="0" collapsed="false">
      <c r="A1048" s="1" t="s">
        <v>3498</v>
      </c>
      <c r="B1048" s="1" t="s">
        <v>3499</v>
      </c>
      <c r="C1048" s="1" t="s">
        <v>969</v>
      </c>
      <c r="D1048" s="1" t="s">
        <v>3352</v>
      </c>
      <c r="E1048" s="1" t="s">
        <v>82</v>
      </c>
      <c r="F1048" s="1" t="s">
        <v>391</v>
      </c>
      <c r="G1048" s="1" t="s">
        <v>443</v>
      </c>
      <c r="H1048" s="1" t="s">
        <v>444</v>
      </c>
      <c r="K1048" s="1" t="s">
        <v>61</v>
      </c>
      <c r="L1048" s="1" t="s">
        <v>445</v>
      </c>
      <c r="M1048" s="1" t="s">
        <v>3353</v>
      </c>
      <c r="N1048" s="1" t="s">
        <v>3354</v>
      </c>
      <c r="O1048" s="1" t="s">
        <v>400</v>
      </c>
      <c r="P1048" s="1" t="s">
        <v>3497</v>
      </c>
      <c r="Z1048" s="1" t="s">
        <v>71</v>
      </c>
      <c r="AE1048" s="1" t="s">
        <v>3491</v>
      </c>
      <c r="AH1048" s="1" t="s">
        <v>73</v>
      </c>
      <c r="AK1048" s="1" t="s">
        <v>71</v>
      </c>
      <c r="AM1048" s="1" t="s">
        <v>71</v>
      </c>
      <c r="AN1048" s="1" t="s">
        <v>71</v>
      </c>
      <c r="AS1048" s="1" t="s">
        <v>71</v>
      </c>
      <c r="AX1048" s="1" t="s">
        <v>71</v>
      </c>
      <c r="BH1048" s="1" t="s">
        <v>71</v>
      </c>
    </row>
    <row r="1049" customFormat="false" ht="15" hidden="false" customHeight="false" outlineLevel="0" collapsed="false">
      <c r="A1049" s="1" t="s">
        <v>3500</v>
      </c>
      <c r="B1049" s="1" t="s">
        <v>3501</v>
      </c>
      <c r="C1049" s="1" t="s">
        <v>182</v>
      </c>
      <c r="D1049" s="1" t="s">
        <v>239</v>
      </c>
      <c r="E1049" s="1" t="s">
        <v>61</v>
      </c>
      <c r="F1049" s="1" t="s">
        <v>101</v>
      </c>
      <c r="G1049" s="1" t="s">
        <v>148</v>
      </c>
      <c r="H1049" s="1" t="s">
        <v>231</v>
      </c>
      <c r="K1049" s="1" t="s">
        <v>195</v>
      </c>
      <c r="L1049" s="1" t="s">
        <v>3502</v>
      </c>
      <c r="M1049" s="1" t="s">
        <v>242</v>
      </c>
      <c r="N1049" s="1" t="s">
        <v>243</v>
      </c>
      <c r="O1049" s="1" t="s">
        <v>244</v>
      </c>
      <c r="P1049" s="1" t="s">
        <v>3503</v>
      </c>
      <c r="U1049" s="1" t="s">
        <v>263</v>
      </c>
      <c r="Z1049" s="1" t="s">
        <v>71</v>
      </c>
      <c r="AE1049" s="1" t="s">
        <v>3504</v>
      </c>
      <c r="AH1049" s="1" t="s">
        <v>73</v>
      </c>
      <c r="AK1049" s="1" t="s">
        <v>71</v>
      </c>
      <c r="AM1049" s="1" t="s">
        <v>71</v>
      </c>
      <c r="AN1049" s="1" t="s">
        <v>71</v>
      </c>
      <c r="AS1049" s="1" t="s">
        <v>71</v>
      </c>
      <c r="AX1049" s="1" t="s">
        <v>71</v>
      </c>
      <c r="AY1049" s="1" t="s">
        <v>59</v>
      </c>
      <c r="AZ1049" s="1" t="s">
        <v>74</v>
      </c>
      <c r="BH1049" s="1" t="s">
        <v>71</v>
      </c>
    </row>
    <row r="1050" customFormat="false" ht="15" hidden="false" customHeight="false" outlineLevel="0" collapsed="false">
      <c r="A1050" s="1" t="s">
        <v>3505</v>
      </c>
      <c r="B1050" s="1" t="s">
        <v>3506</v>
      </c>
      <c r="C1050" s="1" t="s">
        <v>142</v>
      </c>
      <c r="D1050" s="1" t="s">
        <v>1102</v>
      </c>
      <c r="E1050" s="1" t="s">
        <v>82</v>
      </c>
      <c r="F1050" s="1" t="s">
        <v>391</v>
      </c>
      <c r="G1050" s="1" t="s">
        <v>97</v>
      </c>
      <c r="H1050" s="1" t="s">
        <v>406</v>
      </c>
      <c r="K1050" s="1" t="s">
        <v>59</v>
      </c>
      <c r="L1050" s="1" t="s">
        <v>791</v>
      </c>
      <c r="M1050" s="1" t="s">
        <v>496</v>
      </c>
      <c r="N1050" s="1" t="s">
        <v>2686</v>
      </c>
      <c r="O1050" s="1" t="s">
        <v>447</v>
      </c>
      <c r="P1050" s="1" t="s">
        <v>3507</v>
      </c>
      <c r="Z1050" s="1" t="s">
        <v>71</v>
      </c>
      <c r="AE1050" s="1" t="s">
        <v>3504</v>
      </c>
      <c r="AH1050" s="1" t="s">
        <v>73</v>
      </c>
      <c r="AK1050" s="1" t="s">
        <v>71</v>
      </c>
      <c r="AM1050" s="1" t="s">
        <v>71</v>
      </c>
      <c r="AN1050" s="1" t="s">
        <v>71</v>
      </c>
      <c r="AS1050" s="1" t="s">
        <v>71</v>
      </c>
      <c r="AX1050" s="1" t="s">
        <v>71</v>
      </c>
      <c r="BH1050" s="1" t="s">
        <v>71</v>
      </c>
    </row>
    <row r="1051" customFormat="false" ht="15" hidden="false" customHeight="false" outlineLevel="0" collapsed="false">
      <c r="A1051" s="1" t="s">
        <v>3508</v>
      </c>
      <c r="B1051" s="1" t="s">
        <v>3509</v>
      </c>
      <c r="C1051" s="1" t="s">
        <v>528</v>
      </c>
      <c r="D1051" s="1" t="s">
        <v>1274</v>
      </c>
      <c r="E1051" s="1" t="s">
        <v>82</v>
      </c>
      <c r="F1051" s="1" t="s">
        <v>391</v>
      </c>
      <c r="G1051" s="1" t="s">
        <v>443</v>
      </c>
      <c r="H1051" s="1" t="s">
        <v>444</v>
      </c>
      <c r="K1051" s="1" t="s">
        <v>618</v>
      </c>
      <c r="L1051" s="1" t="s">
        <v>619</v>
      </c>
      <c r="M1051" s="1" t="s">
        <v>465</v>
      </c>
      <c r="N1051" s="1" t="s">
        <v>2334</v>
      </c>
      <c r="O1051" s="1" t="s">
        <v>2335</v>
      </c>
      <c r="P1051" s="1" t="s">
        <v>3510</v>
      </c>
      <c r="Z1051" s="1" t="s">
        <v>71</v>
      </c>
      <c r="AE1051" s="1" t="s">
        <v>3504</v>
      </c>
      <c r="AH1051" s="1" t="s">
        <v>73</v>
      </c>
      <c r="AK1051" s="1" t="s">
        <v>71</v>
      </c>
      <c r="AM1051" s="1" t="s">
        <v>71</v>
      </c>
      <c r="AN1051" s="1" t="s">
        <v>71</v>
      </c>
      <c r="AS1051" s="1" t="s">
        <v>71</v>
      </c>
      <c r="AX1051" s="1" t="s">
        <v>71</v>
      </c>
      <c r="BH1051" s="1" t="s">
        <v>71</v>
      </c>
    </row>
    <row r="1052" customFormat="false" ht="15" hidden="false" customHeight="false" outlineLevel="0" collapsed="false">
      <c r="A1052" s="1" t="s">
        <v>3511</v>
      </c>
      <c r="B1052" s="1" t="s">
        <v>3512</v>
      </c>
      <c r="C1052" s="1" t="s">
        <v>3513</v>
      </c>
      <c r="D1052" s="1" t="s">
        <v>3514</v>
      </c>
      <c r="E1052" s="1" t="s">
        <v>88</v>
      </c>
      <c r="F1052" s="1" t="s">
        <v>432</v>
      </c>
      <c r="G1052" s="1" t="s">
        <v>573</v>
      </c>
      <c r="H1052" s="1" t="s">
        <v>2539</v>
      </c>
      <c r="K1052" s="1" t="s">
        <v>2540</v>
      </c>
      <c r="L1052" s="1" t="s">
        <v>2541</v>
      </c>
      <c r="M1052" s="1" t="s">
        <v>496</v>
      </c>
      <c r="N1052" s="1" t="s">
        <v>2542</v>
      </c>
      <c r="O1052" s="1" t="s">
        <v>2543</v>
      </c>
      <c r="P1052" s="1" t="s">
        <v>3515</v>
      </c>
      <c r="Z1052" s="1" t="s">
        <v>71</v>
      </c>
      <c r="AE1052" s="1" t="s">
        <v>3516</v>
      </c>
      <c r="AH1052" s="1" t="s">
        <v>73</v>
      </c>
      <c r="AK1052" s="1" t="s">
        <v>71</v>
      </c>
      <c r="AM1052" s="1" t="s">
        <v>71</v>
      </c>
      <c r="AN1052" s="1" t="s">
        <v>71</v>
      </c>
      <c r="AS1052" s="1" t="s">
        <v>71</v>
      </c>
      <c r="AX1052" s="1" t="s">
        <v>71</v>
      </c>
      <c r="BH1052" s="1" t="s">
        <v>71</v>
      </c>
    </row>
    <row r="1053" customFormat="false" ht="15" hidden="false" customHeight="false" outlineLevel="0" collapsed="false">
      <c r="A1053" s="1" t="s">
        <v>3517</v>
      </c>
      <c r="B1053" s="1" t="s">
        <v>3518</v>
      </c>
      <c r="C1053" s="1" t="s">
        <v>3513</v>
      </c>
      <c r="D1053" s="1" t="s">
        <v>3514</v>
      </c>
      <c r="E1053" s="1" t="s">
        <v>88</v>
      </c>
      <c r="F1053" s="1" t="s">
        <v>432</v>
      </c>
      <c r="G1053" s="1" t="s">
        <v>573</v>
      </c>
      <c r="H1053" s="1" t="s">
        <v>2539</v>
      </c>
      <c r="K1053" s="1" t="s">
        <v>2540</v>
      </c>
      <c r="L1053" s="1" t="s">
        <v>2541</v>
      </c>
      <c r="M1053" s="1" t="s">
        <v>496</v>
      </c>
      <c r="N1053" s="1" t="s">
        <v>2542</v>
      </c>
      <c r="O1053" s="1" t="s">
        <v>2543</v>
      </c>
      <c r="P1053" s="1" t="s">
        <v>3515</v>
      </c>
      <c r="Z1053" s="1" t="s">
        <v>71</v>
      </c>
      <c r="AE1053" s="1" t="s">
        <v>3516</v>
      </c>
      <c r="AH1053" s="1" t="s">
        <v>73</v>
      </c>
      <c r="AK1053" s="1" t="s">
        <v>71</v>
      </c>
      <c r="AM1053" s="1" t="s">
        <v>71</v>
      </c>
      <c r="AN1053" s="1" t="s">
        <v>71</v>
      </c>
      <c r="AS1053" s="1" t="s">
        <v>71</v>
      </c>
      <c r="AX1053" s="1" t="s">
        <v>71</v>
      </c>
      <c r="BH1053" s="1" t="s">
        <v>71</v>
      </c>
    </row>
    <row r="1054" customFormat="false" ht="15" hidden="false" customHeight="false" outlineLevel="0" collapsed="false">
      <c r="A1054" s="1" t="s">
        <v>3519</v>
      </c>
      <c r="B1054" s="1" t="s">
        <v>3520</v>
      </c>
      <c r="C1054" s="1" t="s">
        <v>3521</v>
      </c>
      <c r="D1054" s="1" t="s">
        <v>3522</v>
      </c>
      <c r="E1054" s="1" t="s">
        <v>82</v>
      </c>
      <c r="F1054" s="1" t="s">
        <v>391</v>
      </c>
      <c r="G1054" s="1" t="s">
        <v>213</v>
      </c>
      <c r="H1054" s="1" t="s">
        <v>477</v>
      </c>
      <c r="K1054" s="1" t="s">
        <v>478</v>
      </c>
      <c r="L1054" s="1" t="s">
        <v>479</v>
      </c>
      <c r="M1054" s="1" t="s">
        <v>3353</v>
      </c>
      <c r="N1054" s="1" t="s">
        <v>3523</v>
      </c>
      <c r="O1054" s="1" t="s">
        <v>447</v>
      </c>
      <c r="P1054" s="1" t="s">
        <v>3524</v>
      </c>
      <c r="Z1054" s="1" t="s">
        <v>71</v>
      </c>
      <c r="AE1054" s="1" t="s">
        <v>3525</v>
      </c>
      <c r="AH1054" s="1" t="s">
        <v>73</v>
      </c>
      <c r="AK1054" s="1" t="s">
        <v>71</v>
      </c>
      <c r="AM1054" s="1" t="s">
        <v>71</v>
      </c>
      <c r="AN1054" s="1" t="s">
        <v>71</v>
      </c>
      <c r="AS1054" s="1" t="s">
        <v>71</v>
      </c>
      <c r="AX1054" s="1" t="s">
        <v>71</v>
      </c>
      <c r="BH1054" s="1" t="s">
        <v>71</v>
      </c>
    </row>
    <row r="1055" customFormat="false" ht="15" hidden="false" customHeight="false" outlineLevel="0" collapsed="false">
      <c r="A1055" s="1" t="s">
        <v>3526</v>
      </c>
      <c r="B1055" s="1" t="s">
        <v>2075</v>
      </c>
      <c r="C1055" s="1" t="s">
        <v>312</v>
      </c>
      <c r="D1055" s="1" t="s">
        <v>2073</v>
      </c>
      <c r="E1055" s="1" t="s">
        <v>82</v>
      </c>
      <c r="F1055" s="1" t="s">
        <v>391</v>
      </c>
      <c r="G1055" s="1" t="s">
        <v>443</v>
      </c>
      <c r="H1055" s="1" t="s">
        <v>444</v>
      </c>
      <c r="K1055" s="1" t="s">
        <v>61</v>
      </c>
      <c r="L1055" s="1" t="s">
        <v>445</v>
      </c>
      <c r="M1055" s="1" t="s">
        <v>496</v>
      </c>
      <c r="N1055" s="1" t="s">
        <v>2691</v>
      </c>
      <c r="O1055" s="1" t="s">
        <v>400</v>
      </c>
      <c r="P1055" s="1" t="s">
        <v>3527</v>
      </c>
      <c r="Z1055" s="1" t="s">
        <v>71</v>
      </c>
      <c r="AE1055" s="1" t="s">
        <v>3525</v>
      </c>
      <c r="AH1055" s="1" t="s">
        <v>73</v>
      </c>
      <c r="AK1055" s="1" t="s">
        <v>71</v>
      </c>
      <c r="AM1055" s="1" t="s">
        <v>71</v>
      </c>
      <c r="AN1055" s="1" t="s">
        <v>71</v>
      </c>
      <c r="AS1055" s="1" t="s">
        <v>71</v>
      </c>
      <c r="AX1055" s="1" t="s">
        <v>71</v>
      </c>
      <c r="BH1055" s="1" t="s">
        <v>71</v>
      </c>
    </row>
    <row r="1056" customFormat="false" ht="15" hidden="false" customHeight="false" outlineLevel="0" collapsed="false">
      <c r="A1056" s="1" t="s">
        <v>3528</v>
      </c>
      <c r="B1056" s="1" t="s">
        <v>3529</v>
      </c>
      <c r="C1056" s="1" t="s">
        <v>312</v>
      </c>
      <c r="D1056" s="1" t="s">
        <v>2073</v>
      </c>
      <c r="E1056" s="1" t="s">
        <v>82</v>
      </c>
      <c r="F1056" s="1" t="s">
        <v>391</v>
      </c>
      <c r="G1056" s="1" t="s">
        <v>443</v>
      </c>
      <c r="H1056" s="1" t="s">
        <v>444</v>
      </c>
      <c r="K1056" s="1" t="s">
        <v>61</v>
      </c>
      <c r="L1056" s="1" t="s">
        <v>445</v>
      </c>
      <c r="M1056" s="1" t="s">
        <v>496</v>
      </c>
      <c r="N1056" s="1" t="s">
        <v>3530</v>
      </c>
      <c r="O1056" s="1" t="s">
        <v>3531</v>
      </c>
      <c r="P1056" s="1" t="s">
        <v>3532</v>
      </c>
      <c r="Z1056" s="1" t="s">
        <v>71</v>
      </c>
      <c r="AE1056" s="1" t="s">
        <v>3525</v>
      </c>
      <c r="AH1056" s="1" t="s">
        <v>73</v>
      </c>
      <c r="AK1056" s="1" t="s">
        <v>71</v>
      </c>
      <c r="AM1056" s="1" t="s">
        <v>71</v>
      </c>
      <c r="AN1056" s="1" t="s">
        <v>71</v>
      </c>
      <c r="AS1056" s="1" t="s">
        <v>71</v>
      </c>
      <c r="AX1056" s="1" t="s">
        <v>71</v>
      </c>
      <c r="BH1056" s="1" t="s">
        <v>71</v>
      </c>
    </row>
    <row r="1057" customFormat="false" ht="15" hidden="false" customHeight="false" outlineLevel="0" collapsed="false">
      <c r="A1057" s="1" t="s">
        <v>3533</v>
      </c>
      <c r="B1057" s="1" t="s">
        <v>3534</v>
      </c>
      <c r="C1057" s="1" t="s">
        <v>1200</v>
      </c>
      <c r="D1057" s="1" t="s">
        <v>3535</v>
      </c>
      <c r="E1057" s="1" t="s">
        <v>61</v>
      </c>
      <c r="F1057" s="1" t="s">
        <v>101</v>
      </c>
      <c r="G1057" s="1" t="s">
        <v>93</v>
      </c>
      <c r="H1057" s="1" t="s">
        <v>64</v>
      </c>
      <c r="K1057" s="1" t="s">
        <v>3150</v>
      </c>
      <c r="L1057" s="1" t="s">
        <v>3151</v>
      </c>
      <c r="M1057" s="1" t="s">
        <v>104</v>
      </c>
      <c r="N1057" s="1" t="s">
        <v>203</v>
      </c>
      <c r="O1057" s="1" t="s">
        <v>204</v>
      </c>
      <c r="P1057" s="1" t="s">
        <v>3536</v>
      </c>
      <c r="U1057" s="1" t="s">
        <v>3533</v>
      </c>
      <c r="Z1057" s="1" t="s">
        <v>71</v>
      </c>
      <c r="AE1057" s="1" t="s">
        <v>3525</v>
      </c>
      <c r="AH1057" s="1" t="s">
        <v>73</v>
      </c>
      <c r="AK1057" s="1" t="s">
        <v>71</v>
      </c>
      <c r="AM1057" s="1" t="s">
        <v>71</v>
      </c>
      <c r="AN1057" s="1" t="s">
        <v>71</v>
      </c>
      <c r="AS1057" s="1" t="s">
        <v>71</v>
      </c>
      <c r="AX1057" s="1" t="s">
        <v>71</v>
      </c>
      <c r="AY1057" s="1" t="s">
        <v>59</v>
      </c>
      <c r="AZ1057" s="1" t="s">
        <v>74</v>
      </c>
      <c r="BH1057" s="1" t="s">
        <v>71</v>
      </c>
    </row>
    <row r="1058" customFormat="false" ht="15" hidden="false" customHeight="false" outlineLevel="0" collapsed="false">
      <c r="A1058" s="1" t="s">
        <v>3537</v>
      </c>
      <c r="B1058" s="1" t="s">
        <v>3538</v>
      </c>
      <c r="C1058" s="1" t="s">
        <v>1200</v>
      </c>
      <c r="D1058" s="1" t="s">
        <v>3535</v>
      </c>
      <c r="E1058" s="1" t="s">
        <v>61</v>
      </c>
      <c r="F1058" s="1" t="s">
        <v>101</v>
      </c>
      <c r="G1058" s="1" t="s">
        <v>93</v>
      </c>
      <c r="H1058" s="1" t="s">
        <v>64</v>
      </c>
      <c r="K1058" s="1" t="s">
        <v>229</v>
      </c>
      <c r="L1058" s="1" t="s">
        <v>605</v>
      </c>
      <c r="M1058" s="1" t="s">
        <v>165</v>
      </c>
      <c r="N1058" s="1" t="s">
        <v>105</v>
      </c>
      <c r="O1058" s="1" t="s">
        <v>106</v>
      </c>
      <c r="P1058" s="1" t="s">
        <v>3539</v>
      </c>
      <c r="U1058" s="1" t="s">
        <v>3537</v>
      </c>
      <c r="Z1058" s="1" t="s">
        <v>71</v>
      </c>
      <c r="AE1058" s="1" t="s">
        <v>3525</v>
      </c>
      <c r="AH1058" s="1" t="s">
        <v>73</v>
      </c>
      <c r="AK1058" s="1" t="s">
        <v>71</v>
      </c>
      <c r="AM1058" s="1" t="s">
        <v>71</v>
      </c>
      <c r="AN1058" s="1" t="s">
        <v>71</v>
      </c>
      <c r="AS1058" s="1" t="s">
        <v>71</v>
      </c>
      <c r="AX1058" s="1" t="s">
        <v>71</v>
      </c>
      <c r="AY1058" s="1" t="s">
        <v>59</v>
      </c>
      <c r="AZ1058" s="1" t="s">
        <v>74</v>
      </c>
      <c r="BH1058" s="1" t="s">
        <v>71</v>
      </c>
    </row>
    <row r="1059" customFormat="false" ht="15" hidden="false" customHeight="false" outlineLevel="0" collapsed="false">
      <c r="A1059" s="1" t="s">
        <v>3540</v>
      </c>
      <c r="B1059" s="1" t="s">
        <v>3541</v>
      </c>
      <c r="C1059" s="1" t="s">
        <v>1016</v>
      </c>
      <c r="D1059" s="1" t="s">
        <v>3542</v>
      </c>
      <c r="E1059" s="1" t="s">
        <v>61</v>
      </c>
      <c r="F1059" s="1" t="s">
        <v>101</v>
      </c>
      <c r="G1059" s="1" t="s">
        <v>93</v>
      </c>
      <c r="H1059" s="1" t="s">
        <v>64</v>
      </c>
      <c r="K1059" s="1" t="s">
        <v>229</v>
      </c>
      <c r="L1059" s="1" t="s">
        <v>605</v>
      </c>
      <c r="M1059" s="1" t="s">
        <v>165</v>
      </c>
      <c r="N1059" s="1" t="s">
        <v>105</v>
      </c>
      <c r="O1059" s="1" t="s">
        <v>106</v>
      </c>
      <c r="P1059" s="1" t="s">
        <v>3539</v>
      </c>
      <c r="U1059" s="1" t="s">
        <v>3540</v>
      </c>
      <c r="Z1059" s="1" t="s">
        <v>71</v>
      </c>
      <c r="AE1059" s="1" t="s">
        <v>3525</v>
      </c>
      <c r="AH1059" s="1" t="s">
        <v>73</v>
      </c>
      <c r="AK1059" s="1" t="s">
        <v>71</v>
      </c>
      <c r="AM1059" s="1" t="s">
        <v>71</v>
      </c>
      <c r="AN1059" s="1" t="s">
        <v>71</v>
      </c>
      <c r="AS1059" s="1" t="s">
        <v>71</v>
      </c>
      <c r="AX1059" s="1" t="s">
        <v>71</v>
      </c>
      <c r="AY1059" s="1" t="s">
        <v>59</v>
      </c>
      <c r="AZ1059" s="1" t="s">
        <v>74</v>
      </c>
      <c r="BH1059" s="1" t="s">
        <v>71</v>
      </c>
    </row>
    <row r="1060" customFormat="false" ht="15" hidden="false" customHeight="false" outlineLevel="0" collapsed="false">
      <c r="A1060" s="1" t="s">
        <v>3543</v>
      </c>
      <c r="B1060" s="1" t="s">
        <v>3544</v>
      </c>
      <c r="C1060" s="1" t="s">
        <v>1200</v>
      </c>
      <c r="D1060" s="1" t="s">
        <v>3535</v>
      </c>
      <c r="E1060" s="1" t="s">
        <v>61</v>
      </c>
      <c r="F1060" s="1" t="s">
        <v>101</v>
      </c>
      <c r="G1060" s="1" t="s">
        <v>93</v>
      </c>
      <c r="H1060" s="1" t="s">
        <v>64</v>
      </c>
      <c r="K1060" s="1" t="s">
        <v>112</v>
      </c>
      <c r="L1060" s="1" t="s">
        <v>113</v>
      </c>
      <c r="M1060" s="1" t="s">
        <v>104</v>
      </c>
      <c r="N1060" s="1" t="s">
        <v>203</v>
      </c>
      <c r="O1060" s="1" t="s">
        <v>204</v>
      </c>
      <c r="P1060" s="1" t="s">
        <v>3536</v>
      </c>
      <c r="U1060" s="1" t="s">
        <v>3543</v>
      </c>
      <c r="Z1060" s="1" t="s">
        <v>71</v>
      </c>
      <c r="AE1060" s="1" t="s">
        <v>3525</v>
      </c>
      <c r="AH1060" s="1" t="s">
        <v>73</v>
      </c>
      <c r="AK1060" s="1" t="s">
        <v>71</v>
      </c>
      <c r="AM1060" s="1" t="s">
        <v>71</v>
      </c>
      <c r="AN1060" s="1" t="s">
        <v>71</v>
      </c>
      <c r="AS1060" s="1" t="s">
        <v>71</v>
      </c>
      <c r="AX1060" s="1" t="s">
        <v>71</v>
      </c>
      <c r="AY1060" s="1" t="s">
        <v>59</v>
      </c>
      <c r="AZ1060" s="1" t="s">
        <v>74</v>
      </c>
      <c r="BH1060" s="1" t="s">
        <v>71</v>
      </c>
    </row>
    <row r="1061" customFormat="false" ht="15" hidden="false" customHeight="false" outlineLevel="0" collapsed="false">
      <c r="A1061" s="1" t="s">
        <v>3545</v>
      </c>
      <c r="B1061" s="1" t="s">
        <v>3546</v>
      </c>
      <c r="C1061" s="1" t="s">
        <v>532</v>
      </c>
      <c r="D1061" s="1" t="s">
        <v>1719</v>
      </c>
      <c r="E1061" s="1" t="s">
        <v>82</v>
      </c>
      <c r="F1061" s="1" t="s">
        <v>391</v>
      </c>
      <c r="G1061" s="1" t="s">
        <v>1356</v>
      </c>
      <c r="H1061" s="1" t="s">
        <v>1825</v>
      </c>
      <c r="K1061" s="1" t="s">
        <v>1849</v>
      </c>
      <c r="L1061" s="1" t="s">
        <v>2456</v>
      </c>
      <c r="M1061" s="1" t="s">
        <v>496</v>
      </c>
      <c r="N1061" s="1" t="s">
        <v>3547</v>
      </c>
      <c r="O1061" s="1" t="s">
        <v>3548</v>
      </c>
      <c r="P1061" s="1" t="s">
        <v>3549</v>
      </c>
      <c r="Z1061" s="1" t="s">
        <v>71</v>
      </c>
      <c r="AE1061" s="1" t="s">
        <v>3550</v>
      </c>
      <c r="AH1061" s="1" t="s">
        <v>73</v>
      </c>
      <c r="AK1061" s="1" t="s">
        <v>71</v>
      </c>
      <c r="AM1061" s="1" t="s">
        <v>71</v>
      </c>
      <c r="AN1061" s="1" t="s">
        <v>71</v>
      </c>
      <c r="AS1061" s="1" t="s">
        <v>71</v>
      </c>
      <c r="AX1061" s="1" t="s">
        <v>71</v>
      </c>
      <c r="BH1061" s="1" t="s">
        <v>71</v>
      </c>
    </row>
    <row r="1062" customFormat="false" ht="15" hidden="false" customHeight="false" outlineLevel="0" collapsed="false">
      <c r="A1062" s="1" t="s">
        <v>3551</v>
      </c>
      <c r="B1062" s="1" t="s">
        <v>3552</v>
      </c>
      <c r="C1062" s="1" t="s">
        <v>532</v>
      </c>
      <c r="D1062" s="1" t="s">
        <v>1719</v>
      </c>
      <c r="E1062" s="1" t="s">
        <v>82</v>
      </c>
      <c r="F1062" s="1" t="s">
        <v>391</v>
      </c>
      <c r="G1062" s="1" t="s">
        <v>1356</v>
      </c>
      <c r="H1062" s="1" t="s">
        <v>1825</v>
      </c>
      <c r="K1062" s="1" t="s">
        <v>1849</v>
      </c>
      <c r="L1062" s="1" t="s">
        <v>2456</v>
      </c>
      <c r="M1062" s="1" t="s">
        <v>496</v>
      </c>
      <c r="N1062" s="1" t="s">
        <v>2942</v>
      </c>
      <c r="O1062" s="1" t="s">
        <v>2943</v>
      </c>
      <c r="P1062" s="1" t="s">
        <v>3553</v>
      </c>
      <c r="Z1062" s="1" t="s">
        <v>71</v>
      </c>
      <c r="AE1062" s="1" t="s">
        <v>3550</v>
      </c>
      <c r="AH1062" s="1" t="s">
        <v>73</v>
      </c>
      <c r="AK1062" s="1" t="s">
        <v>71</v>
      </c>
      <c r="AM1062" s="1" t="s">
        <v>71</v>
      </c>
      <c r="AN1062" s="1" t="s">
        <v>71</v>
      </c>
      <c r="AS1062" s="1" t="s">
        <v>71</v>
      </c>
      <c r="AX1062" s="1" t="s">
        <v>71</v>
      </c>
      <c r="BH1062" s="1" t="s">
        <v>71</v>
      </c>
    </row>
    <row r="1063" customFormat="false" ht="15" hidden="false" customHeight="false" outlineLevel="0" collapsed="false">
      <c r="A1063" s="1" t="s">
        <v>3554</v>
      </c>
      <c r="B1063" s="1" t="s">
        <v>3555</v>
      </c>
      <c r="C1063" s="1" t="s">
        <v>969</v>
      </c>
      <c r="D1063" s="1" t="s">
        <v>3352</v>
      </c>
      <c r="E1063" s="1" t="s">
        <v>82</v>
      </c>
      <c r="F1063" s="1" t="s">
        <v>391</v>
      </c>
      <c r="G1063" s="1" t="s">
        <v>443</v>
      </c>
      <c r="H1063" s="1" t="s">
        <v>444</v>
      </c>
      <c r="K1063" s="1" t="s">
        <v>61</v>
      </c>
      <c r="L1063" s="1" t="s">
        <v>445</v>
      </c>
      <c r="M1063" s="1" t="s">
        <v>496</v>
      </c>
      <c r="N1063" s="1" t="s">
        <v>3360</v>
      </c>
      <c r="O1063" s="1" t="s">
        <v>3361</v>
      </c>
      <c r="P1063" s="1" t="s">
        <v>3490</v>
      </c>
      <c r="Z1063" s="1" t="s">
        <v>71</v>
      </c>
      <c r="AE1063" s="1" t="s">
        <v>3550</v>
      </c>
      <c r="AH1063" s="1" t="s">
        <v>73</v>
      </c>
      <c r="AK1063" s="1" t="s">
        <v>71</v>
      </c>
      <c r="AM1063" s="1" t="s">
        <v>71</v>
      </c>
      <c r="AN1063" s="1" t="s">
        <v>71</v>
      </c>
      <c r="AS1063" s="1" t="s">
        <v>71</v>
      </c>
      <c r="AX1063" s="1" t="s">
        <v>71</v>
      </c>
      <c r="BH1063" s="1" t="s">
        <v>71</v>
      </c>
    </row>
    <row r="1064" customFormat="false" ht="15" hidden="false" customHeight="false" outlineLevel="0" collapsed="false">
      <c r="A1064" s="1" t="s">
        <v>3556</v>
      </c>
      <c r="B1064" s="1" t="s">
        <v>3557</v>
      </c>
      <c r="C1064" s="1" t="s">
        <v>1022</v>
      </c>
      <c r="D1064" s="1" t="s">
        <v>3558</v>
      </c>
      <c r="E1064" s="1" t="s">
        <v>82</v>
      </c>
      <c r="F1064" s="1" t="s">
        <v>391</v>
      </c>
      <c r="G1064" s="1" t="s">
        <v>97</v>
      </c>
      <c r="H1064" s="1" t="s">
        <v>406</v>
      </c>
      <c r="K1064" s="1" t="s">
        <v>65</v>
      </c>
      <c r="L1064" s="1" t="s">
        <v>860</v>
      </c>
      <c r="M1064" s="1" t="s">
        <v>496</v>
      </c>
      <c r="N1064" s="1" t="s">
        <v>3559</v>
      </c>
      <c r="O1064" s="1" t="s">
        <v>3560</v>
      </c>
      <c r="P1064" s="1" t="s">
        <v>3561</v>
      </c>
      <c r="Z1064" s="1" t="s">
        <v>71</v>
      </c>
      <c r="AE1064" s="1" t="s">
        <v>3550</v>
      </c>
      <c r="AH1064" s="1" t="s">
        <v>73</v>
      </c>
      <c r="AK1064" s="1" t="s">
        <v>71</v>
      </c>
      <c r="AM1064" s="1" t="s">
        <v>71</v>
      </c>
      <c r="AN1064" s="1" t="s">
        <v>71</v>
      </c>
      <c r="AS1064" s="1" t="s">
        <v>71</v>
      </c>
      <c r="AX1064" s="1" t="s">
        <v>71</v>
      </c>
      <c r="BH1064" s="1" t="s">
        <v>71</v>
      </c>
    </row>
    <row r="1065" customFormat="false" ht="15" hidden="false" customHeight="false" outlineLevel="0" collapsed="false">
      <c r="A1065" s="1" t="s">
        <v>3562</v>
      </c>
      <c r="B1065" s="1" t="s">
        <v>3563</v>
      </c>
      <c r="C1065" s="1" t="s">
        <v>3564</v>
      </c>
      <c r="D1065" s="1" t="s">
        <v>3565</v>
      </c>
      <c r="E1065" s="1" t="s">
        <v>82</v>
      </c>
      <c r="F1065" s="1" t="s">
        <v>391</v>
      </c>
      <c r="G1065" s="1" t="s">
        <v>213</v>
      </c>
      <c r="H1065" s="1" t="s">
        <v>477</v>
      </c>
      <c r="K1065" s="1" t="s">
        <v>478</v>
      </c>
      <c r="L1065" s="1" t="s">
        <v>479</v>
      </c>
      <c r="M1065" s="1" t="s">
        <v>806</v>
      </c>
      <c r="N1065" s="1" t="s">
        <v>3566</v>
      </c>
      <c r="O1065" s="1" t="s">
        <v>3567</v>
      </c>
      <c r="P1065" s="1" t="s">
        <v>3568</v>
      </c>
      <c r="Z1065" s="1" t="s">
        <v>71</v>
      </c>
      <c r="AE1065" s="1" t="s">
        <v>3550</v>
      </c>
      <c r="AH1065" s="1" t="s">
        <v>73</v>
      </c>
      <c r="AK1065" s="1" t="s">
        <v>71</v>
      </c>
      <c r="AM1065" s="1" t="s">
        <v>71</v>
      </c>
      <c r="AN1065" s="1" t="s">
        <v>71</v>
      </c>
      <c r="AS1065" s="1" t="s">
        <v>71</v>
      </c>
      <c r="AX1065" s="1" t="s">
        <v>71</v>
      </c>
      <c r="BH1065" s="1" t="s">
        <v>71</v>
      </c>
    </row>
    <row r="1066" customFormat="false" ht="15" hidden="false" customHeight="false" outlineLevel="0" collapsed="false">
      <c r="A1066" s="1" t="s">
        <v>3569</v>
      </c>
      <c r="B1066" s="1" t="s">
        <v>3570</v>
      </c>
      <c r="C1066" s="1" t="s">
        <v>969</v>
      </c>
      <c r="D1066" s="1" t="s">
        <v>3352</v>
      </c>
      <c r="E1066" s="1" t="s">
        <v>82</v>
      </c>
      <c r="F1066" s="1" t="s">
        <v>391</v>
      </c>
      <c r="G1066" s="1" t="s">
        <v>443</v>
      </c>
      <c r="H1066" s="1" t="s">
        <v>444</v>
      </c>
      <c r="K1066" s="1" t="s">
        <v>61</v>
      </c>
      <c r="L1066" s="1" t="s">
        <v>445</v>
      </c>
      <c r="M1066" s="1" t="s">
        <v>3353</v>
      </c>
      <c r="N1066" s="1" t="s">
        <v>3354</v>
      </c>
      <c r="O1066" s="1" t="s">
        <v>400</v>
      </c>
      <c r="P1066" s="1" t="s">
        <v>3497</v>
      </c>
      <c r="Z1066" s="1" t="s">
        <v>71</v>
      </c>
      <c r="AE1066" s="1" t="s">
        <v>3550</v>
      </c>
      <c r="AH1066" s="1" t="s">
        <v>73</v>
      </c>
      <c r="AK1066" s="1" t="s">
        <v>71</v>
      </c>
      <c r="AM1066" s="1" t="s">
        <v>71</v>
      </c>
      <c r="AN1066" s="1" t="s">
        <v>71</v>
      </c>
      <c r="AS1066" s="1" t="s">
        <v>71</v>
      </c>
      <c r="AX1066" s="1" t="s">
        <v>71</v>
      </c>
      <c r="BH1066" s="1" t="s">
        <v>71</v>
      </c>
    </row>
    <row r="1067" customFormat="false" ht="15" hidden="false" customHeight="false" outlineLevel="0" collapsed="false">
      <c r="A1067" s="1" t="s">
        <v>3571</v>
      </c>
      <c r="B1067" s="1" t="s">
        <v>3572</v>
      </c>
      <c r="C1067" s="1" t="s">
        <v>509</v>
      </c>
      <c r="D1067" s="1" t="s">
        <v>1664</v>
      </c>
      <c r="E1067" s="1" t="s">
        <v>82</v>
      </c>
      <c r="F1067" s="1" t="s">
        <v>391</v>
      </c>
      <c r="G1067" s="1" t="s">
        <v>97</v>
      </c>
      <c r="H1067" s="1" t="s">
        <v>406</v>
      </c>
      <c r="K1067" s="1" t="s">
        <v>407</v>
      </c>
      <c r="L1067" s="1" t="s">
        <v>408</v>
      </c>
      <c r="M1067" s="1" t="s">
        <v>496</v>
      </c>
      <c r="N1067" s="1" t="s">
        <v>3573</v>
      </c>
      <c r="O1067" s="1" t="s">
        <v>3574</v>
      </c>
      <c r="P1067" s="1" t="s">
        <v>3575</v>
      </c>
      <c r="Z1067" s="1" t="s">
        <v>71</v>
      </c>
      <c r="AE1067" s="1" t="s">
        <v>3576</v>
      </c>
      <c r="AH1067" s="1" t="s">
        <v>73</v>
      </c>
      <c r="AK1067" s="1" t="s">
        <v>71</v>
      </c>
      <c r="AM1067" s="1" t="s">
        <v>71</v>
      </c>
      <c r="AN1067" s="1" t="s">
        <v>71</v>
      </c>
      <c r="AS1067" s="1" t="s">
        <v>71</v>
      </c>
      <c r="AX1067" s="1" t="s">
        <v>71</v>
      </c>
      <c r="BH1067" s="1" t="s">
        <v>71</v>
      </c>
    </row>
    <row r="1068" customFormat="false" ht="15" hidden="false" customHeight="false" outlineLevel="0" collapsed="false">
      <c r="A1068" s="1" t="s">
        <v>3577</v>
      </c>
      <c r="B1068" s="1" t="s">
        <v>3578</v>
      </c>
      <c r="C1068" s="1" t="s">
        <v>1035</v>
      </c>
      <c r="D1068" s="1" t="s">
        <v>3579</v>
      </c>
      <c r="E1068" s="1" t="s">
        <v>82</v>
      </c>
      <c r="F1068" s="1" t="s">
        <v>391</v>
      </c>
      <c r="G1068" s="1" t="s">
        <v>1356</v>
      </c>
      <c r="H1068" s="1" t="s">
        <v>1825</v>
      </c>
      <c r="K1068" s="1" t="s">
        <v>251</v>
      </c>
      <c r="L1068" s="1" t="s">
        <v>3580</v>
      </c>
      <c r="M1068" s="1" t="s">
        <v>496</v>
      </c>
      <c r="N1068" s="1" t="s">
        <v>3581</v>
      </c>
      <c r="O1068" s="1" t="s">
        <v>400</v>
      </c>
      <c r="P1068" s="1" t="s">
        <v>3582</v>
      </c>
      <c r="Z1068" s="1" t="s">
        <v>71</v>
      </c>
      <c r="AE1068" s="1" t="s">
        <v>3576</v>
      </c>
      <c r="AH1068" s="1" t="s">
        <v>73</v>
      </c>
      <c r="AK1068" s="1" t="s">
        <v>71</v>
      </c>
      <c r="AM1068" s="1" t="s">
        <v>71</v>
      </c>
      <c r="AN1068" s="1" t="s">
        <v>71</v>
      </c>
      <c r="AS1068" s="1" t="s">
        <v>71</v>
      </c>
      <c r="AX1068" s="1" t="s">
        <v>71</v>
      </c>
      <c r="BH1068" s="1" t="s">
        <v>71</v>
      </c>
    </row>
    <row r="1069" customFormat="false" ht="15" hidden="false" customHeight="false" outlineLevel="0" collapsed="false">
      <c r="A1069" s="1" t="s">
        <v>3583</v>
      </c>
      <c r="B1069" s="1" t="s">
        <v>1333</v>
      </c>
      <c r="C1069" s="1" t="s">
        <v>1731</v>
      </c>
      <c r="D1069" s="1" t="s">
        <v>3584</v>
      </c>
      <c r="E1069" s="1" t="s">
        <v>61</v>
      </c>
      <c r="F1069" s="1" t="s">
        <v>101</v>
      </c>
      <c r="G1069" s="1" t="s">
        <v>148</v>
      </c>
      <c r="H1069" s="1" t="s">
        <v>231</v>
      </c>
      <c r="K1069" s="1" t="s">
        <v>1335</v>
      </c>
      <c r="L1069" s="1" t="s">
        <v>1336</v>
      </c>
      <c r="M1069" s="1" t="s">
        <v>1555</v>
      </c>
      <c r="N1069" s="1" t="s">
        <v>243</v>
      </c>
      <c r="O1069" s="1" t="s">
        <v>244</v>
      </c>
      <c r="P1069" s="1" t="s">
        <v>3503</v>
      </c>
      <c r="U1069" s="1" t="s">
        <v>3583</v>
      </c>
      <c r="V1069" s="1" t="s">
        <v>245</v>
      </c>
      <c r="Z1069" s="1" t="s">
        <v>71</v>
      </c>
      <c r="AE1069" s="1" t="s">
        <v>3585</v>
      </c>
      <c r="AH1069" s="1" t="s">
        <v>73</v>
      </c>
      <c r="AK1069" s="1" t="s">
        <v>71</v>
      </c>
      <c r="AM1069" s="1" t="s">
        <v>71</v>
      </c>
      <c r="AN1069" s="1" t="s">
        <v>71</v>
      </c>
      <c r="AS1069" s="1" t="s">
        <v>71</v>
      </c>
      <c r="AX1069" s="1" t="s">
        <v>71</v>
      </c>
      <c r="AY1069" s="1" t="s">
        <v>59</v>
      </c>
      <c r="AZ1069" s="1" t="s">
        <v>74</v>
      </c>
      <c r="BH1069" s="1" t="s">
        <v>71</v>
      </c>
    </row>
    <row r="1070" customFormat="false" ht="15" hidden="false" customHeight="false" outlineLevel="0" collapsed="false">
      <c r="A1070" s="1" t="s">
        <v>3586</v>
      </c>
      <c r="B1070" s="1" t="s">
        <v>3587</v>
      </c>
      <c r="C1070" s="1" t="s">
        <v>1038</v>
      </c>
      <c r="D1070" s="1" t="s">
        <v>3170</v>
      </c>
      <c r="E1070" s="1" t="s">
        <v>82</v>
      </c>
      <c r="F1070" s="1" t="s">
        <v>391</v>
      </c>
      <c r="G1070" s="1" t="s">
        <v>443</v>
      </c>
      <c r="H1070" s="1" t="s">
        <v>444</v>
      </c>
      <c r="K1070" s="1" t="s">
        <v>61</v>
      </c>
      <c r="L1070" s="1" t="s">
        <v>445</v>
      </c>
      <c r="M1070" s="1" t="s">
        <v>496</v>
      </c>
      <c r="N1070" s="1" t="s">
        <v>2021</v>
      </c>
      <c r="O1070" s="1" t="s">
        <v>400</v>
      </c>
      <c r="P1070" s="1" t="s">
        <v>3588</v>
      </c>
      <c r="Z1070" s="1" t="s">
        <v>71</v>
      </c>
      <c r="AE1070" s="1" t="s">
        <v>3585</v>
      </c>
      <c r="AH1070" s="1" t="s">
        <v>73</v>
      </c>
      <c r="AK1070" s="1" t="s">
        <v>71</v>
      </c>
      <c r="AM1070" s="1" t="s">
        <v>71</v>
      </c>
      <c r="AN1070" s="1" t="s">
        <v>71</v>
      </c>
      <c r="AS1070" s="1" t="s">
        <v>71</v>
      </c>
      <c r="AX1070" s="1" t="s">
        <v>71</v>
      </c>
      <c r="BH1070" s="1" t="s">
        <v>71</v>
      </c>
    </row>
    <row r="1071" customFormat="false" ht="15" hidden="false" customHeight="false" outlineLevel="0" collapsed="false">
      <c r="A1071" s="1" t="s">
        <v>3589</v>
      </c>
      <c r="B1071" s="1" t="s">
        <v>3590</v>
      </c>
      <c r="C1071" s="1" t="s">
        <v>664</v>
      </c>
      <c r="D1071" s="1" t="s">
        <v>665</v>
      </c>
      <c r="E1071" s="1" t="s">
        <v>82</v>
      </c>
      <c r="F1071" s="1" t="s">
        <v>391</v>
      </c>
      <c r="G1071" s="1" t="s">
        <v>97</v>
      </c>
      <c r="H1071" s="1" t="s">
        <v>406</v>
      </c>
      <c r="K1071" s="1" t="s">
        <v>65</v>
      </c>
      <c r="L1071" s="1" t="s">
        <v>860</v>
      </c>
      <c r="M1071" s="1" t="s">
        <v>806</v>
      </c>
      <c r="N1071" s="1" t="s">
        <v>2067</v>
      </c>
      <c r="O1071" s="1" t="s">
        <v>2068</v>
      </c>
      <c r="P1071" s="1" t="s">
        <v>3591</v>
      </c>
      <c r="Z1071" s="1" t="s">
        <v>71</v>
      </c>
      <c r="AE1071" s="1" t="s">
        <v>3585</v>
      </c>
      <c r="AH1071" s="1" t="s">
        <v>73</v>
      </c>
      <c r="AK1071" s="1" t="s">
        <v>71</v>
      </c>
      <c r="AM1071" s="1" t="s">
        <v>71</v>
      </c>
      <c r="AN1071" s="1" t="s">
        <v>71</v>
      </c>
      <c r="AS1071" s="1" t="s">
        <v>71</v>
      </c>
      <c r="AX1071" s="1" t="s">
        <v>71</v>
      </c>
      <c r="BH1071" s="1" t="s">
        <v>71</v>
      </c>
    </row>
    <row r="1072" customFormat="false" ht="15" hidden="false" customHeight="false" outlineLevel="0" collapsed="false">
      <c r="A1072" s="1" t="s">
        <v>3592</v>
      </c>
      <c r="B1072" s="1" t="s">
        <v>3593</v>
      </c>
      <c r="C1072" s="1" t="s">
        <v>664</v>
      </c>
      <c r="D1072" s="1" t="s">
        <v>665</v>
      </c>
      <c r="E1072" s="1" t="s">
        <v>82</v>
      </c>
      <c r="F1072" s="1" t="s">
        <v>391</v>
      </c>
      <c r="G1072" s="1" t="s">
        <v>97</v>
      </c>
      <c r="H1072" s="1" t="s">
        <v>406</v>
      </c>
      <c r="K1072" s="1" t="s">
        <v>59</v>
      </c>
      <c r="L1072" s="1" t="s">
        <v>791</v>
      </c>
      <c r="M1072" s="1" t="s">
        <v>496</v>
      </c>
      <c r="N1072" s="1" t="s">
        <v>2014</v>
      </c>
      <c r="O1072" s="1" t="s">
        <v>2015</v>
      </c>
      <c r="P1072" s="1" t="s">
        <v>3594</v>
      </c>
      <c r="Z1072" s="1" t="s">
        <v>71</v>
      </c>
      <c r="AE1072" s="1" t="s">
        <v>3585</v>
      </c>
      <c r="AH1072" s="1" t="s">
        <v>73</v>
      </c>
      <c r="AK1072" s="1" t="s">
        <v>71</v>
      </c>
      <c r="AM1072" s="1" t="s">
        <v>71</v>
      </c>
      <c r="AN1072" s="1" t="s">
        <v>71</v>
      </c>
      <c r="AS1072" s="1" t="s">
        <v>71</v>
      </c>
      <c r="AX1072" s="1" t="s">
        <v>71</v>
      </c>
      <c r="BH1072" s="1" t="s">
        <v>71</v>
      </c>
    </row>
    <row r="1073" customFormat="false" ht="15" hidden="false" customHeight="false" outlineLevel="0" collapsed="false">
      <c r="A1073" s="1" t="s">
        <v>3595</v>
      </c>
      <c r="B1073" s="1" t="s">
        <v>3596</v>
      </c>
      <c r="C1073" s="1" t="s">
        <v>1040</v>
      </c>
      <c r="D1073" s="1" t="s">
        <v>3597</v>
      </c>
      <c r="E1073" s="1" t="s">
        <v>82</v>
      </c>
      <c r="F1073" s="1" t="s">
        <v>391</v>
      </c>
      <c r="G1073" s="1" t="s">
        <v>443</v>
      </c>
      <c r="H1073" s="1" t="s">
        <v>444</v>
      </c>
      <c r="K1073" s="1" t="s">
        <v>61</v>
      </c>
      <c r="L1073" s="1" t="s">
        <v>445</v>
      </c>
      <c r="M1073" s="1" t="s">
        <v>465</v>
      </c>
      <c r="N1073" s="1" t="s">
        <v>551</v>
      </c>
      <c r="O1073" s="1" t="s">
        <v>447</v>
      </c>
      <c r="P1073" s="1" t="s">
        <v>3598</v>
      </c>
      <c r="Z1073" s="1" t="s">
        <v>71</v>
      </c>
      <c r="AE1073" s="1" t="s">
        <v>3585</v>
      </c>
      <c r="AH1073" s="1" t="s">
        <v>73</v>
      </c>
      <c r="AK1073" s="1" t="s">
        <v>71</v>
      </c>
      <c r="AM1073" s="1" t="s">
        <v>71</v>
      </c>
      <c r="AN1073" s="1" t="s">
        <v>71</v>
      </c>
      <c r="AS1073" s="1" t="s">
        <v>71</v>
      </c>
      <c r="AX1073" s="1" t="s">
        <v>71</v>
      </c>
      <c r="BH1073" s="1" t="s">
        <v>71</v>
      </c>
    </row>
    <row r="1074" customFormat="false" ht="15" hidden="false" customHeight="false" outlineLevel="0" collapsed="false">
      <c r="A1074" s="1" t="s">
        <v>3599</v>
      </c>
      <c r="B1074" s="1" t="s">
        <v>3600</v>
      </c>
      <c r="C1074" s="1" t="s">
        <v>312</v>
      </c>
      <c r="D1074" s="1" t="s">
        <v>2073</v>
      </c>
      <c r="E1074" s="1" t="s">
        <v>82</v>
      </c>
      <c r="F1074" s="1" t="s">
        <v>391</v>
      </c>
      <c r="G1074" s="1" t="s">
        <v>97</v>
      </c>
      <c r="H1074" s="1" t="s">
        <v>406</v>
      </c>
      <c r="K1074" s="1" t="s">
        <v>59</v>
      </c>
      <c r="L1074" s="1" t="s">
        <v>791</v>
      </c>
      <c r="M1074" s="1" t="s">
        <v>496</v>
      </c>
      <c r="N1074" s="1" t="s">
        <v>2621</v>
      </c>
      <c r="O1074" s="1" t="s">
        <v>2622</v>
      </c>
      <c r="P1074" s="1" t="s">
        <v>3601</v>
      </c>
      <c r="Z1074" s="1" t="s">
        <v>71</v>
      </c>
      <c r="AE1074" s="1" t="s">
        <v>3585</v>
      </c>
      <c r="AH1074" s="1" t="s">
        <v>73</v>
      </c>
      <c r="AK1074" s="1" t="s">
        <v>71</v>
      </c>
      <c r="AM1074" s="1" t="s">
        <v>71</v>
      </c>
      <c r="AN1074" s="1" t="s">
        <v>71</v>
      </c>
      <c r="AS1074" s="1" t="s">
        <v>71</v>
      </c>
      <c r="AX1074" s="1" t="s">
        <v>71</v>
      </c>
      <c r="BH1074" s="1" t="s">
        <v>71</v>
      </c>
    </row>
    <row r="1075" customFormat="false" ht="15" hidden="false" customHeight="false" outlineLevel="0" collapsed="false">
      <c r="A1075" s="1" t="s">
        <v>3602</v>
      </c>
      <c r="B1075" s="1" t="s">
        <v>3603</v>
      </c>
      <c r="C1075" s="1" t="s">
        <v>3604</v>
      </c>
      <c r="D1075" s="1" t="s">
        <v>3605</v>
      </c>
      <c r="E1075" s="1" t="s">
        <v>82</v>
      </c>
      <c r="F1075" s="1" t="s">
        <v>391</v>
      </c>
      <c r="G1075" s="1" t="s">
        <v>97</v>
      </c>
      <c r="H1075" s="1" t="s">
        <v>406</v>
      </c>
      <c r="K1075" s="1" t="s">
        <v>65</v>
      </c>
      <c r="L1075" s="1" t="s">
        <v>860</v>
      </c>
      <c r="M1075" s="1" t="s">
        <v>496</v>
      </c>
      <c r="N1075" s="1" t="s">
        <v>2587</v>
      </c>
      <c r="O1075" s="1" t="s">
        <v>400</v>
      </c>
      <c r="P1075" s="1" t="s">
        <v>3606</v>
      </c>
      <c r="Z1075" s="1" t="s">
        <v>71</v>
      </c>
      <c r="AE1075" s="1" t="s">
        <v>3607</v>
      </c>
      <c r="AH1075" s="1" t="s">
        <v>73</v>
      </c>
      <c r="AK1075" s="1" t="s">
        <v>71</v>
      </c>
      <c r="AM1075" s="1" t="s">
        <v>71</v>
      </c>
      <c r="AN1075" s="1" t="s">
        <v>71</v>
      </c>
      <c r="AS1075" s="1" t="s">
        <v>71</v>
      </c>
      <c r="AX1075" s="1" t="s">
        <v>71</v>
      </c>
      <c r="BH1075" s="1" t="s">
        <v>71</v>
      </c>
    </row>
    <row r="1076" customFormat="false" ht="15" hidden="false" customHeight="false" outlineLevel="0" collapsed="false">
      <c r="A1076" s="1" t="s">
        <v>3608</v>
      </c>
      <c r="B1076" s="1" t="s">
        <v>3609</v>
      </c>
      <c r="C1076" s="1" t="s">
        <v>3604</v>
      </c>
      <c r="D1076" s="1" t="s">
        <v>3605</v>
      </c>
      <c r="E1076" s="1" t="s">
        <v>82</v>
      </c>
      <c r="F1076" s="1" t="s">
        <v>391</v>
      </c>
      <c r="G1076" s="1" t="s">
        <v>97</v>
      </c>
      <c r="H1076" s="1" t="s">
        <v>406</v>
      </c>
      <c r="K1076" s="1" t="s">
        <v>65</v>
      </c>
      <c r="L1076" s="1" t="s">
        <v>860</v>
      </c>
      <c r="M1076" s="1" t="s">
        <v>496</v>
      </c>
      <c r="N1076" s="1" t="s">
        <v>3610</v>
      </c>
      <c r="O1076" s="1" t="s">
        <v>3611</v>
      </c>
      <c r="P1076" s="1" t="s">
        <v>3612</v>
      </c>
      <c r="Z1076" s="1" t="s">
        <v>71</v>
      </c>
      <c r="AE1076" s="1" t="s">
        <v>3607</v>
      </c>
      <c r="AH1076" s="1" t="s">
        <v>73</v>
      </c>
      <c r="AK1076" s="1" t="s">
        <v>71</v>
      </c>
      <c r="AM1076" s="1" t="s">
        <v>71</v>
      </c>
      <c r="AN1076" s="1" t="s">
        <v>71</v>
      </c>
      <c r="AS1076" s="1" t="s">
        <v>71</v>
      </c>
      <c r="AX1076" s="1" t="s">
        <v>71</v>
      </c>
      <c r="BH1076" s="1" t="s">
        <v>71</v>
      </c>
    </row>
    <row r="1077" customFormat="false" ht="15" hidden="false" customHeight="false" outlineLevel="0" collapsed="false">
      <c r="A1077" s="1" t="s">
        <v>3613</v>
      </c>
      <c r="B1077" s="1" t="s">
        <v>3614</v>
      </c>
      <c r="C1077" s="1" t="s">
        <v>580</v>
      </c>
      <c r="D1077" s="1" t="s">
        <v>1788</v>
      </c>
      <c r="E1077" s="1" t="s">
        <v>82</v>
      </c>
      <c r="F1077" s="1" t="s">
        <v>391</v>
      </c>
      <c r="G1077" s="1" t="s">
        <v>308</v>
      </c>
      <c r="H1077" s="1" t="s">
        <v>1789</v>
      </c>
      <c r="K1077" s="1" t="s">
        <v>1790</v>
      </c>
      <c r="L1077" s="1" t="s">
        <v>1791</v>
      </c>
      <c r="M1077" s="1" t="s">
        <v>496</v>
      </c>
      <c r="N1077" s="1" t="s">
        <v>1792</v>
      </c>
      <c r="O1077" s="1" t="s">
        <v>1793</v>
      </c>
      <c r="P1077" s="1" t="s">
        <v>3615</v>
      </c>
      <c r="Z1077" s="1" t="s">
        <v>71</v>
      </c>
      <c r="AE1077" s="1" t="s">
        <v>3607</v>
      </c>
      <c r="AH1077" s="1" t="s">
        <v>73</v>
      </c>
      <c r="AK1077" s="1" t="s">
        <v>71</v>
      </c>
      <c r="AM1077" s="1" t="s">
        <v>71</v>
      </c>
      <c r="AN1077" s="1" t="s">
        <v>71</v>
      </c>
      <c r="AS1077" s="1" t="s">
        <v>71</v>
      </c>
      <c r="AX1077" s="1" t="s">
        <v>71</v>
      </c>
      <c r="BH1077" s="1" t="s">
        <v>71</v>
      </c>
    </row>
    <row r="1078" customFormat="false" ht="15" hidden="false" customHeight="false" outlineLevel="0" collapsed="false">
      <c r="A1078" s="1" t="s">
        <v>3616</v>
      </c>
      <c r="B1078" s="1" t="s">
        <v>3617</v>
      </c>
      <c r="C1078" s="1" t="s">
        <v>580</v>
      </c>
      <c r="D1078" s="1" t="s">
        <v>1788</v>
      </c>
      <c r="E1078" s="1" t="s">
        <v>82</v>
      </c>
      <c r="F1078" s="1" t="s">
        <v>391</v>
      </c>
      <c r="G1078" s="1" t="s">
        <v>308</v>
      </c>
      <c r="H1078" s="1" t="s">
        <v>1789</v>
      </c>
      <c r="K1078" s="1" t="s">
        <v>836</v>
      </c>
      <c r="L1078" s="1" t="s">
        <v>3618</v>
      </c>
      <c r="M1078" s="1" t="s">
        <v>496</v>
      </c>
      <c r="N1078" s="1" t="s">
        <v>1792</v>
      </c>
      <c r="O1078" s="1" t="s">
        <v>1793</v>
      </c>
      <c r="P1078" s="1" t="s">
        <v>3615</v>
      </c>
      <c r="Z1078" s="1" t="s">
        <v>71</v>
      </c>
      <c r="AE1078" s="1" t="s">
        <v>3607</v>
      </c>
      <c r="AH1078" s="1" t="s">
        <v>73</v>
      </c>
      <c r="AK1078" s="1" t="s">
        <v>71</v>
      </c>
      <c r="AM1078" s="1" t="s">
        <v>71</v>
      </c>
      <c r="AN1078" s="1" t="s">
        <v>71</v>
      </c>
      <c r="AS1078" s="1" t="s">
        <v>71</v>
      </c>
      <c r="AX1078" s="1" t="s">
        <v>71</v>
      </c>
      <c r="BH1078" s="1" t="s">
        <v>71</v>
      </c>
    </row>
    <row r="1079" customFormat="false" ht="15" hidden="false" customHeight="false" outlineLevel="0" collapsed="false">
      <c r="A1079" s="1" t="s">
        <v>3619</v>
      </c>
      <c r="B1079" s="1" t="s">
        <v>3620</v>
      </c>
      <c r="C1079" s="1" t="s">
        <v>580</v>
      </c>
      <c r="D1079" s="1" t="s">
        <v>1788</v>
      </c>
      <c r="E1079" s="1" t="s">
        <v>82</v>
      </c>
      <c r="F1079" s="1" t="s">
        <v>391</v>
      </c>
      <c r="G1079" s="1" t="s">
        <v>308</v>
      </c>
      <c r="H1079" s="1" t="s">
        <v>1789</v>
      </c>
      <c r="K1079" s="1" t="s">
        <v>407</v>
      </c>
      <c r="L1079" s="1" t="s">
        <v>3621</v>
      </c>
      <c r="M1079" s="1" t="s">
        <v>496</v>
      </c>
      <c r="N1079" s="1" t="s">
        <v>1792</v>
      </c>
      <c r="O1079" s="1" t="s">
        <v>1793</v>
      </c>
      <c r="P1079" s="1" t="s">
        <v>3615</v>
      </c>
      <c r="Z1079" s="1" t="s">
        <v>71</v>
      </c>
      <c r="AE1079" s="1" t="s">
        <v>3607</v>
      </c>
      <c r="AH1079" s="1" t="s">
        <v>73</v>
      </c>
      <c r="AK1079" s="1" t="s">
        <v>71</v>
      </c>
      <c r="AM1079" s="1" t="s">
        <v>71</v>
      </c>
      <c r="AN1079" s="1" t="s">
        <v>71</v>
      </c>
      <c r="AS1079" s="1" t="s">
        <v>71</v>
      </c>
      <c r="AX1079" s="1" t="s">
        <v>71</v>
      </c>
      <c r="BH1079" s="1" t="s">
        <v>71</v>
      </c>
    </row>
    <row r="1080" customFormat="false" ht="15" hidden="false" customHeight="false" outlineLevel="0" collapsed="false">
      <c r="A1080" s="1" t="s">
        <v>3622</v>
      </c>
      <c r="B1080" s="1" t="s">
        <v>3623</v>
      </c>
      <c r="C1080" s="1" t="s">
        <v>161</v>
      </c>
      <c r="D1080" s="1" t="s">
        <v>162</v>
      </c>
      <c r="E1080" s="1" t="s">
        <v>61</v>
      </c>
      <c r="F1080" s="1" t="s">
        <v>101</v>
      </c>
      <c r="G1080" s="1" t="s">
        <v>93</v>
      </c>
      <c r="H1080" s="1" t="s">
        <v>64</v>
      </c>
      <c r="K1080" s="1" t="s">
        <v>161</v>
      </c>
      <c r="L1080" s="1" t="s">
        <v>1586</v>
      </c>
      <c r="M1080" s="1" t="s">
        <v>104</v>
      </c>
      <c r="N1080" s="1" t="s">
        <v>105</v>
      </c>
      <c r="O1080" s="1" t="s">
        <v>106</v>
      </c>
      <c r="P1080" s="1" t="s">
        <v>3539</v>
      </c>
      <c r="U1080" s="1" t="s">
        <v>3622</v>
      </c>
      <c r="Z1080" s="1" t="s">
        <v>71</v>
      </c>
      <c r="AE1080" s="1" t="s">
        <v>3624</v>
      </c>
      <c r="AH1080" s="1" t="s">
        <v>73</v>
      </c>
      <c r="AK1080" s="1" t="s">
        <v>71</v>
      </c>
      <c r="AM1080" s="1" t="s">
        <v>71</v>
      </c>
      <c r="AN1080" s="1" t="s">
        <v>71</v>
      </c>
      <c r="AS1080" s="1" t="s">
        <v>71</v>
      </c>
      <c r="AX1080" s="1" t="s">
        <v>71</v>
      </c>
      <c r="AY1080" s="1" t="s">
        <v>59</v>
      </c>
      <c r="AZ1080" s="1" t="s">
        <v>74</v>
      </c>
      <c r="BH1080" s="1" t="s">
        <v>71</v>
      </c>
    </row>
    <row r="1081" customFormat="false" ht="15" hidden="false" customHeight="false" outlineLevel="0" collapsed="false">
      <c r="A1081" s="1" t="s">
        <v>3625</v>
      </c>
      <c r="B1081" s="1" t="s">
        <v>3626</v>
      </c>
      <c r="C1081" s="1" t="s">
        <v>664</v>
      </c>
      <c r="D1081" s="1" t="s">
        <v>665</v>
      </c>
      <c r="E1081" s="1" t="s">
        <v>82</v>
      </c>
      <c r="F1081" s="1" t="s">
        <v>391</v>
      </c>
      <c r="G1081" s="1" t="s">
        <v>97</v>
      </c>
      <c r="H1081" s="1" t="s">
        <v>406</v>
      </c>
      <c r="K1081" s="1" t="s">
        <v>59</v>
      </c>
      <c r="L1081" s="1" t="s">
        <v>791</v>
      </c>
      <c r="M1081" s="1" t="s">
        <v>806</v>
      </c>
      <c r="N1081" s="1" t="s">
        <v>2118</v>
      </c>
      <c r="O1081" s="1" t="s">
        <v>2119</v>
      </c>
      <c r="P1081" s="1" t="s">
        <v>3627</v>
      </c>
      <c r="Z1081" s="1" t="s">
        <v>71</v>
      </c>
      <c r="AE1081" s="1" t="s">
        <v>3624</v>
      </c>
      <c r="AH1081" s="1" t="s">
        <v>73</v>
      </c>
      <c r="AK1081" s="1" t="s">
        <v>71</v>
      </c>
      <c r="AM1081" s="1" t="s">
        <v>71</v>
      </c>
      <c r="AN1081" s="1" t="s">
        <v>71</v>
      </c>
      <c r="AS1081" s="1" t="s">
        <v>71</v>
      </c>
      <c r="AX1081" s="1" t="s">
        <v>71</v>
      </c>
      <c r="BH1081" s="1" t="s">
        <v>71</v>
      </c>
    </row>
    <row r="1082" customFormat="false" ht="15" hidden="false" customHeight="false" outlineLevel="0" collapsed="false">
      <c r="A1082" s="1" t="s">
        <v>3628</v>
      </c>
      <c r="B1082" s="1" t="s">
        <v>3629</v>
      </c>
      <c r="C1082" s="1" t="s">
        <v>782</v>
      </c>
      <c r="D1082" s="1" t="s">
        <v>783</v>
      </c>
      <c r="E1082" s="1" t="s">
        <v>82</v>
      </c>
      <c r="F1082" s="1" t="s">
        <v>391</v>
      </c>
      <c r="G1082" s="1" t="s">
        <v>213</v>
      </c>
      <c r="H1082" s="1" t="s">
        <v>477</v>
      </c>
      <c r="K1082" s="1" t="s">
        <v>478</v>
      </c>
      <c r="L1082" s="1" t="s">
        <v>479</v>
      </c>
      <c r="M1082" s="1" t="s">
        <v>496</v>
      </c>
      <c r="N1082" s="1" t="s">
        <v>3630</v>
      </c>
      <c r="O1082" s="1" t="s">
        <v>447</v>
      </c>
      <c r="P1082" s="1" t="s">
        <v>3631</v>
      </c>
      <c r="Z1082" s="1" t="s">
        <v>71</v>
      </c>
      <c r="AE1082" s="1" t="s">
        <v>3624</v>
      </c>
      <c r="AH1082" s="1" t="s">
        <v>73</v>
      </c>
      <c r="AK1082" s="1" t="s">
        <v>71</v>
      </c>
      <c r="AM1082" s="1" t="s">
        <v>71</v>
      </c>
      <c r="AN1082" s="1" t="s">
        <v>71</v>
      </c>
      <c r="AS1082" s="1" t="s">
        <v>71</v>
      </c>
      <c r="AX1082" s="1" t="s">
        <v>71</v>
      </c>
      <c r="BH1082" s="1" t="s">
        <v>71</v>
      </c>
    </row>
    <row r="1083" customFormat="false" ht="15" hidden="false" customHeight="false" outlineLevel="0" collapsed="false">
      <c r="A1083" s="1" t="s">
        <v>3632</v>
      </c>
      <c r="B1083" s="1" t="s">
        <v>3633</v>
      </c>
      <c r="C1083" s="1" t="s">
        <v>969</v>
      </c>
      <c r="D1083" s="1" t="s">
        <v>3352</v>
      </c>
      <c r="E1083" s="1" t="s">
        <v>82</v>
      </c>
      <c r="F1083" s="1" t="s">
        <v>391</v>
      </c>
      <c r="G1083" s="1" t="s">
        <v>443</v>
      </c>
      <c r="H1083" s="1" t="s">
        <v>444</v>
      </c>
      <c r="K1083" s="1" t="s">
        <v>61</v>
      </c>
      <c r="L1083" s="1" t="s">
        <v>445</v>
      </c>
      <c r="M1083" s="1" t="s">
        <v>496</v>
      </c>
      <c r="N1083" s="1" t="s">
        <v>3360</v>
      </c>
      <c r="O1083" s="1" t="s">
        <v>3361</v>
      </c>
      <c r="P1083" s="1" t="s">
        <v>3490</v>
      </c>
      <c r="Z1083" s="1" t="s">
        <v>71</v>
      </c>
      <c r="AE1083" s="1" t="s">
        <v>3634</v>
      </c>
      <c r="AH1083" s="1" t="s">
        <v>73</v>
      </c>
      <c r="AK1083" s="1" t="s">
        <v>71</v>
      </c>
      <c r="AM1083" s="1" t="s">
        <v>71</v>
      </c>
      <c r="AN1083" s="1" t="s">
        <v>71</v>
      </c>
      <c r="AS1083" s="1" t="s">
        <v>71</v>
      </c>
      <c r="AX1083" s="1" t="s">
        <v>71</v>
      </c>
      <c r="BH1083" s="1" t="s">
        <v>71</v>
      </c>
    </row>
    <row r="1084" customFormat="false" ht="15" hidden="false" customHeight="false" outlineLevel="0" collapsed="false">
      <c r="A1084" s="1" t="s">
        <v>3635</v>
      </c>
      <c r="B1084" s="1" t="s">
        <v>3636</v>
      </c>
      <c r="C1084" s="1" t="s">
        <v>969</v>
      </c>
      <c r="D1084" s="1" t="s">
        <v>3352</v>
      </c>
      <c r="E1084" s="1" t="s">
        <v>82</v>
      </c>
      <c r="F1084" s="1" t="s">
        <v>391</v>
      </c>
      <c r="G1084" s="1" t="s">
        <v>443</v>
      </c>
      <c r="H1084" s="1" t="s">
        <v>444</v>
      </c>
      <c r="K1084" s="1" t="s">
        <v>61</v>
      </c>
      <c r="L1084" s="1" t="s">
        <v>445</v>
      </c>
      <c r="M1084" s="1" t="s">
        <v>496</v>
      </c>
      <c r="N1084" s="1" t="s">
        <v>3637</v>
      </c>
      <c r="O1084" s="1" t="s">
        <v>3638</v>
      </c>
      <c r="P1084" s="1" t="s">
        <v>3639</v>
      </c>
      <c r="Z1084" s="1" t="s">
        <v>71</v>
      </c>
      <c r="AE1084" s="1" t="s">
        <v>3640</v>
      </c>
      <c r="AH1084" s="1" t="s">
        <v>73</v>
      </c>
      <c r="AK1084" s="1" t="s">
        <v>71</v>
      </c>
      <c r="AM1084" s="1" t="s">
        <v>71</v>
      </c>
      <c r="AN1084" s="1" t="s">
        <v>71</v>
      </c>
      <c r="AS1084" s="1" t="s">
        <v>71</v>
      </c>
      <c r="AX1084" s="1" t="s">
        <v>71</v>
      </c>
      <c r="BH1084" s="1" t="s">
        <v>71</v>
      </c>
    </row>
    <row r="1085" customFormat="false" ht="15" hidden="false" customHeight="false" outlineLevel="0" collapsed="false">
      <c r="A1085" s="1" t="s">
        <v>3641</v>
      </c>
      <c r="B1085" s="1" t="s">
        <v>3642</v>
      </c>
      <c r="C1085" s="1" t="s">
        <v>969</v>
      </c>
      <c r="D1085" s="1" t="s">
        <v>3352</v>
      </c>
      <c r="E1085" s="1" t="s">
        <v>82</v>
      </c>
      <c r="F1085" s="1" t="s">
        <v>391</v>
      </c>
      <c r="G1085" s="1" t="s">
        <v>443</v>
      </c>
      <c r="H1085" s="1" t="s">
        <v>444</v>
      </c>
      <c r="K1085" s="1" t="s">
        <v>61</v>
      </c>
      <c r="L1085" s="1" t="s">
        <v>445</v>
      </c>
      <c r="M1085" s="1" t="s">
        <v>496</v>
      </c>
      <c r="N1085" s="1" t="s">
        <v>3637</v>
      </c>
      <c r="O1085" s="1" t="s">
        <v>3638</v>
      </c>
      <c r="P1085" s="1" t="s">
        <v>3639</v>
      </c>
      <c r="Z1085" s="1" t="s">
        <v>71</v>
      </c>
      <c r="AE1085" s="1" t="s">
        <v>3640</v>
      </c>
      <c r="AH1085" s="1" t="s">
        <v>73</v>
      </c>
      <c r="AK1085" s="1" t="s">
        <v>71</v>
      </c>
      <c r="AM1085" s="1" t="s">
        <v>71</v>
      </c>
      <c r="AN1085" s="1" t="s">
        <v>71</v>
      </c>
      <c r="AS1085" s="1" t="s">
        <v>71</v>
      </c>
      <c r="AX1085" s="1" t="s">
        <v>71</v>
      </c>
      <c r="BH1085" s="1" t="s">
        <v>71</v>
      </c>
    </row>
    <row r="1086" customFormat="false" ht="15" hidden="false" customHeight="false" outlineLevel="0" collapsed="false">
      <c r="A1086" s="1" t="s">
        <v>3643</v>
      </c>
      <c r="B1086" s="1" t="s">
        <v>3644</v>
      </c>
      <c r="C1086" s="1" t="s">
        <v>969</v>
      </c>
      <c r="D1086" s="1" t="s">
        <v>3352</v>
      </c>
      <c r="E1086" s="1" t="s">
        <v>82</v>
      </c>
      <c r="F1086" s="1" t="s">
        <v>391</v>
      </c>
      <c r="G1086" s="1" t="s">
        <v>443</v>
      </c>
      <c r="H1086" s="1" t="s">
        <v>444</v>
      </c>
      <c r="K1086" s="1" t="s">
        <v>61</v>
      </c>
      <c r="L1086" s="1" t="s">
        <v>445</v>
      </c>
      <c r="M1086" s="1" t="s">
        <v>496</v>
      </c>
      <c r="N1086" s="1" t="s">
        <v>807</v>
      </c>
      <c r="O1086" s="1" t="s">
        <v>808</v>
      </c>
      <c r="P1086" s="1" t="s">
        <v>3645</v>
      </c>
      <c r="Z1086" s="1" t="s">
        <v>71</v>
      </c>
      <c r="AE1086" s="1" t="s">
        <v>3640</v>
      </c>
      <c r="AH1086" s="1" t="s">
        <v>73</v>
      </c>
      <c r="AK1086" s="1" t="s">
        <v>71</v>
      </c>
      <c r="AM1086" s="1" t="s">
        <v>71</v>
      </c>
      <c r="AN1086" s="1" t="s">
        <v>71</v>
      </c>
      <c r="AS1086" s="1" t="s">
        <v>71</v>
      </c>
      <c r="AX1086" s="1" t="s">
        <v>71</v>
      </c>
      <c r="BH1086" s="1" t="s">
        <v>71</v>
      </c>
    </row>
    <row r="1087" customFormat="false" ht="15" hidden="false" customHeight="false" outlineLevel="0" collapsed="false">
      <c r="A1087" s="1" t="s">
        <v>3646</v>
      </c>
      <c r="B1087" s="1" t="s">
        <v>3647</v>
      </c>
      <c r="C1087" s="1" t="s">
        <v>969</v>
      </c>
      <c r="D1087" s="1" t="s">
        <v>3352</v>
      </c>
      <c r="E1087" s="1" t="s">
        <v>82</v>
      </c>
      <c r="F1087" s="1" t="s">
        <v>391</v>
      </c>
      <c r="G1087" s="1" t="s">
        <v>443</v>
      </c>
      <c r="H1087" s="1" t="s">
        <v>444</v>
      </c>
      <c r="K1087" s="1" t="s">
        <v>61</v>
      </c>
      <c r="L1087" s="1" t="s">
        <v>445</v>
      </c>
      <c r="M1087" s="1" t="s">
        <v>496</v>
      </c>
      <c r="N1087" s="1" t="s">
        <v>3360</v>
      </c>
      <c r="O1087" s="1" t="s">
        <v>3361</v>
      </c>
      <c r="P1087" s="1" t="s">
        <v>3490</v>
      </c>
      <c r="Z1087" s="1" t="s">
        <v>71</v>
      </c>
      <c r="AE1087" s="1" t="s">
        <v>3640</v>
      </c>
      <c r="AH1087" s="1" t="s">
        <v>73</v>
      </c>
      <c r="AK1087" s="1" t="s">
        <v>71</v>
      </c>
      <c r="AM1087" s="1" t="s">
        <v>71</v>
      </c>
      <c r="AN1087" s="1" t="s">
        <v>71</v>
      </c>
      <c r="AS1087" s="1" t="s">
        <v>71</v>
      </c>
      <c r="AX1087" s="1" t="s">
        <v>71</v>
      </c>
      <c r="BH1087" s="1" t="s">
        <v>71</v>
      </c>
    </row>
    <row r="1088" customFormat="false" ht="15" hidden="false" customHeight="false" outlineLevel="0" collapsed="false">
      <c r="A1088" s="1" t="s">
        <v>3648</v>
      </c>
      <c r="B1088" s="1" t="s">
        <v>3649</v>
      </c>
      <c r="C1088" s="1" t="s">
        <v>969</v>
      </c>
      <c r="D1088" s="1" t="s">
        <v>3352</v>
      </c>
      <c r="E1088" s="1" t="s">
        <v>82</v>
      </c>
      <c r="F1088" s="1" t="s">
        <v>391</v>
      </c>
      <c r="G1088" s="1" t="s">
        <v>443</v>
      </c>
      <c r="H1088" s="1" t="s">
        <v>444</v>
      </c>
      <c r="K1088" s="1" t="s">
        <v>61</v>
      </c>
      <c r="L1088" s="1" t="s">
        <v>445</v>
      </c>
      <c r="M1088" s="1" t="s">
        <v>496</v>
      </c>
      <c r="N1088" s="1" t="s">
        <v>3360</v>
      </c>
      <c r="O1088" s="1" t="s">
        <v>3361</v>
      </c>
      <c r="P1088" s="1" t="s">
        <v>3490</v>
      </c>
      <c r="Z1088" s="1" t="s">
        <v>71</v>
      </c>
      <c r="AE1088" s="1" t="s">
        <v>3640</v>
      </c>
      <c r="AH1088" s="1" t="s">
        <v>73</v>
      </c>
      <c r="AK1088" s="1" t="s">
        <v>71</v>
      </c>
      <c r="AM1088" s="1" t="s">
        <v>71</v>
      </c>
      <c r="AN1088" s="1" t="s">
        <v>71</v>
      </c>
      <c r="AS1088" s="1" t="s">
        <v>71</v>
      </c>
      <c r="AX1088" s="1" t="s">
        <v>71</v>
      </c>
      <c r="BH1088" s="1" t="s">
        <v>71</v>
      </c>
    </row>
    <row r="1089" customFormat="false" ht="15" hidden="false" customHeight="false" outlineLevel="0" collapsed="false">
      <c r="A1089" s="1" t="s">
        <v>3650</v>
      </c>
      <c r="B1089" s="1" t="s">
        <v>3651</v>
      </c>
      <c r="C1089" s="1" t="s">
        <v>312</v>
      </c>
      <c r="D1089" s="1" t="s">
        <v>2073</v>
      </c>
      <c r="E1089" s="1" t="s">
        <v>82</v>
      </c>
      <c r="F1089" s="1" t="s">
        <v>391</v>
      </c>
      <c r="G1089" s="1" t="s">
        <v>97</v>
      </c>
      <c r="H1089" s="1" t="s">
        <v>406</v>
      </c>
      <c r="K1089" s="1" t="s">
        <v>59</v>
      </c>
      <c r="L1089" s="1" t="s">
        <v>791</v>
      </c>
      <c r="M1089" s="1" t="s">
        <v>496</v>
      </c>
      <c r="N1089" s="1" t="s">
        <v>3652</v>
      </c>
      <c r="O1089" s="1" t="s">
        <v>447</v>
      </c>
      <c r="P1089" s="1" t="s">
        <v>3653</v>
      </c>
      <c r="Z1089" s="1" t="s">
        <v>71</v>
      </c>
      <c r="AE1089" s="1" t="s">
        <v>3640</v>
      </c>
      <c r="AH1089" s="1" t="s">
        <v>73</v>
      </c>
      <c r="AK1089" s="1" t="s">
        <v>71</v>
      </c>
      <c r="AM1089" s="1" t="s">
        <v>71</v>
      </c>
      <c r="AN1089" s="1" t="s">
        <v>71</v>
      </c>
      <c r="AS1089" s="1" t="s">
        <v>71</v>
      </c>
      <c r="AX1089" s="1" t="s">
        <v>71</v>
      </c>
      <c r="BH1089" s="1" t="s">
        <v>71</v>
      </c>
    </row>
    <row r="1090" customFormat="false" ht="15" hidden="false" customHeight="false" outlineLevel="0" collapsed="false">
      <c r="A1090" s="1" t="s">
        <v>3654</v>
      </c>
      <c r="B1090" s="1" t="s">
        <v>3655</v>
      </c>
      <c r="C1090" s="1" t="s">
        <v>312</v>
      </c>
      <c r="D1090" s="1" t="s">
        <v>2073</v>
      </c>
      <c r="E1090" s="1" t="s">
        <v>82</v>
      </c>
      <c r="F1090" s="1" t="s">
        <v>391</v>
      </c>
      <c r="G1090" s="1" t="s">
        <v>97</v>
      </c>
      <c r="H1090" s="1" t="s">
        <v>406</v>
      </c>
      <c r="K1090" s="1" t="s">
        <v>59</v>
      </c>
      <c r="L1090" s="1" t="s">
        <v>791</v>
      </c>
      <c r="M1090" s="1" t="s">
        <v>496</v>
      </c>
      <c r="N1090" s="1" t="s">
        <v>1225</v>
      </c>
      <c r="O1090" s="1" t="s">
        <v>400</v>
      </c>
      <c r="P1090" s="1" t="s">
        <v>3656</v>
      </c>
      <c r="Z1090" s="1" t="s">
        <v>71</v>
      </c>
      <c r="AE1090" s="1" t="s">
        <v>3640</v>
      </c>
      <c r="AH1090" s="1" t="s">
        <v>73</v>
      </c>
      <c r="AK1090" s="1" t="s">
        <v>71</v>
      </c>
      <c r="AM1090" s="1" t="s">
        <v>71</v>
      </c>
      <c r="AN1090" s="1" t="s">
        <v>71</v>
      </c>
      <c r="AS1090" s="1" t="s">
        <v>71</v>
      </c>
      <c r="AX1090" s="1" t="s">
        <v>71</v>
      </c>
      <c r="BH1090" s="1" t="s">
        <v>71</v>
      </c>
    </row>
    <row r="1091" customFormat="false" ht="15" hidden="false" customHeight="false" outlineLevel="0" collapsed="false">
      <c r="A1091" s="1" t="s">
        <v>3657</v>
      </c>
      <c r="B1091" s="1" t="s">
        <v>3658</v>
      </c>
      <c r="C1091" s="1" t="s">
        <v>969</v>
      </c>
      <c r="D1091" s="1" t="s">
        <v>3352</v>
      </c>
      <c r="E1091" s="1" t="s">
        <v>82</v>
      </c>
      <c r="F1091" s="1" t="s">
        <v>391</v>
      </c>
      <c r="G1091" s="1" t="s">
        <v>443</v>
      </c>
      <c r="H1091" s="1" t="s">
        <v>444</v>
      </c>
      <c r="K1091" s="1" t="s">
        <v>61</v>
      </c>
      <c r="L1091" s="1" t="s">
        <v>445</v>
      </c>
      <c r="M1091" s="1" t="s">
        <v>3353</v>
      </c>
      <c r="N1091" s="1" t="s">
        <v>3354</v>
      </c>
      <c r="O1091" s="1" t="s">
        <v>400</v>
      </c>
      <c r="P1091" s="1" t="s">
        <v>3497</v>
      </c>
      <c r="Z1091" s="1" t="s">
        <v>71</v>
      </c>
      <c r="AE1091" s="1" t="s">
        <v>3659</v>
      </c>
      <c r="AH1091" s="1" t="s">
        <v>73</v>
      </c>
      <c r="AK1091" s="1" t="s">
        <v>71</v>
      </c>
      <c r="AM1091" s="1" t="s">
        <v>71</v>
      </c>
      <c r="AN1091" s="1" t="s">
        <v>71</v>
      </c>
      <c r="AS1091" s="1" t="s">
        <v>71</v>
      </c>
      <c r="AX1091" s="1" t="s">
        <v>71</v>
      </c>
      <c r="BH1091" s="1" t="s">
        <v>71</v>
      </c>
    </row>
    <row r="1092" customFormat="false" ht="15" hidden="false" customHeight="false" outlineLevel="0" collapsed="false">
      <c r="A1092" s="1" t="s">
        <v>3660</v>
      </c>
      <c r="B1092" s="1" t="s">
        <v>3661</v>
      </c>
      <c r="C1092" s="1" t="s">
        <v>686</v>
      </c>
      <c r="D1092" s="1" t="s">
        <v>2439</v>
      </c>
      <c r="E1092" s="1" t="s">
        <v>82</v>
      </c>
      <c r="F1092" s="1" t="s">
        <v>391</v>
      </c>
      <c r="G1092" s="1" t="s">
        <v>443</v>
      </c>
      <c r="H1092" s="1" t="s">
        <v>444</v>
      </c>
      <c r="K1092" s="1" t="s">
        <v>618</v>
      </c>
      <c r="L1092" s="1" t="s">
        <v>619</v>
      </c>
      <c r="M1092" s="1" t="s">
        <v>496</v>
      </c>
      <c r="N1092" s="1" t="s">
        <v>851</v>
      </c>
      <c r="O1092" s="1" t="s">
        <v>400</v>
      </c>
      <c r="P1092" s="1" t="s">
        <v>3662</v>
      </c>
      <c r="Z1092" s="1" t="s">
        <v>71</v>
      </c>
      <c r="AE1092" s="1" t="s">
        <v>3659</v>
      </c>
      <c r="AH1092" s="1" t="s">
        <v>73</v>
      </c>
      <c r="AK1092" s="1" t="s">
        <v>71</v>
      </c>
      <c r="AM1092" s="1" t="s">
        <v>71</v>
      </c>
      <c r="AN1092" s="1" t="s">
        <v>71</v>
      </c>
      <c r="AS1092" s="1" t="s">
        <v>71</v>
      </c>
      <c r="AX1092" s="1" t="s">
        <v>71</v>
      </c>
      <c r="BH1092" s="1" t="s">
        <v>71</v>
      </c>
    </row>
    <row r="1093" customFormat="false" ht="15" hidden="false" customHeight="false" outlineLevel="0" collapsed="false">
      <c r="A1093" s="1" t="s">
        <v>3663</v>
      </c>
      <c r="B1093" s="1" t="s">
        <v>3664</v>
      </c>
      <c r="C1093" s="1" t="s">
        <v>686</v>
      </c>
      <c r="D1093" s="1" t="s">
        <v>2439</v>
      </c>
      <c r="E1093" s="1" t="s">
        <v>82</v>
      </c>
      <c r="F1093" s="1" t="s">
        <v>391</v>
      </c>
      <c r="G1093" s="1" t="s">
        <v>443</v>
      </c>
      <c r="H1093" s="1" t="s">
        <v>444</v>
      </c>
      <c r="K1093" s="1" t="s">
        <v>61</v>
      </c>
      <c r="L1093" s="1" t="s">
        <v>445</v>
      </c>
      <c r="M1093" s="1" t="s">
        <v>496</v>
      </c>
      <c r="N1093" s="1" t="s">
        <v>3102</v>
      </c>
      <c r="O1093" s="1" t="s">
        <v>3103</v>
      </c>
      <c r="P1093" s="1" t="s">
        <v>3665</v>
      </c>
      <c r="Z1093" s="1" t="s">
        <v>71</v>
      </c>
      <c r="AE1093" s="1" t="s">
        <v>3659</v>
      </c>
      <c r="AH1093" s="1" t="s">
        <v>73</v>
      </c>
      <c r="AK1093" s="1" t="s">
        <v>71</v>
      </c>
      <c r="AM1093" s="1" t="s">
        <v>71</v>
      </c>
      <c r="AN1093" s="1" t="s">
        <v>71</v>
      </c>
      <c r="AS1093" s="1" t="s">
        <v>71</v>
      </c>
      <c r="AX1093" s="1" t="s">
        <v>71</v>
      </c>
      <c r="BH1093" s="1" t="s">
        <v>71</v>
      </c>
    </row>
    <row r="1094" customFormat="false" ht="15" hidden="false" customHeight="false" outlineLevel="0" collapsed="false">
      <c r="A1094" s="1" t="s">
        <v>3666</v>
      </c>
      <c r="B1094" s="1" t="s">
        <v>3667</v>
      </c>
      <c r="C1094" s="1" t="s">
        <v>1056</v>
      </c>
      <c r="D1094" s="1" t="s">
        <v>3668</v>
      </c>
      <c r="E1094" s="1" t="s">
        <v>82</v>
      </c>
      <c r="F1094" s="1" t="s">
        <v>391</v>
      </c>
      <c r="G1094" s="1" t="s">
        <v>443</v>
      </c>
      <c r="H1094" s="1" t="s">
        <v>444</v>
      </c>
      <c r="K1094" s="1" t="s">
        <v>618</v>
      </c>
      <c r="L1094" s="1" t="s">
        <v>619</v>
      </c>
      <c r="M1094" s="1" t="s">
        <v>496</v>
      </c>
      <c r="N1094" s="1" t="s">
        <v>1682</v>
      </c>
      <c r="O1094" s="1" t="s">
        <v>1001</v>
      </c>
      <c r="P1094" s="1" t="s">
        <v>3472</v>
      </c>
      <c r="Z1094" s="1" t="s">
        <v>71</v>
      </c>
      <c r="AE1094" s="1" t="s">
        <v>3659</v>
      </c>
      <c r="AH1094" s="1" t="s">
        <v>73</v>
      </c>
      <c r="AK1094" s="1" t="s">
        <v>71</v>
      </c>
      <c r="AM1094" s="1" t="s">
        <v>71</v>
      </c>
      <c r="AN1094" s="1" t="s">
        <v>71</v>
      </c>
      <c r="AS1094" s="1" t="s">
        <v>71</v>
      </c>
      <c r="AX1094" s="1" t="s">
        <v>71</v>
      </c>
      <c r="BH1094" s="1" t="s">
        <v>71</v>
      </c>
    </row>
    <row r="1095" customFormat="false" ht="15" hidden="false" customHeight="false" outlineLevel="0" collapsed="false">
      <c r="A1095" s="1" t="s">
        <v>3669</v>
      </c>
      <c r="B1095" s="1" t="s">
        <v>3670</v>
      </c>
      <c r="C1095" s="1" t="s">
        <v>1056</v>
      </c>
      <c r="D1095" s="1" t="s">
        <v>3668</v>
      </c>
      <c r="E1095" s="1" t="s">
        <v>82</v>
      </c>
      <c r="F1095" s="1" t="s">
        <v>391</v>
      </c>
      <c r="G1095" s="1" t="s">
        <v>443</v>
      </c>
      <c r="H1095" s="1" t="s">
        <v>444</v>
      </c>
      <c r="K1095" s="1" t="s">
        <v>61</v>
      </c>
      <c r="L1095" s="1" t="s">
        <v>445</v>
      </c>
      <c r="M1095" s="1" t="s">
        <v>2020</v>
      </c>
      <c r="N1095" s="1" t="s">
        <v>2432</v>
      </c>
      <c r="O1095" s="1" t="s">
        <v>400</v>
      </c>
      <c r="P1095" s="1" t="s">
        <v>3671</v>
      </c>
      <c r="Z1095" s="1" t="s">
        <v>71</v>
      </c>
      <c r="AE1095" s="1" t="s">
        <v>3659</v>
      </c>
      <c r="AH1095" s="1" t="s">
        <v>73</v>
      </c>
      <c r="AK1095" s="1" t="s">
        <v>71</v>
      </c>
      <c r="AM1095" s="1" t="s">
        <v>71</v>
      </c>
      <c r="AN1095" s="1" t="s">
        <v>71</v>
      </c>
      <c r="AS1095" s="1" t="s">
        <v>71</v>
      </c>
      <c r="AX1095" s="1" t="s">
        <v>71</v>
      </c>
      <c r="BH1095" s="1" t="s">
        <v>71</v>
      </c>
    </row>
    <row r="1096" customFormat="false" ht="15" hidden="false" customHeight="false" outlineLevel="0" collapsed="false">
      <c r="A1096" s="1" t="s">
        <v>3672</v>
      </c>
      <c r="B1096" s="1" t="s">
        <v>3673</v>
      </c>
      <c r="C1096" s="1" t="s">
        <v>1056</v>
      </c>
      <c r="D1096" s="1" t="s">
        <v>3668</v>
      </c>
      <c r="E1096" s="1" t="s">
        <v>82</v>
      </c>
      <c r="F1096" s="1" t="s">
        <v>391</v>
      </c>
      <c r="G1096" s="1" t="s">
        <v>443</v>
      </c>
      <c r="H1096" s="1" t="s">
        <v>444</v>
      </c>
      <c r="K1096" s="1" t="s">
        <v>61</v>
      </c>
      <c r="L1096" s="1" t="s">
        <v>445</v>
      </c>
      <c r="M1096" s="1" t="s">
        <v>496</v>
      </c>
      <c r="N1096" s="1" t="s">
        <v>394</v>
      </c>
      <c r="O1096" s="1" t="s">
        <v>395</v>
      </c>
      <c r="P1096" s="1" t="s">
        <v>3674</v>
      </c>
      <c r="Z1096" s="1" t="s">
        <v>71</v>
      </c>
      <c r="AE1096" s="1" t="s">
        <v>3659</v>
      </c>
      <c r="AH1096" s="1" t="s">
        <v>73</v>
      </c>
      <c r="AK1096" s="1" t="s">
        <v>71</v>
      </c>
      <c r="AM1096" s="1" t="s">
        <v>71</v>
      </c>
      <c r="AN1096" s="1" t="s">
        <v>71</v>
      </c>
      <c r="AS1096" s="1" t="s">
        <v>71</v>
      </c>
      <c r="AX1096" s="1" t="s">
        <v>71</v>
      </c>
      <c r="BH1096" s="1" t="s">
        <v>71</v>
      </c>
    </row>
    <row r="1097" customFormat="false" ht="15" hidden="false" customHeight="false" outlineLevel="0" collapsed="false">
      <c r="A1097" s="1" t="s">
        <v>3675</v>
      </c>
      <c r="B1097" s="1" t="s">
        <v>3676</v>
      </c>
      <c r="C1097" s="1" t="s">
        <v>1038</v>
      </c>
      <c r="D1097" s="1" t="s">
        <v>3170</v>
      </c>
      <c r="E1097" s="1" t="s">
        <v>82</v>
      </c>
      <c r="F1097" s="1" t="s">
        <v>391</v>
      </c>
      <c r="G1097" s="1" t="s">
        <v>182</v>
      </c>
      <c r="H1097" s="1" t="s">
        <v>392</v>
      </c>
      <c r="K1097" s="1" t="s">
        <v>65</v>
      </c>
      <c r="L1097" s="1" t="s">
        <v>517</v>
      </c>
      <c r="M1097" s="1" t="s">
        <v>496</v>
      </c>
      <c r="N1097" s="1" t="s">
        <v>842</v>
      </c>
      <c r="O1097" s="1" t="s">
        <v>400</v>
      </c>
      <c r="P1097" s="1" t="s">
        <v>3677</v>
      </c>
      <c r="Z1097" s="1" t="s">
        <v>71</v>
      </c>
      <c r="AE1097" s="1" t="s">
        <v>3678</v>
      </c>
      <c r="AH1097" s="1" t="s">
        <v>73</v>
      </c>
      <c r="AK1097" s="1" t="s">
        <v>71</v>
      </c>
      <c r="AM1097" s="1" t="s">
        <v>71</v>
      </c>
      <c r="AN1097" s="1" t="s">
        <v>71</v>
      </c>
      <c r="AS1097" s="1" t="s">
        <v>71</v>
      </c>
      <c r="AX1097" s="1" t="s">
        <v>71</v>
      </c>
      <c r="BH1097" s="1" t="s">
        <v>71</v>
      </c>
    </row>
    <row r="1098" customFormat="false" ht="15" hidden="false" customHeight="false" outlineLevel="0" collapsed="false">
      <c r="A1098" s="1" t="s">
        <v>3679</v>
      </c>
      <c r="B1098" s="1" t="s">
        <v>3680</v>
      </c>
      <c r="C1098" s="1" t="s">
        <v>1038</v>
      </c>
      <c r="D1098" s="1" t="s">
        <v>3170</v>
      </c>
      <c r="E1098" s="1" t="s">
        <v>82</v>
      </c>
      <c r="F1098" s="1" t="s">
        <v>391</v>
      </c>
      <c r="G1098" s="1" t="s">
        <v>182</v>
      </c>
      <c r="H1098" s="1" t="s">
        <v>392</v>
      </c>
      <c r="K1098" s="1" t="s">
        <v>65</v>
      </c>
      <c r="L1098" s="1" t="s">
        <v>517</v>
      </c>
      <c r="M1098" s="1" t="s">
        <v>2020</v>
      </c>
      <c r="N1098" s="1" t="s">
        <v>994</v>
      </c>
      <c r="O1098" s="1" t="s">
        <v>995</v>
      </c>
      <c r="P1098" s="1" t="s">
        <v>3681</v>
      </c>
      <c r="Z1098" s="1" t="s">
        <v>71</v>
      </c>
      <c r="AE1098" s="1" t="s">
        <v>3678</v>
      </c>
      <c r="AH1098" s="1" t="s">
        <v>73</v>
      </c>
      <c r="AK1098" s="1" t="s">
        <v>71</v>
      </c>
      <c r="AM1098" s="1" t="s">
        <v>71</v>
      </c>
      <c r="AN1098" s="1" t="s">
        <v>71</v>
      </c>
      <c r="AS1098" s="1" t="s">
        <v>71</v>
      </c>
      <c r="AX1098" s="1" t="s">
        <v>71</v>
      </c>
      <c r="BH1098" s="1" t="s">
        <v>71</v>
      </c>
    </row>
    <row r="1099" customFormat="false" ht="15" hidden="false" customHeight="false" outlineLevel="0" collapsed="false">
      <c r="A1099" s="1" t="s">
        <v>3682</v>
      </c>
      <c r="B1099" s="1" t="s">
        <v>3683</v>
      </c>
      <c r="C1099" s="1" t="s">
        <v>271</v>
      </c>
      <c r="D1099" s="1" t="s">
        <v>1097</v>
      </c>
      <c r="E1099" s="1" t="s">
        <v>82</v>
      </c>
      <c r="F1099" s="1" t="s">
        <v>391</v>
      </c>
      <c r="G1099" s="1" t="s">
        <v>443</v>
      </c>
      <c r="H1099" s="1" t="s">
        <v>444</v>
      </c>
      <c r="K1099" s="1" t="s">
        <v>582</v>
      </c>
      <c r="L1099" s="1" t="s">
        <v>860</v>
      </c>
      <c r="M1099" s="1" t="s">
        <v>465</v>
      </c>
      <c r="N1099" s="1" t="s">
        <v>3429</v>
      </c>
      <c r="O1099" s="1" t="s">
        <v>447</v>
      </c>
      <c r="P1099" s="1" t="s">
        <v>3684</v>
      </c>
      <c r="Z1099" s="1" t="s">
        <v>71</v>
      </c>
      <c r="AE1099" s="1" t="s">
        <v>3685</v>
      </c>
      <c r="AH1099" s="1" t="s">
        <v>73</v>
      </c>
      <c r="AK1099" s="1" t="s">
        <v>71</v>
      </c>
      <c r="AM1099" s="1" t="s">
        <v>71</v>
      </c>
      <c r="AN1099" s="1" t="s">
        <v>71</v>
      </c>
      <c r="AS1099" s="1" t="s">
        <v>71</v>
      </c>
      <c r="AX1099" s="1" t="s">
        <v>71</v>
      </c>
      <c r="BH1099" s="1" t="s">
        <v>71</v>
      </c>
    </row>
    <row r="1100" customFormat="false" ht="15" hidden="false" customHeight="false" outlineLevel="0" collapsed="false">
      <c r="A1100" s="1" t="s">
        <v>3686</v>
      </c>
      <c r="B1100" s="1" t="s">
        <v>3687</v>
      </c>
      <c r="C1100" s="1" t="s">
        <v>142</v>
      </c>
      <c r="D1100" s="1" t="s">
        <v>1102</v>
      </c>
      <c r="E1100" s="1" t="s">
        <v>82</v>
      </c>
      <c r="F1100" s="1" t="s">
        <v>391</v>
      </c>
      <c r="G1100" s="1" t="s">
        <v>443</v>
      </c>
      <c r="H1100" s="1" t="s">
        <v>444</v>
      </c>
      <c r="K1100" s="1" t="s">
        <v>61</v>
      </c>
      <c r="L1100" s="1" t="s">
        <v>445</v>
      </c>
      <c r="M1100" s="1" t="s">
        <v>496</v>
      </c>
      <c r="N1100" s="1" t="s">
        <v>3688</v>
      </c>
      <c r="O1100" s="1" t="s">
        <v>3689</v>
      </c>
      <c r="P1100" s="1" t="s">
        <v>3690</v>
      </c>
      <c r="Z1100" s="1" t="s">
        <v>71</v>
      </c>
      <c r="AE1100" s="1" t="s">
        <v>3691</v>
      </c>
      <c r="AH1100" s="1" t="s">
        <v>73</v>
      </c>
      <c r="AK1100" s="1" t="s">
        <v>71</v>
      </c>
      <c r="AM1100" s="1" t="s">
        <v>71</v>
      </c>
      <c r="AN1100" s="1" t="s">
        <v>71</v>
      </c>
      <c r="AS1100" s="1" t="s">
        <v>71</v>
      </c>
      <c r="AX1100" s="1" t="s">
        <v>71</v>
      </c>
      <c r="BH1100" s="1" t="s">
        <v>71</v>
      </c>
    </row>
    <row r="1101" customFormat="false" ht="15" hidden="false" customHeight="false" outlineLevel="0" collapsed="false">
      <c r="A1101" s="1" t="s">
        <v>3692</v>
      </c>
      <c r="B1101" s="1" t="s">
        <v>3693</v>
      </c>
      <c r="C1101" s="1" t="s">
        <v>142</v>
      </c>
      <c r="D1101" s="1" t="s">
        <v>1102</v>
      </c>
      <c r="E1101" s="1" t="s">
        <v>82</v>
      </c>
      <c r="F1101" s="1" t="s">
        <v>391</v>
      </c>
      <c r="G1101" s="1" t="s">
        <v>443</v>
      </c>
      <c r="H1101" s="1" t="s">
        <v>444</v>
      </c>
      <c r="K1101" s="1" t="s">
        <v>61</v>
      </c>
      <c r="L1101" s="1" t="s">
        <v>445</v>
      </c>
      <c r="M1101" s="1" t="s">
        <v>496</v>
      </c>
      <c r="N1101" s="1" t="s">
        <v>1923</v>
      </c>
      <c r="O1101" s="1" t="s">
        <v>1924</v>
      </c>
      <c r="P1101" s="1" t="s">
        <v>3694</v>
      </c>
      <c r="Z1101" s="1" t="s">
        <v>71</v>
      </c>
      <c r="AE1101" s="1" t="s">
        <v>3691</v>
      </c>
      <c r="AH1101" s="1" t="s">
        <v>73</v>
      </c>
      <c r="AK1101" s="1" t="s">
        <v>71</v>
      </c>
      <c r="AM1101" s="1" t="s">
        <v>71</v>
      </c>
      <c r="AN1101" s="1" t="s">
        <v>71</v>
      </c>
      <c r="AS1101" s="1" t="s">
        <v>71</v>
      </c>
      <c r="AX1101" s="1" t="s">
        <v>71</v>
      </c>
      <c r="BH1101" s="1" t="s">
        <v>71</v>
      </c>
    </row>
    <row r="1102" customFormat="false" ht="15" hidden="false" customHeight="false" outlineLevel="0" collapsed="false">
      <c r="A1102" s="1" t="s">
        <v>3695</v>
      </c>
      <c r="B1102" s="1" t="s">
        <v>3696</v>
      </c>
      <c r="C1102" s="1" t="s">
        <v>142</v>
      </c>
      <c r="D1102" s="1" t="s">
        <v>1102</v>
      </c>
      <c r="E1102" s="1" t="s">
        <v>82</v>
      </c>
      <c r="F1102" s="1" t="s">
        <v>391</v>
      </c>
      <c r="G1102" s="1" t="s">
        <v>443</v>
      </c>
      <c r="H1102" s="1" t="s">
        <v>444</v>
      </c>
      <c r="K1102" s="1" t="s">
        <v>61</v>
      </c>
      <c r="L1102" s="1" t="s">
        <v>445</v>
      </c>
      <c r="M1102" s="1" t="s">
        <v>496</v>
      </c>
      <c r="N1102" s="1" t="s">
        <v>3697</v>
      </c>
      <c r="O1102" s="1" t="s">
        <v>3698</v>
      </c>
      <c r="P1102" s="1" t="s">
        <v>3699</v>
      </c>
      <c r="Z1102" s="1" t="s">
        <v>71</v>
      </c>
      <c r="AE1102" s="1" t="s">
        <v>3691</v>
      </c>
      <c r="AH1102" s="1" t="s">
        <v>73</v>
      </c>
      <c r="AK1102" s="1" t="s">
        <v>71</v>
      </c>
      <c r="AM1102" s="1" t="s">
        <v>71</v>
      </c>
      <c r="AN1102" s="1" t="s">
        <v>71</v>
      </c>
      <c r="AS1102" s="1" t="s">
        <v>71</v>
      </c>
      <c r="AX1102" s="1" t="s">
        <v>71</v>
      </c>
      <c r="BH1102" s="1" t="s">
        <v>71</v>
      </c>
    </row>
    <row r="1103" customFormat="false" ht="15" hidden="false" customHeight="false" outlineLevel="0" collapsed="false">
      <c r="A1103" s="1" t="s">
        <v>3700</v>
      </c>
      <c r="B1103" s="1" t="s">
        <v>3701</v>
      </c>
      <c r="C1103" s="1" t="s">
        <v>142</v>
      </c>
      <c r="D1103" s="1" t="s">
        <v>1102</v>
      </c>
      <c r="E1103" s="1" t="s">
        <v>82</v>
      </c>
      <c r="F1103" s="1" t="s">
        <v>391</v>
      </c>
      <c r="G1103" s="1" t="s">
        <v>443</v>
      </c>
      <c r="H1103" s="1" t="s">
        <v>444</v>
      </c>
      <c r="K1103" s="1" t="s">
        <v>61</v>
      </c>
      <c r="L1103" s="1" t="s">
        <v>445</v>
      </c>
      <c r="M1103" s="1" t="s">
        <v>496</v>
      </c>
      <c r="N1103" s="1" t="s">
        <v>3702</v>
      </c>
      <c r="O1103" s="1" t="s">
        <v>3703</v>
      </c>
      <c r="P1103" s="1" t="s">
        <v>3704</v>
      </c>
      <c r="Z1103" s="1" t="s">
        <v>71</v>
      </c>
      <c r="AE1103" s="1" t="s">
        <v>3691</v>
      </c>
      <c r="AH1103" s="1" t="s">
        <v>73</v>
      </c>
      <c r="AK1103" s="1" t="s">
        <v>71</v>
      </c>
      <c r="AM1103" s="1" t="s">
        <v>71</v>
      </c>
      <c r="AN1103" s="1" t="s">
        <v>71</v>
      </c>
      <c r="AS1103" s="1" t="s">
        <v>71</v>
      </c>
      <c r="AX1103" s="1" t="s">
        <v>71</v>
      </c>
      <c r="BH1103" s="1" t="s">
        <v>71</v>
      </c>
    </row>
    <row r="1104" customFormat="false" ht="15" hidden="false" customHeight="false" outlineLevel="0" collapsed="false">
      <c r="A1104" s="1" t="s">
        <v>3705</v>
      </c>
      <c r="B1104" s="1" t="s">
        <v>3706</v>
      </c>
      <c r="C1104" s="1" t="s">
        <v>142</v>
      </c>
      <c r="D1104" s="1" t="s">
        <v>1102</v>
      </c>
      <c r="E1104" s="1" t="s">
        <v>82</v>
      </c>
      <c r="F1104" s="1" t="s">
        <v>391</v>
      </c>
      <c r="G1104" s="1" t="s">
        <v>443</v>
      </c>
      <c r="H1104" s="1" t="s">
        <v>444</v>
      </c>
      <c r="K1104" s="1" t="s">
        <v>61</v>
      </c>
      <c r="L1104" s="1" t="s">
        <v>445</v>
      </c>
      <c r="M1104" s="1" t="s">
        <v>496</v>
      </c>
      <c r="N1104" s="1" t="s">
        <v>3707</v>
      </c>
      <c r="O1104" s="1" t="s">
        <v>3708</v>
      </c>
      <c r="P1104" s="1" t="s">
        <v>3709</v>
      </c>
      <c r="Z1104" s="1" t="s">
        <v>71</v>
      </c>
      <c r="AE1104" s="1" t="s">
        <v>3691</v>
      </c>
      <c r="AH1104" s="1" t="s">
        <v>73</v>
      </c>
      <c r="AK1104" s="1" t="s">
        <v>71</v>
      </c>
      <c r="AM1104" s="1" t="s">
        <v>71</v>
      </c>
      <c r="AN1104" s="1" t="s">
        <v>71</v>
      </c>
      <c r="AS1104" s="1" t="s">
        <v>71</v>
      </c>
      <c r="AX1104" s="1" t="s">
        <v>71</v>
      </c>
      <c r="BH1104" s="1" t="s">
        <v>71</v>
      </c>
    </row>
    <row r="1105" customFormat="false" ht="15" hidden="false" customHeight="false" outlineLevel="0" collapsed="false">
      <c r="A1105" s="1" t="s">
        <v>3710</v>
      </c>
      <c r="B1105" s="1" t="s">
        <v>3711</v>
      </c>
      <c r="C1105" s="1" t="s">
        <v>1955</v>
      </c>
      <c r="D1105" s="1" t="s">
        <v>239</v>
      </c>
      <c r="E1105" s="1" t="s">
        <v>61</v>
      </c>
      <c r="F1105" s="1" t="s">
        <v>101</v>
      </c>
      <c r="G1105" s="1" t="s">
        <v>275</v>
      </c>
      <c r="H1105" s="1" t="s">
        <v>276</v>
      </c>
      <c r="K1105" s="1" t="s">
        <v>2495</v>
      </c>
      <c r="L1105" s="1" t="s">
        <v>2496</v>
      </c>
      <c r="M1105" s="1" t="s">
        <v>1589</v>
      </c>
      <c r="N1105" s="1" t="s">
        <v>1498</v>
      </c>
      <c r="O1105" s="1" t="s">
        <v>1499</v>
      </c>
      <c r="P1105" s="1" t="s">
        <v>3712</v>
      </c>
      <c r="U1105" s="1" t="s">
        <v>245</v>
      </c>
      <c r="Z1105" s="1" t="s">
        <v>71</v>
      </c>
      <c r="AE1105" s="1" t="s">
        <v>3713</v>
      </c>
      <c r="AH1105" s="1" t="s">
        <v>73</v>
      </c>
      <c r="AK1105" s="1" t="s">
        <v>71</v>
      </c>
      <c r="AM1105" s="1" t="s">
        <v>71</v>
      </c>
      <c r="AN1105" s="1" t="s">
        <v>71</v>
      </c>
      <c r="AS1105" s="1" t="s">
        <v>71</v>
      </c>
      <c r="AX1105" s="1" t="s">
        <v>71</v>
      </c>
      <c r="AY1105" s="1" t="s">
        <v>59</v>
      </c>
      <c r="AZ1105" s="1" t="s">
        <v>74</v>
      </c>
      <c r="BH1105" s="1" t="s">
        <v>71</v>
      </c>
    </row>
    <row r="1106" customFormat="false" ht="15" hidden="false" customHeight="false" outlineLevel="0" collapsed="false">
      <c r="A1106" s="1" t="s">
        <v>3714</v>
      </c>
      <c r="B1106" s="1" t="s">
        <v>3715</v>
      </c>
      <c r="C1106" s="1" t="s">
        <v>1016</v>
      </c>
      <c r="D1106" s="1" t="s">
        <v>3542</v>
      </c>
      <c r="E1106" s="1" t="s">
        <v>61</v>
      </c>
      <c r="F1106" s="1" t="s">
        <v>101</v>
      </c>
      <c r="G1106" s="1" t="s">
        <v>93</v>
      </c>
      <c r="H1106" s="1" t="s">
        <v>64</v>
      </c>
      <c r="K1106" s="1" t="s">
        <v>102</v>
      </c>
      <c r="L1106" s="1" t="s">
        <v>103</v>
      </c>
      <c r="M1106" s="1" t="s">
        <v>3716</v>
      </c>
      <c r="N1106" s="1" t="s">
        <v>203</v>
      </c>
      <c r="O1106" s="1" t="s">
        <v>204</v>
      </c>
      <c r="P1106" s="1" t="s">
        <v>3536</v>
      </c>
      <c r="U1106" s="1" t="s">
        <v>3714</v>
      </c>
      <c r="Z1106" s="1" t="s">
        <v>71</v>
      </c>
      <c r="AE1106" s="1" t="s">
        <v>3713</v>
      </c>
      <c r="AH1106" s="1" t="s">
        <v>73</v>
      </c>
      <c r="AK1106" s="1" t="s">
        <v>71</v>
      </c>
      <c r="AM1106" s="1" t="s">
        <v>71</v>
      </c>
      <c r="AN1106" s="1" t="s">
        <v>71</v>
      </c>
      <c r="AS1106" s="1" t="s">
        <v>71</v>
      </c>
      <c r="AX1106" s="1" t="s">
        <v>71</v>
      </c>
      <c r="AY1106" s="1" t="s">
        <v>59</v>
      </c>
      <c r="AZ1106" s="1" t="s">
        <v>74</v>
      </c>
      <c r="BH1106" s="1" t="s">
        <v>71</v>
      </c>
    </row>
    <row r="1107" customFormat="false" ht="15" hidden="false" customHeight="false" outlineLevel="0" collapsed="false">
      <c r="A1107" s="1" t="s">
        <v>3717</v>
      </c>
      <c r="B1107" s="1" t="s">
        <v>3718</v>
      </c>
      <c r="C1107" s="1" t="s">
        <v>3719</v>
      </c>
      <c r="D1107" s="1" t="s">
        <v>3720</v>
      </c>
      <c r="E1107" s="1" t="s">
        <v>82</v>
      </c>
      <c r="F1107" s="1" t="s">
        <v>391</v>
      </c>
      <c r="G1107" s="1" t="s">
        <v>443</v>
      </c>
      <c r="H1107" s="1" t="s">
        <v>444</v>
      </c>
      <c r="K1107" s="1" t="s">
        <v>61</v>
      </c>
      <c r="L1107" s="1" t="s">
        <v>445</v>
      </c>
      <c r="M1107" s="1" t="s">
        <v>2969</v>
      </c>
      <c r="N1107" s="1" t="s">
        <v>3721</v>
      </c>
      <c r="O1107" s="1" t="s">
        <v>447</v>
      </c>
      <c r="P1107" s="1" t="s">
        <v>3722</v>
      </c>
      <c r="Z1107" s="1" t="s">
        <v>71</v>
      </c>
      <c r="AE1107" s="1" t="s">
        <v>3723</v>
      </c>
      <c r="AH1107" s="1" t="s">
        <v>73</v>
      </c>
      <c r="AK1107" s="1" t="s">
        <v>71</v>
      </c>
      <c r="AM1107" s="1" t="s">
        <v>71</v>
      </c>
      <c r="AN1107" s="1" t="s">
        <v>71</v>
      </c>
      <c r="AS1107" s="1" t="s">
        <v>71</v>
      </c>
      <c r="AX1107" s="1" t="s">
        <v>71</v>
      </c>
      <c r="BH1107" s="1" t="s">
        <v>71</v>
      </c>
    </row>
    <row r="1108" customFormat="false" ht="15" hidden="false" customHeight="false" outlineLevel="0" collapsed="false">
      <c r="A1108" s="1" t="s">
        <v>3724</v>
      </c>
      <c r="B1108" s="1" t="s">
        <v>3725</v>
      </c>
      <c r="C1108" s="1" t="s">
        <v>3719</v>
      </c>
      <c r="D1108" s="1" t="s">
        <v>3720</v>
      </c>
      <c r="E1108" s="1" t="s">
        <v>82</v>
      </c>
      <c r="F1108" s="1" t="s">
        <v>391</v>
      </c>
      <c r="G1108" s="1" t="s">
        <v>443</v>
      </c>
      <c r="H1108" s="1" t="s">
        <v>444</v>
      </c>
      <c r="K1108" s="1" t="s">
        <v>61</v>
      </c>
      <c r="L1108" s="1" t="s">
        <v>445</v>
      </c>
      <c r="M1108" s="1" t="s">
        <v>2969</v>
      </c>
      <c r="N1108" s="1" t="s">
        <v>3721</v>
      </c>
      <c r="O1108" s="1" t="s">
        <v>447</v>
      </c>
      <c r="P1108" s="1" t="s">
        <v>3722</v>
      </c>
      <c r="Z1108" s="1" t="s">
        <v>71</v>
      </c>
      <c r="AE1108" s="1" t="s">
        <v>3723</v>
      </c>
      <c r="AH1108" s="1" t="s">
        <v>73</v>
      </c>
      <c r="AK1108" s="1" t="s">
        <v>71</v>
      </c>
      <c r="AM1108" s="1" t="s">
        <v>71</v>
      </c>
      <c r="AN1108" s="1" t="s">
        <v>71</v>
      </c>
      <c r="AS1108" s="1" t="s">
        <v>71</v>
      </c>
      <c r="AX1108" s="1" t="s">
        <v>71</v>
      </c>
      <c r="BH1108" s="1" t="s">
        <v>71</v>
      </c>
    </row>
    <row r="1109" customFormat="false" ht="15" hidden="false" customHeight="false" outlineLevel="0" collapsed="false">
      <c r="A1109" s="1" t="s">
        <v>3726</v>
      </c>
      <c r="B1109" s="1" t="s">
        <v>3727</v>
      </c>
      <c r="C1109" s="1" t="s">
        <v>1066</v>
      </c>
      <c r="D1109" s="1" t="s">
        <v>3728</v>
      </c>
      <c r="E1109" s="1" t="s">
        <v>82</v>
      </c>
      <c r="F1109" s="1" t="s">
        <v>391</v>
      </c>
      <c r="G1109" s="1" t="s">
        <v>443</v>
      </c>
      <c r="H1109" s="1" t="s">
        <v>444</v>
      </c>
      <c r="K1109" s="1" t="s">
        <v>61</v>
      </c>
      <c r="L1109" s="1" t="s">
        <v>445</v>
      </c>
      <c r="M1109" s="1" t="s">
        <v>496</v>
      </c>
      <c r="N1109" s="1" t="s">
        <v>3296</v>
      </c>
      <c r="O1109" s="1" t="s">
        <v>447</v>
      </c>
      <c r="P1109" s="1" t="s">
        <v>3729</v>
      </c>
      <c r="Z1109" s="1" t="s">
        <v>71</v>
      </c>
      <c r="AE1109" s="1" t="s">
        <v>3730</v>
      </c>
      <c r="AH1109" s="1" t="s">
        <v>73</v>
      </c>
      <c r="AK1109" s="1" t="s">
        <v>71</v>
      </c>
      <c r="AM1109" s="1" t="s">
        <v>71</v>
      </c>
      <c r="AN1109" s="1" t="s">
        <v>71</v>
      </c>
      <c r="AS1109" s="1" t="s">
        <v>71</v>
      </c>
      <c r="AX1109" s="1" t="s">
        <v>71</v>
      </c>
      <c r="BH1109" s="1" t="s">
        <v>71</v>
      </c>
    </row>
    <row r="1110" customFormat="false" ht="15" hidden="false" customHeight="false" outlineLevel="0" collapsed="false">
      <c r="A1110" s="1" t="s">
        <v>3731</v>
      </c>
      <c r="B1110" s="1" t="s">
        <v>3732</v>
      </c>
      <c r="C1110" s="1" t="s">
        <v>1066</v>
      </c>
      <c r="D1110" s="1" t="s">
        <v>3728</v>
      </c>
      <c r="E1110" s="1" t="s">
        <v>82</v>
      </c>
      <c r="F1110" s="1" t="s">
        <v>391</v>
      </c>
      <c r="G1110" s="1" t="s">
        <v>443</v>
      </c>
      <c r="H1110" s="1" t="s">
        <v>444</v>
      </c>
      <c r="K1110" s="1" t="s">
        <v>61</v>
      </c>
      <c r="L1110" s="1" t="s">
        <v>445</v>
      </c>
      <c r="M1110" s="1" t="s">
        <v>496</v>
      </c>
      <c r="N1110" s="1" t="s">
        <v>1953</v>
      </c>
      <c r="O1110" s="1" t="s">
        <v>1954</v>
      </c>
      <c r="P1110" s="1" t="s">
        <v>3733</v>
      </c>
      <c r="Z1110" s="1" t="s">
        <v>71</v>
      </c>
      <c r="AE1110" s="1" t="s">
        <v>3730</v>
      </c>
      <c r="AH1110" s="1" t="s">
        <v>73</v>
      </c>
      <c r="AK1110" s="1" t="s">
        <v>71</v>
      </c>
      <c r="AM1110" s="1" t="s">
        <v>71</v>
      </c>
      <c r="AN1110" s="1" t="s">
        <v>71</v>
      </c>
      <c r="AS1110" s="1" t="s">
        <v>71</v>
      </c>
      <c r="AX1110" s="1" t="s">
        <v>71</v>
      </c>
      <c r="BH1110" s="1" t="s">
        <v>71</v>
      </c>
    </row>
    <row r="1111" customFormat="false" ht="15" hidden="false" customHeight="false" outlineLevel="0" collapsed="false">
      <c r="A1111" s="1" t="s">
        <v>3734</v>
      </c>
      <c r="B1111" s="1" t="s">
        <v>3735</v>
      </c>
      <c r="C1111" s="1" t="s">
        <v>1066</v>
      </c>
      <c r="D1111" s="1" t="s">
        <v>3728</v>
      </c>
      <c r="E1111" s="1" t="s">
        <v>82</v>
      </c>
      <c r="F1111" s="1" t="s">
        <v>391</v>
      </c>
      <c r="G1111" s="1" t="s">
        <v>443</v>
      </c>
      <c r="H1111" s="1" t="s">
        <v>444</v>
      </c>
      <c r="K1111" s="1" t="s">
        <v>61</v>
      </c>
      <c r="L1111" s="1" t="s">
        <v>445</v>
      </c>
      <c r="M1111" s="1" t="s">
        <v>496</v>
      </c>
      <c r="N1111" s="1" t="s">
        <v>3736</v>
      </c>
      <c r="O1111" s="1" t="s">
        <v>400</v>
      </c>
      <c r="P1111" s="1" t="s">
        <v>3737</v>
      </c>
      <c r="Z1111" s="1" t="s">
        <v>71</v>
      </c>
      <c r="AE1111" s="1" t="s">
        <v>3730</v>
      </c>
      <c r="AH1111" s="1" t="s">
        <v>73</v>
      </c>
      <c r="AK1111" s="1" t="s">
        <v>71</v>
      </c>
      <c r="AM1111" s="1" t="s">
        <v>71</v>
      </c>
      <c r="AN1111" s="1" t="s">
        <v>71</v>
      </c>
      <c r="AS1111" s="1" t="s">
        <v>71</v>
      </c>
      <c r="AX1111" s="1" t="s">
        <v>71</v>
      </c>
      <c r="BH1111" s="1" t="s">
        <v>71</v>
      </c>
    </row>
    <row r="1112" customFormat="false" ht="15" hidden="false" customHeight="false" outlineLevel="0" collapsed="false">
      <c r="A1112" s="1" t="s">
        <v>3738</v>
      </c>
      <c r="B1112" s="1" t="s">
        <v>3739</v>
      </c>
      <c r="C1112" s="1" t="s">
        <v>1066</v>
      </c>
      <c r="D1112" s="1" t="s">
        <v>3728</v>
      </c>
      <c r="E1112" s="1" t="s">
        <v>82</v>
      </c>
      <c r="F1112" s="1" t="s">
        <v>391</v>
      </c>
      <c r="G1112" s="1" t="s">
        <v>443</v>
      </c>
      <c r="H1112" s="1" t="s">
        <v>444</v>
      </c>
      <c r="K1112" s="1" t="s">
        <v>61</v>
      </c>
      <c r="L1112" s="1" t="s">
        <v>445</v>
      </c>
      <c r="M1112" s="1" t="s">
        <v>496</v>
      </c>
      <c r="N1112" s="1" t="s">
        <v>3429</v>
      </c>
      <c r="O1112" s="1" t="s">
        <v>447</v>
      </c>
      <c r="P1112" s="1" t="s">
        <v>3684</v>
      </c>
      <c r="Z1112" s="1" t="s">
        <v>71</v>
      </c>
      <c r="AE1112" s="1" t="s">
        <v>3730</v>
      </c>
      <c r="AH1112" s="1" t="s">
        <v>73</v>
      </c>
      <c r="AK1112" s="1" t="s">
        <v>71</v>
      </c>
      <c r="AM1112" s="1" t="s">
        <v>71</v>
      </c>
      <c r="AN1112" s="1" t="s">
        <v>71</v>
      </c>
      <c r="AS1112" s="1" t="s">
        <v>71</v>
      </c>
      <c r="AX1112" s="1" t="s">
        <v>71</v>
      </c>
      <c r="BH1112" s="1" t="s">
        <v>71</v>
      </c>
    </row>
    <row r="1113" customFormat="false" ht="15" hidden="false" customHeight="false" outlineLevel="0" collapsed="false">
      <c r="A1113" s="1" t="s">
        <v>3740</v>
      </c>
      <c r="B1113" s="1" t="s">
        <v>3741</v>
      </c>
      <c r="C1113" s="1" t="s">
        <v>1066</v>
      </c>
      <c r="D1113" s="1" t="s">
        <v>3728</v>
      </c>
      <c r="E1113" s="1" t="s">
        <v>82</v>
      </c>
      <c r="F1113" s="1" t="s">
        <v>391</v>
      </c>
      <c r="G1113" s="1" t="s">
        <v>443</v>
      </c>
      <c r="H1113" s="1" t="s">
        <v>444</v>
      </c>
      <c r="K1113" s="1" t="s">
        <v>61</v>
      </c>
      <c r="L1113" s="1" t="s">
        <v>445</v>
      </c>
      <c r="M1113" s="1" t="s">
        <v>496</v>
      </c>
      <c r="N1113" s="1" t="s">
        <v>3742</v>
      </c>
      <c r="O1113" s="1" t="s">
        <v>400</v>
      </c>
      <c r="P1113" s="1" t="s">
        <v>3743</v>
      </c>
      <c r="Z1113" s="1" t="s">
        <v>71</v>
      </c>
      <c r="AE1113" s="1" t="s">
        <v>3730</v>
      </c>
      <c r="AH1113" s="1" t="s">
        <v>73</v>
      </c>
      <c r="AK1113" s="1" t="s">
        <v>71</v>
      </c>
      <c r="AM1113" s="1" t="s">
        <v>71</v>
      </c>
      <c r="AN1113" s="1" t="s">
        <v>71</v>
      </c>
      <c r="AS1113" s="1" t="s">
        <v>71</v>
      </c>
      <c r="AX1113" s="1" t="s">
        <v>71</v>
      </c>
      <c r="BH1113" s="1" t="s">
        <v>71</v>
      </c>
    </row>
    <row r="1114" customFormat="false" ht="15" hidden="false" customHeight="false" outlineLevel="0" collapsed="false">
      <c r="A1114" s="1" t="s">
        <v>3744</v>
      </c>
      <c r="B1114" s="1" t="s">
        <v>3745</v>
      </c>
      <c r="C1114" s="1" t="s">
        <v>1066</v>
      </c>
      <c r="D1114" s="1" t="s">
        <v>3728</v>
      </c>
      <c r="E1114" s="1" t="s">
        <v>82</v>
      </c>
      <c r="F1114" s="1" t="s">
        <v>391</v>
      </c>
      <c r="G1114" s="1" t="s">
        <v>443</v>
      </c>
      <c r="H1114" s="1" t="s">
        <v>444</v>
      </c>
      <c r="K1114" s="1" t="s">
        <v>61</v>
      </c>
      <c r="L1114" s="1" t="s">
        <v>445</v>
      </c>
      <c r="M1114" s="1" t="s">
        <v>496</v>
      </c>
      <c r="N1114" s="1" t="s">
        <v>3746</v>
      </c>
      <c r="O1114" s="1" t="s">
        <v>3747</v>
      </c>
      <c r="P1114" s="1" t="s">
        <v>3748</v>
      </c>
      <c r="Z1114" s="1" t="s">
        <v>71</v>
      </c>
      <c r="AE1114" s="1" t="s">
        <v>3730</v>
      </c>
      <c r="AH1114" s="1" t="s">
        <v>73</v>
      </c>
      <c r="AK1114" s="1" t="s">
        <v>71</v>
      </c>
      <c r="AM1114" s="1" t="s">
        <v>71</v>
      </c>
      <c r="AN1114" s="1" t="s">
        <v>71</v>
      </c>
      <c r="AS1114" s="1" t="s">
        <v>71</v>
      </c>
      <c r="AX1114" s="1" t="s">
        <v>71</v>
      </c>
      <c r="BH1114" s="1" t="s">
        <v>71</v>
      </c>
    </row>
    <row r="1115" customFormat="false" ht="15" hidden="false" customHeight="false" outlineLevel="0" collapsed="false">
      <c r="A1115" s="1" t="s">
        <v>3749</v>
      </c>
      <c r="B1115" s="1" t="s">
        <v>3750</v>
      </c>
      <c r="C1115" s="1" t="s">
        <v>1066</v>
      </c>
      <c r="D1115" s="1" t="s">
        <v>3728</v>
      </c>
      <c r="E1115" s="1" t="s">
        <v>82</v>
      </c>
      <c r="F1115" s="1" t="s">
        <v>391</v>
      </c>
      <c r="G1115" s="1" t="s">
        <v>443</v>
      </c>
      <c r="H1115" s="1" t="s">
        <v>444</v>
      </c>
      <c r="K1115" s="1" t="s">
        <v>61</v>
      </c>
      <c r="L1115" s="1" t="s">
        <v>445</v>
      </c>
      <c r="M1115" s="1" t="s">
        <v>496</v>
      </c>
      <c r="N1115" s="1" t="s">
        <v>3742</v>
      </c>
      <c r="O1115" s="1" t="s">
        <v>400</v>
      </c>
      <c r="P1115" s="1" t="s">
        <v>3743</v>
      </c>
      <c r="Z1115" s="1" t="s">
        <v>71</v>
      </c>
      <c r="AE1115" s="1" t="s">
        <v>3730</v>
      </c>
      <c r="AH1115" s="1" t="s">
        <v>73</v>
      </c>
      <c r="AK1115" s="1" t="s">
        <v>71</v>
      </c>
      <c r="AM1115" s="1" t="s">
        <v>71</v>
      </c>
      <c r="AN1115" s="1" t="s">
        <v>71</v>
      </c>
      <c r="AS1115" s="1" t="s">
        <v>71</v>
      </c>
      <c r="AX1115" s="1" t="s">
        <v>71</v>
      </c>
      <c r="BH1115" s="1" t="s">
        <v>71</v>
      </c>
    </row>
    <row r="1116" customFormat="false" ht="15" hidden="false" customHeight="false" outlineLevel="0" collapsed="false">
      <c r="A1116" s="1" t="s">
        <v>3751</v>
      </c>
      <c r="B1116" s="1" t="s">
        <v>3752</v>
      </c>
      <c r="C1116" s="1" t="s">
        <v>1066</v>
      </c>
      <c r="D1116" s="1" t="s">
        <v>3728</v>
      </c>
      <c r="E1116" s="1" t="s">
        <v>82</v>
      </c>
      <c r="F1116" s="1" t="s">
        <v>391</v>
      </c>
      <c r="G1116" s="1" t="s">
        <v>443</v>
      </c>
      <c r="H1116" s="1" t="s">
        <v>444</v>
      </c>
      <c r="K1116" s="1" t="s">
        <v>61</v>
      </c>
      <c r="L1116" s="1" t="s">
        <v>445</v>
      </c>
      <c r="M1116" s="1" t="s">
        <v>496</v>
      </c>
      <c r="N1116" s="1" t="s">
        <v>3746</v>
      </c>
      <c r="O1116" s="1" t="s">
        <v>3747</v>
      </c>
      <c r="P1116" s="1" t="s">
        <v>3748</v>
      </c>
      <c r="Z1116" s="1" t="s">
        <v>71</v>
      </c>
      <c r="AE1116" s="1" t="s">
        <v>3730</v>
      </c>
      <c r="AH1116" s="1" t="s">
        <v>73</v>
      </c>
      <c r="AK1116" s="1" t="s">
        <v>71</v>
      </c>
      <c r="AM1116" s="1" t="s">
        <v>71</v>
      </c>
      <c r="AN1116" s="1" t="s">
        <v>71</v>
      </c>
      <c r="AS1116" s="1" t="s">
        <v>71</v>
      </c>
      <c r="AX1116" s="1" t="s">
        <v>71</v>
      </c>
      <c r="BH1116" s="1" t="s">
        <v>71</v>
      </c>
    </row>
    <row r="1117" customFormat="false" ht="15" hidden="false" customHeight="false" outlineLevel="0" collapsed="false">
      <c r="A1117" s="1" t="s">
        <v>3753</v>
      </c>
      <c r="B1117" s="1" t="s">
        <v>3754</v>
      </c>
      <c r="C1117" s="1" t="s">
        <v>1066</v>
      </c>
      <c r="D1117" s="1" t="s">
        <v>3728</v>
      </c>
      <c r="E1117" s="1" t="s">
        <v>82</v>
      </c>
      <c r="F1117" s="1" t="s">
        <v>391</v>
      </c>
      <c r="G1117" s="1" t="s">
        <v>443</v>
      </c>
      <c r="H1117" s="1" t="s">
        <v>444</v>
      </c>
      <c r="K1117" s="1" t="s">
        <v>61</v>
      </c>
      <c r="L1117" s="1" t="s">
        <v>445</v>
      </c>
      <c r="M1117" s="1" t="s">
        <v>496</v>
      </c>
      <c r="N1117" s="1" t="s">
        <v>3755</v>
      </c>
      <c r="O1117" s="1" t="s">
        <v>3756</v>
      </c>
      <c r="P1117" s="1" t="s">
        <v>3757</v>
      </c>
      <c r="Z1117" s="1" t="s">
        <v>71</v>
      </c>
      <c r="AE1117" s="1" t="s">
        <v>3730</v>
      </c>
      <c r="AH1117" s="1" t="s">
        <v>73</v>
      </c>
      <c r="AK1117" s="1" t="s">
        <v>71</v>
      </c>
      <c r="AM1117" s="1" t="s">
        <v>71</v>
      </c>
      <c r="AN1117" s="1" t="s">
        <v>71</v>
      </c>
      <c r="AS1117" s="1" t="s">
        <v>71</v>
      </c>
      <c r="AX1117" s="1" t="s">
        <v>71</v>
      </c>
      <c r="BH1117" s="1" t="s">
        <v>71</v>
      </c>
    </row>
    <row r="1118" customFormat="false" ht="15" hidden="false" customHeight="false" outlineLevel="0" collapsed="false">
      <c r="A1118" s="1" t="s">
        <v>3758</v>
      </c>
      <c r="B1118" s="1" t="s">
        <v>3759</v>
      </c>
      <c r="C1118" s="1" t="s">
        <v>1066</v>
      </c>
      <c r="D1118" s="1" t="s">
        <v>3728</v>
      </c>
      <c r="E1118" s="1" t="s">
        <v>82</v>
      </c>
      <c r="F1118" s="1" t="s">
        <v>391</v>
      </c>
      <c r="G1118" s="1" t="s">
        <v>443</v>
      </c>
      <c r="H1118" s="1" t="s">
        <v>444</v>
      </c>
      <c r="K1118" s="1" t="s">
        <v>61</v>
      </c>
      <c r="L1118" s="1" t="s">
        <v>445</v>
      </c>
      <c r="M1118" s="1" t="s">
        <v>496</v>
      </c>
      <c r="N1118" s="1" t="s">
        <v>1953</v>
      </c>
      <c r="O1118" s="1" t="s">
        <v>1954</v>
      </c>
      <c r="P1118" s="1" t="s">
        <v>3733</v>
      </c>
      <c r="Z1118" s="1" t="s">
        <v>71</v>
      </c>
      <c r="AE1118" s="1" t="s">
        <v>3730</v>
      </c>
      <c r="AH1118" s="1" t="s">
        <v>73</v>
      </c>
      <c r="AK1118" s="1" t="s">
        <v>71</v>
      </c>
      <c r="AM1118" s="1" t="s">
        <v>71</v>
      </c>
      <c r="AN1118" s="1" t="s">
        <v>71</v>
      </c>
      <c r="AS1118" s="1" t="s">
        <v>71</v>
      </c>
      <c r="AX1118" s="1" t="s">
        <v>71</v>
      </c>
      <c r="BH1118" s="1" t="s">
        <v>71</v>
      </c>
    </row>
    <row r="1119" customFormat="false" ht="15" hidden="false" customHeight="false" outlineLevel="0" collapsed="false">
      <c r="A1119" s="1" t="s">
        <v>3760</v>
      </c>
      <c r="B1119" s="1" t="s">
        <v>3761</v>
      </c>
      <c r="C1119" s="1" t="s">
        <v>969</v>
      </c>
      <c r="D1119" s="1" t="s">
        <v>3352</v>
      </c>
      <c r="E1119" s="1" t="s">
        <v>82</v>
      </c>
      <c r="F1119" s="1" t="s">
        <v>391</v>
      </c>
      <c r="G1119" s="1" t="s">
        <v>443</v>
      </c>
      <c r="H1119" s="1" t="s">
        <v>444</v>
      </c>
      <c r="K1119" s="1" t="s">
        <v>61</v>
      </c>
      <c r="L1119" s="1" t="s">
        <v>445</v>
      </c>
      <c r="M1119" s="1" t="s">
        <v>2020</v>
      </c>
      <c r="N1119" s="1" t="s">
        <v>3309</v>
      </c>
      <c r="O1119" s="1" t="s">
        <v>3310</v>
      </c>
      <c r="P1119" s="1" t="s">
        <v>3762</v>
      </c>
      <c r="Z1119" s="1" t="s">
        <v>71</v>
      </c>
      <c r="AE1119" s="1" t="s">
        <v>3730</v>
      </c>
      <c r="AH1119" s="1" t="s">
        <v>73</v>
      </c>
      <c r="AK1119" s="1" t="s">
        <v>71</v>
      </c>
      <c r="AM1119" s="1" t="s">
        <v>71</v>
      </c>
      <c r="AN1119" s="1" t="s">
        <v>71</v>
      </c>
      <c r="AS1119" s="1" t="s">
        <v>71</v>
      </c>
      <c r="AX1119" s="1" t="s">
        <v>71</v>
      </c>
      <c r="BH1119" s="1" t="s">
        <v>71</v>
      </c>
    </row>
    <row r="1120" customFormat="false" ht="15" hidden="false" customHeight="false" outlineLevel="0" collapsed="false">
      <c r="A1120" s="1" t="s">
        <v>3763</v>
      </c>
      <c r="B1120" s="1" t="s">
        <v>3764</v>
      </c>
      <c r="C1120" s="1" t="s">
        <v>1070</v>
      </c>
      <c r="D1120" s="1" t="s">
        <v>3765</v>
      </c>
      <c r="E1120" s="1" t="s">
        <v>61</v>
      </c>
      <c r="F1120" s="1" t="s">
        <v>101</v>
      </c>
      <c r="G1120" s="1" t="s">
        <v>148</v>
      </c>
      <c r="H1120" s="1" t="s">
        <v>231</v>
      </c>
      <c r="K1120" s="1" t="s">
        <v>240</v>
      </c>
      <c r="L1120" s="1" t="s">
        <v>241</v>
      </c>
      <c r="M1120" s="1" t="s">
        <v>296</v>
      </c>
      <c r="N1120" s="1" t="s">
        <v>243</v>
      </c>
      <c r="O1120" s="1" t="s">
        <v>244</v>
      </c>
      <c r="P1120" s="1" t="s">
        <v>3503</v>
      </c>
      <c r="U1120" s="1" t="s">
        <v>3763</v>
      </c>
      <c r="Z1120" s="1" t="s">
        <v>71</v>
      </c>
      <c r="AE1120" s="1" t="s">
        <v>3730</v>
      </c>
      <c r="AH1120" s="1" t="s">
        <v>73</v>
      </c>
      <c r="AK1120" s="1" t="s">
        <v>71</v>
      </c>
      <c r="AM1120" s="1" t="s">
        <v>71</v>
      </c>
      <c r="AN1120" s="1" t="s">
        <v>71</v>
      </c>
      <c r="AS1120" s="1" t="s">
        <v>71</v>
      </c>
      <c r="AX1120" s="1" t="s">
        <v>71</v>
      </c>
      <c r="AY1120" s="1" t="s">
        <v>59</v>
      </c>
      <c r="AZ1120" s="1" t="s">
        <v>74</v>
      </c>
      <c r="BH1120" s="1" t="s">
        <v>71</v>
      </c>
    </row>
    <row r="1121" customFormat="false" ht="15" hidden="false" customHeight="false" outlineLevel="0" collapsed="false">
      <c r="A1121" s="1" t="s">
        <v>3766</v>
      </c>
      <c r="B1121" s="1" t="s">
        <v>3767</v>
      </c>
      <c r="C1121" s="1" t="s">
        <v>1070</v>
      </c>
      <c r="D1121" s="1" t="s">
        <v>3765</v>
      </c>
      <c r="E1121" s="1" t="s">
        <v>65</v>
      </c>
      <c r="F1121" s="1" t="s">
        <v>119</v>
      </c>
      <c r="G1121" s="1" t="s">
        <v>88</v>
      </c>
      <c r="H1121" s="1" t="s">
        <v>255</v>
      </c>
      <c r="K1121" s="1" t="s">
        <v>256</v>
      </c>
      <c r="L1121" s="1" t="s">
        <v>257</v>
      </c>
      <c r="M1121" s="1" t="s">
        <v>242</v>
      </c>
      <c r="N1121" s="1" t="s">
        <v>259</v>
      </c>
      <c r="O1121" s="1" t="s">
        <v>260</v>
      </c>
      <c r="P1121" s="1" t="s">
        <v>3768</v>
      </c>
      <c r="U1121" s="1" t="s">
        <v>3766</v>
      </c>
      <c r="Z1121" s="1" t="s">
        <v>71</v>
      </c>
      <c r="AE1121" s="1" t="s">
        <v>3730</v>
      </c>
      <c r="AH1121" s="1" t="s">
        <v>73</v>
      </c>
      <c r="AK1121" s="1" t="s">
        <v>71</v>
      </c>
      <c r="AM1121" s="1" t="s">
        <v>71</v>
      </c>
      <c r="AN1121" s="1" t="s">
        <v>71</v>
      </c>
      <c r="AS1121" s="1" t="s">
        <v>71</v>
      </c>
      <c r="AX1121" s="1" t="s">
        <v>71</v>
      </c>
      <c r="AY1121" s="1" t="s">
        <v>59</v>
      </c>
      <c r="AZ1121" s="1" t="s">
        <v>74</v>
      </c>
      <c r="BH1121" s="1" t="s">
        <v>71</v>
      </c>
    </row>
    <row r="1122" customFormat="false" ht="15" hidden="false" customHeight="false" outlineLevel="0" collapsed="false">
      <c r="A1122" s="1" t="s">
        <v>3769</v>
      </c>
      <c r="B1122" s="1" t="s">
        <v>3770</v>
      </c>
      <c r="C1122" s="1" t="s">
        <v>152</v>
      </c>
      <c r="D1122" s="1" t="s">
        <v>464</v>
      </c>
      <c r="E1122" s="1" t="s">
        <v>82</v>
      </c>
      <c r="F1122" s="1" t="s">
        <v>391</v>
      </c>
      <c r="G1122" s="1" t="s">
        <v>213</v>
      </c>
      <c r="H1122" s="1" t="s">
        <v>477</v>
      </c>
      <c r="K1122" s="1" t="s">
        <v>478</v>
      </c>
      <c r="L1122" s="1" t="s">
        <v>479</v>
      </c>
      <c r="M1122" s="1" t="s">
        <v>465</v>
      </c>
      <c r="N1122" s="1" t="s">
        <v>486</v>
      </c>
      <c r="O1122" s="1" t="s">
        <v>447</v>
      </c>
      <c r="P1122" s="1" t="s">
        <v>3771</v>
      </c>
      <c r="Z1122" s="1" t="s">
        <v>71</v>
      </c>
      <c r="AE1122" s="1" t="s">
        <v>3772</v>
      </c>
      <c r="AH1122" s="1" t="s">
        <v>73</v>
      </c>
      <c r="AK1122" s="1" t="s">
        <v>71</v>
      </c>
      <c r="AM1122" s="1" t="s">
        <v>71</v>
      </c>
      <c r="AN1122" s="1" t="s">
        <v>71</v>
      </c>
      <c r="AS1122" s="1" t="s">
        <v>71</v>
      </c>
      <c r="AX1122" s="1" t="s">
        <v>71</v>
      </c>
      <c r="BH1122" s="1" t="s">
        <v>71</v>
      </c>
    </row>
    <row r="1123" customFormat="false" ht="15" hidden="false" customHeight="false" outlineLevel="0" collapsed="false">
      <c r="A1123" s="1" t="s">
        <v>3773</v>
      </c>
      <c r="B1123" s="1" t="s">
        <v>3774</v>
      </c>
      <c r="C1123" s="1" t="s">
        <v>152</v>
      </c>
      <c r="D1123" s="1" t="s">
        <v>464</v>
      </c>
      <c r="E1123" s="1" t="s">
        <v>82</v>
      </c>
      <c r="F1123" s="1" t="s">
        <v>391</v>
      </c>
      <c r="G1123" s="1" t="s">
        <v>213</v>
      </c>
      <c r="H1123" s="1" t="s">
        <v>477</v>
      </c>
      <c r="K1123" s="1" t="s">
        <v>478</v>
      </c>
      <c r="L1123" s="1" t="s">
        <v>479</v>
      </c>
      <c r="M1123" s="1" t="s">
        <v>465</v>
      </c>
      <c r="N1123" s="1" t="s">
        <v>740</v>
      </c>
      <c r="O1123" s="1" t="s">
        <v>741</v>
      </c>
      <c r="P1123" s="1" t="s">
        <v>3775</v>
      </c>
      <c r="Z1123" s="1" t="s">
        <v>71</v>
      </c>
      <c r="AE1123" s="1" t="s">
        <v>3772</v>
      </c>
      <c r="AH1123" s="1" t="s">
        <v>73</v>
      </c>
      <c r="AK1123" s="1" t="s">
        <v>71</v>
      </c>
      <c r="AM1123" s="1" t="s">
        <v>71</v>
      </c>
      <c r="AN1123" s="1" t="s">
        <v>71</v>
      </c>
      <c r="AS1123" s="1" t="s">
        <v>71</v>
      </c>
      <c r="AX1123" s="1" t="s">
        <v>71</v>
      </c>
      <c r="BH1123" s="1" t="s">
        <v>71</v>
      </c>
    </row>
    <row r="1124" customFormat="false" ht="15" hidden="false" customHeight="false" outlineLevel="0" collapsed="false">
      <c r="A1124" s="1" t="s">
        <v>3776</v>
      </c>
      <c r="B1124" s="1" t="s">
        <v>3777</v>
      </c>
      <c r="C1124" s="1" t="s">
        <v>3778</v>
      </c>
      <c r="D1124" s="1" t="s">
        <v>3779</v>
      </c>
      <c r="E1124" s="1" t="s">
        <v>82</v>
      </c>
      <c r="F1124" s="1" t="s">
        <v>391</v>
      </c>
      <c r="G1124" s="1" t="s">
        <v>97</v>
      </c>
      <c r="H1124" s="1" t="s">
        <v>406</v>
      </c>
      <c r="K1124" s="1" t="s">
        <v>59</v>
      </c>
      <c r="L1124" s="1" t="s">
        <v>791</v>
      </c>
      <c r="M1124" s="1" t="s">
        <v>496</v>
      </c>
      <c r="N1124" s="1" t="s">
        <v>1211</v>
      </c>
      <c r="O1124" s="1" t="s">
        <v>1212</v>
      </c>
      <c r="P1124" s="1" t="s">
        <v>3780</v>
      </c>
      <c r="U1124" s="1" t="s">
        <v>3776</v>
      </c>
      <c r="Z1124" s="1" t="s">
        <v>71</v>
      </c>
      <c r="AE1124" s="1" t="s">
        <v>3772</v>
      </c>
      <c r="AH1124" s="1" t="s">
        <v>73</v>
      </c>
      <c r="AK1124" s="1" t="s">
        <v>71</v>
      </c>
      <c r="AM1124" s="1" t="s">
        <v>71</v>
      </c>
      <c r="AN1124" s="1" t="s">
        <v>71</v>
      </c>
      <c r="AS1124" s="1" t="s">
        <v>71</v>
      </c>
      <c r="AX1124" s="1" t="s">
        <v>71</v>
      </c>
      <c r="BH1124" s="1" t="s">
        <v>71</v>
      </c>
    </row>
    <row r="1125" customFormat="false" ht="15" hidden="false" customHeight="false" outlineLevel="0" collapsed="false">
      <c r="A1125" s="1" t="s">
        <v>3781</v>
      </c>
      <c r="B1125" s="1" t="s">
        <v>3782</v>
      </c>
      <c r="C1125" s="1" t="s">
        <v>969</v>
      </c>
      <c r="D1125" s="1" t="s">
        <v>3352</v>
      </c>
      <c r="E1125" s="1" t="s">
        <v>82</v>
      </c>
      <c r="F1125" s="1" t="s">
        <v>391</v>
      </c>
      <c r="G1125" s="1" t="s">
        <v>443</v>
      </c>
      <c r="H1125" s="1" t="s">
        <v>444</v>
      </c>
      <c r="K1125" s="1" t="s">
        <v>61</v>
      </c>
      <c r="L1125" s="1" t="s">
        <v>445</v>
      </c>
      <c r="M1125" s="1" t="s">
        <v>496</v>
      </c>
      <c r="N1125" s="1" t="s">
        <v>3783</v>
      </c>
      <c r="O1125" s="1" t="s">
        <v>400</v>
      </c>
      <c r="P1125" s="1" t="s">
        <v>3784</v>
      </c>
      <c r="Z1125" s="1" t="s">
        <v>71</v>
      </c>
      <c r="AE1125" s="1" t="s">
        <v>3785</v>
      </c>
      <c r="AH1125" s="1" t="s">
        <v>73</v>
      </c>
      <c r="AK1125" s="1" t="s">
        <v>71</v>
      </c>
      <c r="AM1125" s="1" t="s">
        <v>71</v>
      </c>
      <c r="AN1125" s="1" t="s">
        <v>71</v>
      </c>
      <c r="AS1125" s="1" t="s">
        <v>71</v>
      </c>
      <c r="AX1125" s="1" t="s">
        <v>71</v>
      </c>
      <c r="BH1125" s="1" t="s">
        <v>71</v>
      </c>
    </row>
    <row r="1126" customFormat="false" ht="15" hidden="false" customHeight="false" outlineLevel="0" collapsed="false">
      <c r="A1126" s="1" t="s">
        <v>3786</v>
      </c>
      <c r="B1126" s="1" t="s">
        <v>3787</v>
      </c>
      <c r="C1126" s="1" t="s">
        <v>969</v>
      </c>
      <c r="D1126" s="1" t="s">
        <v>3352</v>
      </c>
      <c r="E1126" s="1" t="s">
        <v>82</v>
      </c>
      <c r="F1126" s="1" t="s">
        <v>391</v>
      </c>
      <c r="G1126" s="1" t="s">
        <v>443</v>
      </c>
      <c r="H1126" s="1" t="s">
        <v>444</v>
      </c>
      <c r="K1126" s="1" t="s">
        <v>61</v>
      </c>
      <c r="L1126" s="1" t="s">
        <v>445</v>
      </c>
      <c r="M1126" s="1" t="s">
        <v>496</v>
      </c>
      <c r="N1126" s="1" t="s">
        <v>2425</v>
      </c>
      <c r="O1126" s="1" t="s">
        <v>2426</v>
      </c>
      <c r="P1126" s="1" t="s">
        <v>3788</v>
      </c>
      <c r="Z1126" s="1" t="s">
        <v>71</v>
      </c>
      <c r="AE1126" s="1" t="s">
        <v>3785</v>
      </c>
      <c r="AH1126" s="1" t="s">
        <v>73</v>
      </c>
      <c r="AK1126" s="1" t="s">
        <v>71</v>
      </c>
      <c r="AM1126" s="1" t="s">
        <v>71</v>
      </c>
      <c r="AN1126" s="1" t="s">
        <v>71</v>
      </c>
      <c r="AS1126" s="1" t="s">
        <v>71</v>
      </c>
      <c r="AX1126" s="1" t="s">
        <v>71</v>
      </c>
      <c r="BH1126" s="1" t="s">
        <v>71</v>
      </c>
    </row>
    <row r="1127" customFormat="false" ht="15" hidden="false" customHeight="false" outlineLevel="0" collapsed="false">
      <c r="A1127" s="1" t="s">
        <v>3789</v>
      </c>
      <c r="B1127" s="1" t="s">
        <v>3790</v>
      </c>
      <c r="C1127" s="1" t="s">
        <v>969</v>
      </c>
      <c r="D1127" s="1" t="s">
        <v>3352</v>
      </c>
      <c r="E1127" s="1" t="s">
        <v>82</v>
      </c>
      <c r="F1127" s="1" t="s">
        <v>391</v>
      </c>
      <c r="G1127" s="1" t="s">
        <v>443</v>
      </c>
      <c r="H1127" s="1" t="s">
        <v>444</v>
      </c>
      <c r="K1127" s="1" t="s">
        <v>61</v>
      </c>
      <c r="L1127" s="1" t="s">
        <v>445</v>
      </c>
      <c r="M1127" s="1" t="s">
        <v>496</v>
      </c>
      <c r="N1127" s="1" t="s">
        <v>3360</v>
      </c>
      <c r="O1127" s="1" t="s">
        <v>3361</v>
      </c>
      <c r="P1127" s="1" t="s">
        <v>3490</v>
      </c>
      <c r="Z1127" s="1" t="s">
        <v>71</v>
      </c>
      <c r="AE1127" s="1" t="s">
        <v>3785</v>
      </c>
      <c r="AH1127" s="1" t="s">
        <v>73</v>
      </c>
      <c r="AK1127" s="1" t="s">
        <v>71</v>
      </c>
      <c r="AM1127" s="1" t="s">
        <v>71</v>
      </c>
      <c r="AN1127" s="1" t="s">
        <v>71</v>
      </c>
      <c r="AS1127" s="1" t="s">
        <v>71</v>
      </c>
      <c r="AX1127" s="1" t="s">
        <v>71</v>
      </c>
      <c r="BH1127" s="1" t="s">
        <v>71</v>
      </c>
    </row>
    <row r="1128" customFormat="false" ht="15" hidden="false" customHeight="false" outlineLevel="0" collapsed="false">
      <c r="A1128" s="1" t="s">
        <v>3791</v>
      </c>
      <c r="B1128" s="1" t="s">
        <v>3792</v>
      </c>
      <c r="C1128" s="1" t="s">
        <v>969</v>
      </c>
      <c r="D1128" s="1" t="s">
        <v>3352</v>
      </c>
      <c r="E1128" s="1" t="s">
        <v>82</v>
      </c>
      <c r="F1128" s="1" t="s">
        <v>391</v>
      </c>
      <c r="G1128" s="1" t="s">
        <v>443</v>
      </c>
      <c r="H1128" s="1" t="s">
        <v>444</v>
      </c>
      <c r="K1128" s="1" t="s">
        <v>61</v>
      </c>
      <c r="L1128" s="1" t="s">
        <v>445</v>
      </c>
      <c r="M1128" s="1" t="s">
        <v>3793</v>
      </c>
      <c r="N1128" s="1" t="s">
        <v>3794</v>
      </c>
      <c r="O1128" s="1" t="s">
        <v>400</v>
      </c>
      <c r="P1128" s="1" t="s">
        <v>3795</v>
      </c>
      <c r="Z1128" s="1" t="s">
        <v>71</v>
      </c>
      <c r="AE1128" s="1" t="s">
        <v>3785</v>
      </c>
      <c r="AH1128" s="1" t="s">
        <v>73</v>
      </c>
      <c r="AK1128" s="1" t="s">
        <v>71</v>
      </c>
      <c r="AM1128" s="1" t="s">
        <v>71</v>
      </c>
      <c r="AN1128" s="1" t="s">
        <v>71</v>
      </c>
      <c r="AS1128" s="1" t="s">
        <v>71</v>
      </c>
      <c r="AX1128" s="1" t="s">
        <v>71</v>
      </c>
      <c r="BH1128" s="1" t="s">
        <v>71</v>
      </c>
    </row>
    <row r="1129" customFormat="false" ht="15" hidden="false" customHeight="false" outlineLevel="0" collapsed="false">
      <c r="A1129" s="1" t="s">
        <v>3796</v>
      </c>
      <c r="B1129" s="1" t="s">
        <v>3797</v>
      </c>
      <c r="C1129" s="1" t="s">
        <v>1038</v>
      </c>
      <c r="D1129" s="1" t="s">
        <v>3170</v>
      </c>
      <c r="E1129" s="1" t="s">
        <v>82</v>
      </c>
      <c r="F1129" s="1" t="s">
        <v>391</v>
      </c>
      <c r="G1129" s="1" t="s">
        <v>443</v>
      </c>
      <c r="H1129" s="1" t="s">
        <v>444</v>
      </c>
      <c r="K1129" s="1" t="s">
        <v>61</v>
      </c>
      <c r="L1129" s="1" t="s">
        <v>445</v>
      </c>
      <c r="M1129" s="1" t="s">
        <v>496</v>
      </c>
      <c r="N1129" s="1" t="s">
        <v>2691</v>
      </c>
      <c r="O1129" s="1" t="s">
        <v>400</v>
      </c>
      <c r="P1129" s="1" t="s">
        <v>3527</v>
      </c>
      <c r="Z1129" s="1" t="s">
        <v>71</v>
      </c>
      <c r="AE1129" s="1" t="s">
        <v>3785</v>
      </c>
      <c r="AH1129" s="1" t="s">
        <v>73</v>
      </c>
      <c r="AK1129" s="1" t="s">
        <v>71</v>
      </c>
      <c r="AM1129" s="1" t="s">
        <v>71</v>
      </c>
      <c r="AN1129" s="1" t="s">
        <v>71</v>
      </c>
      <c r="AS1129" s="1" t="s">
        <v>71</v>
      </c>
      <c r="AX1129" s="1" t="s">
        <v>71</v>
      </c>
      <c r="BH1129" s="1" t="s">
        <v>71</v>
      </c>
    </row>
    <row r="1130" customFormat="false" ht="15" hidden="false" customHeight="false" outlineLevel="0" collapsed="false">
      <c r="A1130" s="1" t="s">
        <v>3798</v>
      </c>
      <c r="B1130" s="1" t="s">
        <v>3799</v>
      </c>
      <c r="C1130" s="1" t="s">
        <v>1038</v>
      </c>
      <c r="D1130" s="1" t="s">
        <v>3170</v>
      </c>
      <c r="E1130" s="1" t="s">
        <v>82</v>
      </c>
      <c r="F1130" s="1" t="s">
        <v>391</v>
      </c>
      <c r="G1130" s="1" t="s">
        <v>443</v>
      </c>
      <c r="H1130" s="1" t="s">
        <v>444</v>
      </c>
      <c r="K1130" s="1" t="s">
        <v>61</v>
      </c>
      <c r="L1130" s="1" t="s">
        <v>445</v>
      </c>
      <c r="M1130" s="1" t="s">
        <v>496</v>
      </c>
      <c r="N1130" s="1" t="s">
        <v>2691</v>
      </c>
      <c r="O1130" s="1" t="s">
        <v>400</v>
      </c>
      <c r="P1130" s="1" t="s">
        <v>3527</v>
      </c>
      <c r="Z1130" s="1" t="s">
        <v>71</v>
      </c>
      <c r="AE1130" s="1" t="s">
        <v>3785</v>
      </c>
      <c r="AH1130" s="1" t="s">
        <v>73</v>
      </c>
      <c r="AK1130" s="1" t="s">
        <v>71</v>
      </c>
      <c r="AM1130" s="1" t="s">
        <v>71</v>
      </c>
      <c r="AN1130" s="1" t="s">
        <v>71</v>
      </c>
      <c r="AS1130" s="1" t="s">
        <v>71</v>
      </c>
      <c r="AX1130" s="1" t="s">
        <v>71</v>
      </c>
      <c r="BH1130" s="1" t="s">
        <v>71</v>
      </c>
    </row>
    <row r="1131" customFormat="false" ht="15" hidden="false" customHeight="false" outlineLevel="0" collapsed="false">
      <c r="A1131" s="1" t="s">
        <v>3800</v>
      </c>
      <c r="B1131" s="1" t="s">
        <v>3801</v>
      </c>
      <c r="C1131" s="1" t="s">
        <v>922</v>
      </c>
      <c r="D1131" s="1" t="s">
        <v>3802</v>
      </c>
      <c r="E1131" s="1" t="s">
        <v>82</v>
      </c>
      <c r="F1131" s="1" t="s">
        <v>391</v>
      </c>
      <c r="G1131" s="1" t="s">
        <v>443</v>
      </c>
      <c r="H1131" s="1" t="s">
        <v>444</v>
      </c>
      <c r="K1131" s="1" t="s">
        <v>61</v>
      </c>
      <c r="L1131" s="1" t="s">
        <v>445</v>
      </c>
      <c r="M1131" s="1" t="s">
        <v>2909</v>
      </c>
      <c r="N1131" s="1" t="s">
        <v>2406</v>
      </c>
      <c r="O1131" s="1" t="s">
        <v>2407</v>
      </c>
      <c r="P1131" s="1" t="s">
        <v>3803</v>
      </c>
      <c r="Z1131" s="1" t="s">
        <v>71</v>
      </c>
      <c r="AE1131" s="1" t="s">
        <v>3785</v>
      </c>
      <c r="AH1131" s="1" t="s">
        <v>73</v>
      </c>
      <c r="AK1131" s="1" t="s">
        <v>71</v>
      </c>
      <c r="AM1131" s="1" t="s">
        <v>71</v>
      </c>
      <c r="AN1131" s="1" t="s">
        <v>71</v>
      </c>
      <c r="AS1131" s="1" t="s">
        <v>71</v>
      </c>
      <c r="AX1131" s="1" t="s">
        <v>71</v>
      </c>
      <c r="BH1131" s="1" t="s">
        <v>71</v>
      </c>
    </row>
    <row r="1132" customFormat="false" ht="15" hidden="false" customHeight="false" outlineLevel="0" collapsed="false">
      <c r="A1132" s="1" t="s">
        <v>3804</v>
      </c>
      <c r="B1132" s="1" t="s">
        <v>3805</v>
      </c>
      <c r="C1132" s="1" t="s">
        <v>969</v>
      </c>
      <c r="D1132" s="1" t="s">
        <v>3352</v>
      </c>
      <c r="E1132" s="1" t="s">
        <v>82</v>
      </c>
      <c r="F1132" s="1" t="s">
        <v>391</v>
      </c>
      <c r="G1132" s="1" t="s">
        <v>443</v>
      </c>
      <c r="H1132" s="1" t="s">
        <v>444</v>
      </c>
      <c r="K1132" s="1" t="s">
        <v>61</v>
      </c>
      <c r="L1132" s="1" t="s">
        <v>445</v>
      </c>
      <c r="M1132" s="1" t="s">
        <v>465</v>
      </c>
      <c r="N1132" s="1" t="s">
        <v>3806</v>
      </c>
      <c r="O1132" s="1" t="s">
        <v>3807</v>
      </c>
      <c r="P1132" s="1" t="s">
        <v>3808</v>
      </c>
      <c r="Z1132" s="1" t="s">
        <v>71</v>
      </c>
      <c r="AE1132" s="1" t="s">
        <v>3809</v>
      </c>
      <c r="AH1132" s="1" t="s">
        <v>73</v>
      </c>
      <c r="AK1132" s="1" t="s">
        <v>71</v>
      </c>
      <c r="AM1132" s="1" t="s">
        <v>71</v>
      </c>
      <c r="AN1132" s="1" t="s">
        <v>71</v>
      </c>
      <c r="AS1132" s="1" t="s">
        <v>71</v>
      </c>
      <c r="AX1132" s="1" t="s">
        <v>71</v>
      </c>
      <c r="BH1132" s="1" t="s">
        <v>71</v>
      </c>
    </row>
    <row r="1133" customFormat="false" ht="15" hidden="false" customHeight="false" outlineLevel="0" collapsed="false">
      <c r="A1133" s="1" t="s">
        <v>3810</v>
      </c>
      <c r="B1133" s="1" t="s">
        <v>3811</v>
      </c>
      <c r="C1133" s="1" t="s">
        <v>922</v>
      </c>
      <c r="D1133" s="1" t="s">
        <v>3802</v>
      </c>
      <c r="E1133" s="1" t="s">
        <v>82</v>
      </c>
      <c r="F1133" s="1" t="s">
        <v>391</v>
      </c>
      <c r="G1133" s="1" t="s">
        <v>443</v>
      </c>
      <c r="H1133" s="1" t="s">
        <v>444</v>
      </c>
      <c r="K1133" s="1" t="s">
        <v>61</v>
      </c>
      <c r="L1133" s="1" t="s">
        <v>445</v>
      </c>
      <c r="M1133" s="1" t="s">
        <v>2909</v>
      </c>
      <c r="N1133" s="1" t="s">
        <v>3812</v>
      </c>
      <c r="O1133" s="1" t="s">
        <v>3813</v>
      </c>
      <c r="P1133" s="1" t="s">
        <v>3814</v>
      </c>
      <c r="Z1133" s="1" t="s">
        <v>71</v>
      </c>
      <c r="AE1133" s="1" t="s">
        <v>3809</v>
      </c>
      <c r="AH1133" s="1" t="s">
        <v>73</v>
      </c>
      <c r="AK1133" s="1" t="s">
        <v>71</v>
      </c>
      <c r="AM1133" s="1" t="s">
        <v>71</v>
      </c>
      <c r="AN1133" s="1" t="s">
        <v>71</v>
      </c>
      <c r="AS1133" s="1" t="s">
        <v>71</v>
      </c>
      <c r="AX1133" s="1" t="s">
        <v>71</v>
      </c>
      <c r="BH1133" s="1" t="s">
        <v>71</v>
      </c>
    </row>
    <row r="1134" customFormat="false" ht="15" hidden="false" customHeight="false" outlineLevel="0" collapsed="false">
      <c r="A1134" s="1" t="s">
        <v>3815</v>
      </c>
      <c r="B1134" s="1" t="s">
        <v>3816</v>
      </c>
      <c r="C1134" s="1" t="s">
        <v>312</v>
      </c>
      <c r="D1134" s="1" t="s">
        <v>2073</v>
      </c>
      <c r="E1134" s="1" t="s">
        <v>82</v>
      </c>
      <c r="F1134" s="1" t="s">
        <v>391</v>
      </c>
      <c r="G1134" s="1" t="s">
        <v>443</v>
      </c>
      <c r="H1134" s="1" t="s">
        <v>444</v>
      </c>
      <c r="K1134" s="1" t="s">
        <v>618</v>
      </c>
      <c r="L1134" s="1" t="s">
        <v>619</v>
      </c>
      <c r="M1134" s="1" t="s">
        <v>496</v>
      </c>
      <c r="N1134" s="1" t="s">
        <v>3652</v>
      </c>
      <c r="O1134" s="1" t="s">
        <v>447</v>
      </c>
      <c r="P1134" s="1" t="s">
        <v>3653</v>
      </c>
      <c r="Z1134" s="1" t="s">
        <v>71</v>
      </c>
      <c r="AE1134" s="1" t="s">
        <v>3817</v>
      </c>
      <c r="AH1134" s="1" t="s">
        <v>73</v>
      </c>
      <c r="AK1134" s="1" t="s">
        <v>71</v>
      </c>
      <c r="AM1134" s="1" t="s">
        <v>71</v>
      </c>
      <c r="AN1134" s="1" t="s">
        <v>71</v>
      </c>
      <c r="AS1134" s="1" t="s">
        <v>71</v>
      </c>
      <c r="AX1134" s="1" t="s">
        <v>71</v>
      </c>
      <c r="BH1134" s="1" t="s">
        <v>71</v>
      </c>
    </row>
    <row r="1135" customFormat="false" ht="15" hidden="false" customHeight="false" outlineLevel="0" collapsed="false">
      <c r="A1135" s="1" t="s">
        <v>3818</v>
      </c>
      <c r="B1135" s="1" t="s">
        <v>3819</v>
      </c>
      <c r="C1135" s="1" t="s">
        <v>312</v>
      </c>
      <c r="D1135" s="1" t="s">
        <v>2073</v>
      </c>
      <c r="E1135" s="1" t="s">
        <v>82</v>
      </c>
      <c r="F1135" s="1" t="s">
        <v>391</v>
      </c>
      <c r="G1135" s="1" t="s">
        <v>213</v>
      </c>
      <c r="H1135" s="1" t="s">
        <v>477</v>
      </c>
      <c r="K1135" s="1" t="s">
        <v>478</v>
      </c>
      <c r="L1135" s="1" t="s">
        <v>479</v>
      </c>
      <c r="M1135" s="1" t="s">
        <v>496</v>
      </c>
      <c r="N1135" s="1" t="s">
        <v>3637</v>
      </c>
      <c r="O1135" s="1" t="s">
        <v>3638</v>
      </c>
      <c r="P1135" s="1" t="s">
        <v>3639</v>
      </c>
      <c r="Z1135" s="1" t="s">
        <v>71</v>
      </c>
      <c r="AE1135" s="1" t="s">
        <v>3820</v>
      </c>
      <c r="AH1135" s="1" t="s">
        <v>73</v>
      </c>
      <c r="AK1135" s="1" t="s">
        <v>71</v>
      </c>
      <c r="AM1135" s="1" t="s">
        <v>71</v>
      </c>
      <c r="AN1135" s="1" t="s">
        <v>71</v>
      </c>
      <c r="AS1135" s="1" t="s">
        <v>71</v>
      </c>
      <c r="AX1135" s="1" t="s">
        <v>71</v>
      </c>
      <c r="BH1135" s="1" t="s">
        <v>71</v>
      </c>
    </row>
    <row r="1136" customFormat="false" ht="15" hidden="false" customHeight="false" outlineLevel="0" collapsed="false">
      <c r="A1136" s="1" t="s">
        <v>3821</v>
      </c>
      <c r="B1136" s="1" t="s">
        <v>3822</v>
      </c>
      <c r="C1136" s="1" t="s">
        <v>1079</v>
      </c>
      <c r="D1136" s="1" t="s">
        <v>3823</v>
      </c>
      <c r="E1136" s="1" t="s">
        <v>82</v>
      </c>
      <c r="F1136" s="1" t="s">
        <v>391</v>
      </c>
      <c r="G1136" s="1" t="s">
        <v>443</v>
      </c>
      <c r="H1136" s="1" t="s">
        <v>444</v>
      </c>
      <c r="K1136" s="1" t="s">
        <v>618</v>
      </c>
      <c r="L1136" s="1" t="s">
        <v>619</v>
      </c>
      <c r="M1136" s="1" t="s">
        <v>496</v>
      </c>
      <c r="N1136" s="1" t="s">
        <v>2311</v>
      </c>
      <c r="O1136" s="1" t="s">
        <v>2312</v>
      </c>
      <c r="P1136" s="1" t="s">
        <v>3824</v>
      </c>
      <c r="Z1136" s="1" t="s">
        <v>71</v>
      </c>
      <c r="AE1136" s="1" t="s">
        <v>3820</v>
      </c>
      <c r="AH1136" s="1" t="s">
        <v>73</v>
      </c>
      <c r="AK1136" s="1" t="s">
        <v>71</v>
      </c>
      <c r="AM1136" s="1" t="s">
        <v>71</v>
      </c>
      <c r="AN1136" s="1" t="s">
        <v>71</v>
      </c>
      <c r="AS1136" s="1" t="s">
        <v>71</v>
      </c>
      <c r="AX1136" s="1" t="s">
        <v>71</v>
      </c>
      <c r="BH1136" s="1" t="s">
        <v>71</v>
      </c>
    </row>
    <row r="1137" customFormat="false" ht="15" hidden="false" customHeight="false" outlineLevel="0" collapsed="false">
      <c r="A1137" s="1" t="s">
        <v>3825</v>
      </c>
      <c r="B1137" s="1" t="s">
        <v>2202</v>
      </c>
      <c r="C1137" s="1" t="s">
        <v>1079</v>
      </c>
      <c r="D1137" s="1" t="s">
        <v>3823</v>
      </c>
      <c r="E1137" s="1" t="s">
        <v>82</v>
      </c>
      <c r="F1137" s="1" t="s">
        <v>391</v>
      </c>
      <c r="G1137" s="1" t="s">
        <v>443</v>
      </c>
      <c r="H1137" s="1" t="s">
        <v>444</v>
      </c>
      <c r="K1137" s="1" t="s">
        <v>618</v>
      </c>
      <c r="L1137" s="1" t="s">
        <v>619</v>
      </c>
      <c r="M1137" s="1" t="s">
        <v>496</v>
      </c>
      <c r="N1137" s="1" t="s">
        <v>2311</v>
      </c>
      <c r="O1137" s="1" t="s">
        <v>2312</v>
      </c>
      <c r="P1137" s="1" t="s">
        <v>3824</v>
      </c>
      <c r="Z1137" s="1" t="s">
        <v>71</v>
      </c>
      <c r="AE1137" s="1" t="s">
        <v>3820</v>
      </c>
      <c r="AH1137" s="1" t="s">
        <v>73</v>
      </c>
      <c r="AK1137" s="1" t="s">
        <v>71</v>
      </c>
      <c r="AM1137" s="1" t="s">
        <v>71</v>
      </c>
      <c r="AN1137" s="1" t="s">
        <v>71</v>
      </c>
      <c r="AS1137" s="1" t="s">
        <v>71</v>
      </c>
      <c r="AX1137" s="1" t="s">
        <v>71</v>
      </c>
      <c r="BH1137" s="1" t="s">
        <v>71</v>
      </c>
    </row>
    <row r="1138" customFormat="false" ht="15" hidden="false" customHeight="false" outlineLevel="0" collapsed="false">
      <c r="A1138" s="1" t="s">
        <v>3826</v>
      </c>
      <c r="B1138" s="1" t="s">
        <v>3827</v>
      </c>
      <c r="C1138" s="1" t="s">
        <v>1079</v>
      </c>
      <c r="D1138" s="1" t="s">
        <v>3823</v>
      </c>
      <c r="E1138" s="1" t="s">
        <v>82</v>
      </c>
      <c r="F1138" s="1" t="s">
        <v>391</v>
      </c>
      <c r="G1138" s="1" t="s">
        <v>443</v>
      </c>
      <c r="H1138" s="1" t="s">
        <v>444</v>
      </c>
      <c r="K1138" s="1" t="s">
        <v>618</v>
      </c>
      <c r="L1138" s="1" t="s">
        <v>619</v>
      </c>
      <c r="M1138" s="1" t="s">
        <v>496</v>
      </c>
      <c r="N1138" s="1" t="s">
        <v>2311</v>
      </c>
      <c r="O1138" s="1" t="s">
        <v>2312</v>
      </c>
      <c r="P1138" s="1" t="s">
        <v>3824</v>
      </c>
      <c r="Z1138" s="1" t="s">
        <v>71</v>
      </c>
      <c r="AE1138" s="1" t="s">
        <v>3820</v>
      </c>
      <c r="AH1138" s="1" t="s">
        <v>73</v>
      </c>
      <c r="AK1138" s="1" t="s">
        <v>71</v>
      </c>
      <c r="AM1138" s="1" t="s">
        <v>71</v>
      </c>
      <c r="AN1138" s="1" t="s">
        <v>71</v>
      </c>
      <c r="AS1138" s="1" t="s">
        <v>71</v>
      </c>
      <c r="AX1138" s="1" t="s">
        <v>71</v>
      </c>
      <c r="BH1138" s="1" t="s">
        <v>71</v>
      </c>
    </row>
    <row r="1139" customFormat="false" ht="15" hidden="false" customHeight="false" outlineLevel="0" collapsed="false">
      <c r="A1139" s="1" t="s">
        <v>3828</v>
      </c>
      <c r="B1139" s="1" t="s">
        <v>3829</v>
      </c>
      <c r="C1139" s="1" t="s">
        <v>863</v>
      </c>
      <c r="D1139" s="1" t="s">
        <v>3830</v>
      </c>
      <c r="E1139" s="1" t="s">
        <v>82</v>
      </c>
      <c r="F1139" s="1" t="s">
        <v>391</v>
      </c>
      <c r="G1139" s="1" t="s">
        <v>443</v>
      </c>
      <c r="H1139" s="1" t="s">
        <v>444</v>
      </c>
      <c r="K1139" s="1" t="s">
        <v>618</v>
      </c>
      <c r="L1139" s="1" t="s">
        <v>619</v>
      </c>
      <c r="M1139" s="1" t="s">
        <v>2909</v>
      </c>
      <c r="N1139" s="1" t="s">
        <v>3831</v>
      </c>
      <c r="O1139" s="1" t="s">
        <v>3832</v>
      </c>
      <c r="P1139" s="1" t="s">
        <v>3833</v>
      </c>
      <c r="Z1139" s="1" t="s">
        <v>71</v>
      </c>
      <c r="AE1139" s="1" t="s">
        <v>3820</v>
      </c>
      <c r="AH1139" s="1" t="s">
        <v>73</v>
      </c>
      <c r="AK1139" s="1" t="s">
        <v>71</v>
      </c>
      <c r="AM1139" s="1" t="s">
        <v>71</v>
      </c>
      <c r="AN1139" s="1" t="s">
        <v>71</v>
      </c>
      <c r="AS1139" s="1" t="s">
        <v>71</v>
      </c>
      <c r="AX1139" s="1" t="s">
        <v>71</v>
      </c>
      <c r="BH1139" s="1" t="s">
        <v>71</v>
      </c>
    </row>
    <row r="1140" customFormat="false" ht="15" hidden="false" customHeight="false" outlineLevel="0" collapsed="false">
      <c r="A1140" s="1" t="s">
        <v>3834</v>
      </c>
      <c r="B1140" s="1" t="s">
        <v>3835</v>
      </c>
      <c r="C1140" s="1" t="s">
        <v>142</v>
      </c>
      <c r="D1140" s="1" t="s">
        <v>1102</v>
      </c>
      <c r="E1140" s="1" t="s">
        <v>82</v>
      </c>
      <c r="F1140" s="1" t="s">
        <v>391</v>
      </c>
      <c r="G1140" s="1" t="s">
        <v>97</v>
      </c>
      <c r="H1140" s="1" t="s">
        <v>406</v>
      </c>
      <c r="K1140" s="1" t="s">
        <v>65</v>
      </c>
      <c r="L1140" s="1" t="s">
        <v>860</v>
      </c>
      <c r="M1140" s="1" t="s">
        <v>496</v>
      </c>
      <c r="N1140" s="1" t="s">
        <v>1503</v>
      </c>
      <c r="O1140" s="1" t="s">
        <v>447</v>
      </c>
      <c r="P1140" s="1" t="s">
        <v>3836</v>
      </c>
      <c r="Z1140" s="1" t="s">
        <v>71</v>
      </c>
      <c r="AE1140" s="1" t="s">
        <v>3820</v>
      </c>
      <c r="AH1140" s="1" t="s">
        <v>73</v>
      </c>
      <c r="AK1140" s="1" t="s">
        <v>71</v>
      </c>
      <c r="AM1140" s="1" t="s">
        <v>71</v>
      </c>
      <c r="AN1140" s="1" t="s">
        <v>71</v>
      </c>
      <c r="AS1140" s="1" t="s">
        <v>71</v>
      </c>
      <c r="AX1140" s="1" t="s">
        <v>71</v>
      </c>
      <c r="BH1140" s="1" t="s">
        <v>71</v>
      </c>
    </row>
    <row r="1141" customFormat="false" ht="15" hidden="false" customHeight="false" outlineLevel="0" collapsed="false">
      <c r="A1141" s="1" t="s">
        <v>3837</v>
      </c>
      <c r="B1141" s="1" t="s">
        <v>3838</v>
      </c>
      <c r="C1141" s="1" t="s">
        <v>142</v>
      </c>
      <c r="D1141" s="1" t="s">
        <v>1102</v>
      </c>
      <c r="E1141" s="1" t="s">
        <v>82</v>
      </c>
      <c r="F1141" s="1" t="s">
        <v>391</v>
      </c>
      <c r="G1141" s="1" t="s">
        <v>97</v>
      </c>
      <c r="H1141" s="1" t="s">
        <v>406</v>
      </c>
      <c r="K1141" s="1" t="s">
        <v>65</v>
      </c>
      <c r="L1141" s="1" t="s">
        <v>860</v>
      </c>
      <c r="M1141" s="1" t="s">
        <v>496</v>
      </c>
      <c r="N1141" s="1" t="s">
        <v>1503</v>
      </c>
      <c r="O1141" s="1" t="s">
        <v>447</v>
      </c>
      <c r="P1141" s="1" t="s">
        <v>3836</v>
      </c>
      <c r="Z1141" s="1" t="s">
        <v>71</v>
      </c>
      <c r="AE1141" s="1" t="s">
        <v>3820</v>
      </c>
      <c r="AH1141" s="1" t="s">
        <v>73</v>
      </c>
      <c r="AK1141" s="1" t="s">
        <v>71</v>
      </c>
      <c r="AM1141" s="1" t="s">
        <v>71</v>
      </c>
      <c r="AN1141" s="1" t="s">
        <v>71</v>
      </c>
      <c r="AS1141" s="1" t="s">
        <v>71</v>
      </c>
      <c r="AX1141" s="1" t="s">
        <v>71</v>
      </c>
      <c r="BH1141" s="1" t="s">
        <v>71</v>
      </c>
    </row>
    <row r="1142" customFormat="false" ht="15" hidden="false" customHeight="false" outlineLevel="0" collapsed="false">
      <c r="A1142" s="1" t="s">
        <v>3839</v>
      </c>
      <c r="B1142" s="1" t="s">
        <v>3840</v>
      </c>
      <c r="C1142" s="1" t="s">
        <v>142</v>
      </c>
      <c r="D1142" s="1" t="s">
        <v>1102</v>
      </c>
      <c r="E1142" s="1" t="s">
        <v>82</v>
      </c>
      <c r="F1142" s="1" t="s">
        <v>391</v>
      </c>
      <c r="G1142" s="1" t="s">
        <v>97</v>
      </c>
      <c r="H1142" s="1" t="s">
        <v>406</v>
      </c>
      <c r="K1142" s="1" t="s">
        <v>65</v>
      </c>
      <c r="L1142" s="1" t="s">
        <v>860</v>
      </c>
      <c r="M1142" s="1" t="s">
        <v>496</v>
      </c>
      <c r="N1142" s="1" t="s">
        <v>563</v>
      </c>
      <c r="O1142" s="1" t="s">
        <v>400</v>
      </c>
      <c r="P1142" s="1" t="s">
        <v>3841</v>
      </c>
      <c r="Z1142" s="1" t="s">
        <v>71</v>
      </c>
      <c r="AE1142" s="1" t="s">
        <v>3820</v>
      </c>
      <c r="AH1142" s="1" t="s">
        <v>73</v>
      </c>
      <c r="AK1142" s="1" t="s">
        <v>71</v>
      </c>
      <c r="AM1142" s="1" t="s">
        <v>71</v>
      </c>
      <c r="AN1142" s="1" t="s">
        <v>71</v>
      </c>
      <c r="AS1142" s="1" t="s">
        <v>71</v>
      </c>
      <c r="AX1142" s="1" t="s">
        <v>71</v>
      </c>
      <c r="BH1142" s="1" t="s">
        <v>71</v>
      </c>
    </row>
    <row r="1143" customFormat="false" ht="15" hidden="false" customHeight="false" outlineLevel="0" collapsed="false">
      <c r="A1143" s="1" t="s">
        <v>3842</v>
      </c>
      <c r="B1143" s="1" t="s">
        <v>3843</v>
      </c>
      <c r="C1143" s="1" t="s">
        <v>769</v>
      </c>
      <c r="D1143" s="1" t="s">
        <v>390</v>
      </c>
      <c r="E1143" s="1" t="s">
        <v>82</v>
      </c>
      <c r="F1143" s="1" t="s">
        <v>391</v>
      </c>
      <c r="G1143" s="1" t="s">
        <v>182</v>
      </c>
      <c r="H1143" s="1" t="s">
        <v>392</v>
      </c>
      <c r="K1143" s="1" t="s">
        <v>65</v>
      </c>
      <c r="L1143" s="1" t="s">
        <v>517</v>
      </c>
      <c r="M1143" s="1" t="s">
        <v>496</v>
      </c>
      <c r="N1143" s="1" t="s">
        <v>1068</v>
      </c>
      <c r="O1143" s="1" t="s">
        <v>400</v>
      </c>
      <c r="P1143" s="1" t="s">
        <v>3844</v>
      </c>
      <c r="Z1143" s="1" t="s">
        <v>71</v>
      </c>
      <c r="AE1143" s="1" t="s">
        <v>3845</v>
      </c>
      <c r="AH1143" s="1" t="s">
        <v>73</v>
      </c>
      <c r="AK1143" s="1" t="s">
        <v>71</v>
      </c>
      <c r="AM1143" s="1" t="s">
        <v>71</v>
      </c>
      <c r="AN1143" s="1" t="s">
        <v>71</v>
      </c>
      <c r="AS1143" s="1" t="s">
        <v>71</v>
      </c>
      <c r="AX1143" s="1" t="s">
        <v>71</v>
      </c>
      <c r="BH1143" s="1" t="s">
        <v>71</v>
      </c>
    </row>
    <row r="1144" customFormat="false" ht="15" hidden="false" customHeight="false" outlineLevel="0" collapsed="false">
      <c r="A1144" s="1" t="s">
        <v>3846</v>
      </c>
      <c r="B1144" s="1" t="s">
        <v>3847</v>
      </c>
      <c r="C1144" s="1" t="s">
        <v>769</v>
      </c>
      <c r="D1144" s="1" t="s">
        <v>390</v>
      </c>
      <c r="E1144" s="1" t="s">
        <v>82</v>
      </c>
      <c r="F1144" s="1" t="s">
        <v>391</v>
      </c>
      <c r="G1144" s="1" t="s">
        <v>182</v>
      </c>
      <c r="H1144" s="1" t="s">
        <v>392</v>
      </c>
      <c r="K1144" s="1" t="s">
        <v>65</v>
      </c>
      <c r="L1144" s="1" t="s">
        <v>517</v>
      </c>
      <c r="M1144" s="1" t="s">
        <v>496</v>
      </c>
      <c r="N1144" s="1" t="s">
        <v>3848</v>
      </c>
      <c r="O1144" s="1" t="s">
        <v>2563</v>
      </c>
      <c r="P1144" s="1" t="s">
        <v>3849</v>
      </c>
      <c r="Z1144" s="1" t="s">
        <v>71</v>
      </c>
      <c r="AE1144" s="1" t="s">
        <v>3845</v>
      </c>
      <c r="AH1144" s="1" t="s">
        <v>73</v>
      </c>
      <c r="AK1144" s="1" t="s">
        <v>71</v>
      </c>
      <c r="AM1144" s="1" t="s">
        <v>71</v>
      </c>
      <c r="AN1144" s="1" t="s">
        <v>71</v>
      </c>
      <c r="AS1144" s="1" t="s">
        <v>71</v>
      </c>
      <c r="AX1144" s="1" t="s">
        <v>71</v>
      </c>
      <c r="BH1144" s="1" t="s">
        <v>71</v>
      </c>
    </row>
    <row r="1145" customFormat="false" ht="15" hidden="false" customHeight="false" outlineLevel="0" collapsed="false">
      <c r="A1145" s="1" t="s">
        <v>3850</v>
      </c>
      <c r="B1145" s="1" t="s">
        <v>3851</v>
      </c>
      <c r="C1145" s="1" t="s">
        <v>769</v>
      </c>
      <c r="D1145" s="1" t="s">
        <v>390</v>
      </c>
      <c r="E1145" s="1" t="s">
        <v>82</v>
      </c>
      <c r="F1145" s="1" t="s">
        <v>391</v>
      </c>
      <c r="G1145" s="1" t="s">
        <v>182</v>
      </c>
      <c r="H1145" s="1" t="s">
        <v>392</v>
      </c>
      <c r="K1145" s="1" t="s">
        <v>65</v>
      </c>
      <c r="L1145" s="1" t="s">
        <v>517</v>
      </c>
      <c r="M1145" s="1" t="s">
        <v>496</v>
      </c>
      <c r="N1145" s="1" t="s">
        <v>3852</v>
      </c>
      <c r="O1145" s="1" t="s">
        <v>3853</v>
      </c>
      <c r="P1145" s="1" t="s">
        <v>3854</v>
      </c>
      <c r="Z1145" s="1" t="s">
        <v>71</v>
      </c>
      <c r="AE1145" s="1" t="s">
        <v>3845</v>
      </c>
      <c r="AH1145" s="1" t="s">
        <v>73</v>
      </c>
      <c r="AK1145" s="1" t="s">
        <v>71</v>
      </c>
      <c r="AM1145" s="1" t="s">
        <v>71</v>
      </c>
      <c r="AN1145" s="1" t="s">
        <v>71</v>
      </c>
      <c r="AS1145" s="1" t="s">
        <v>71</v>
      </c>
      <c r="AX1145" s="1" t="s">
        <v>71</v>
      </c>
      <c r="BH1145" s="1" t="s">
        <v>71</v>
      </c>
    </row>
    <row r="1146" customFormat="false" ht="15" hidden="false" customHeight="false" outlineLevel="0" collapsed="false">
      <c r="A1146" s="1" t="s">
        <v>3855</v>
      </c>
      <c r="B1146" s="1" t="s">
        <v>3856</v>
      </c>
      <c r="C1146" s="1" t="s">
        <v>769</v>
      </c>
      <c r="D1146" s="1" t="s">
        <v>390</v>
      </c>
      <c r="E1146" s="1" t="s">
        <v>82</v>
      </c>
      <c r="F1146" s="1" t="s">
        <v>391</v>
      </c>
      <c r="G1146" s="1" t="s">
        <v>182</v>
      </c>
      <c r="H1146" s="1" t="s">
        <v>392</v>
      </c>
      <c r="K1146" s="1" t="s">
        <v>65</v>
      </c>
      <c r="L1146" s="1" t="s">
        <v>517</v>
      </c>
      <c r="M1146" s="1" t="s">
        <v>496</v>
      </c>
      <c r="N1146" s="1" t="s">
        <v>3857</v>
      </c>
      <c r="O1146" s="1" t="s">
        <v>1778</v>
      </c>
      <c r="P1146" s="1" t="s">
        <v>3858</v>
      </c>
      <c r="Z1146" s="1" t="s">
        <v>71</v>
      </c>
      <c r="AE1146" s="1" t="s">
        <v>3845</v>
      </c>
      <c r="AH1146" s="1" t="s">
        <v>73</v>
      </c>
      <c r="AK1146" s="1" t="s">
        <v>71</v>
      </c>
      <c r="AM1146" s="1" t="s">
        <v>71</v>
      </c>
      <c r="AN1146" s="1" t="s">
        <v>71</v>
      </c>
      <c r="AS1146" s="1" t="s">
        <v>71</v>
      </c>
      <c r="AX1146" s="1" t="s">
        <v>71</v>
      </c>
      <c r="BH1146" s="1" t="s">
        <v>71</v>
      </c>
    </row>
    <row r="1147" customFormat="false" ht="15" hidden="false" customHeight="false" outlineLevel="0" collapsed="false">
      <c r="A1147" s="1" t="s">
        <v>3859</v>
      </c>
      <c r="B1147" s="1" t="s">
        <v>3860</v>
      </c>
      <c r="C1147" s="1" t="s">
        <v>769</v>
      </c>
      <c r="D1147" s="1" t="s">
        <v>390</v>
      </c>
      <c r="E1147" s="1" t="s">
        <v>82</v>
      </c>
      <c r="F1147" s="1" t="s">
        <v>391</v>
      </c>
      <c r="G1147" s="1" t="s">
        <v>182</v>
      </c>
      <c r="H1147" s="1" t="s">
        <v>392</v>
      </c>
      <c r="K1147" s="1" t="s">
        <v>65</v>
      </c>
      <c r="L1147" s="1" t="s">
        <v>517</v>
      </c>
      <c r="M1147" s="1" t="s">
        <v>496</v>
      </c>
      <c r="N1147" s="1" t="s">
        <v>3861</v>
      </c>
      <c r="O1147" s="1" t="s">
        <v>400</v>
      </c>
      <c r="P1147" s="1" t="s">
        <v>3862</v>
      </c>
      <c r="Z1147" s="1" t="s">
        <v>71</v>
      </c>
      <c r="AE1147" s="1" t="s">
        <v>3845</v>
      </c>
      <c r="AH1147" s="1" t="s">
        <v>73</v>
      </c>
      <c r="AK1147" s="1" t="s">
        <v>71</v>
      </c>
      <c r="AM1147" s="1" t="s">
        <v>71</v>
      </c>
      <c r="AN1147" s="1" t="s">
        <v>71</v>
      </c>
      <c r="AS1147" s="1" t="s">
        <v>71</v>
      </c>
      <c r="AX1147" s="1" t="s">
        <v>71</v>
      </c>
      <c r="BH1147" s="1" t="s">
        <v>71</v>
      </c>
    </row>
    <row r="1148" customFormat="false" ht="15" hidden="false" customHeight="false" outlineLevel="0" collapsed="false">
      <c r="A1148" s="1" t="s">
        <v>3863</v>
      </c>
      <c r="B1148" s="1" t="s">
        <v>3864</v>
      </c>
      <c r="C1148" s="1" t="s">
        <v>769</v>
      </c>
      <c r="D1148" s="1" t="s">
        <v>390</v>
      </c>
      <c r="E1148" s="1" t="s">
        <v>82</v>
      </c>
      <c r="F1148" s="1" t="s">
        <v>391</v>
      </c>
      <c r="G1148" s="1" t="s">
        <v>182</v>
      </c>
      <c r="H1148" s="1" t="s">
        <v>392</v>
      </c>
      <c r="K1148" s="1" t="s">
        <v>65</v>
      </c>
      <c r="L1148" s="1" t="s">
        <v>517</v>
      </c>
      <c r="M1148" s="1" t="s">
        <v>496</v>
      </c>
      <c r="N1148" s="1" t="s">
        <v>3865</v>
      </c>
      <c r="O1148" s="1" t="s">
        <v>3866</v>
      </c>
      <c r="P1148" s="1" t="s">
        <v>3867</v>
      </c>
      <c r="Z1148" s="1" t="s">
        <v>71</v>
      </c>
      <c r="AE1148" s="1" t="s">
        <v>3845</v>
      </c>
      <c r="AH1148" s="1" t="s">
        <v>73</v>
      </c>
      <c r="AK1148" s="1" t="s">
        <v>71</v>
      </c>
      <c r="AM1148" s="1" t="s">
        <v>71</v>
      </c>
      <c r="AN1148" s="1" t="s">
        <v>71</v>
      </c>
      <c r="AS1148" s="1" t="s">
        <v>71</v>
      </c>
      <c r="AX1148" s="1" t="s">
        <v>71</v>
      </c>
      <c r="BH1148" s="1" t="s">
        <v>71</v>
      </c>
    </row>
    <row r="1149" customFormat="false" ht="15" hidden="false" customHeight="false" outlineLevel="0" collapsed="false">
      <c r="A1149" s="1" t="s">
        <v>3868</v>
      </c>
      <c r="B1149" s="1" t="s">
        <v>3869</v>
      </c>
      <c r="C1149" s="1" t="s">
        <v>769</v>
      </c>
      <c r="D1149" s="1" t="s">
        <v>390</v>
      </c>
      <c r="E1149" s="1" t="s">
        <v>82</v>
      </c>
      <c r="F1149" s="1" t="s">
        <v>391</v>
      </c>
      <c r="G1149" s="1" t="s">
        <v>182</v>
      </c>
      <c r="H1149" s="1" t="s">
        <v>392</v>
      </c>
      <c r="K1149" s="1" t="s">
        <v>65</v>
      </c>
      <c r="L1149" s="1" t="s">
        <v>517</v>
      </c>
      <c r="M1149" s="1" t="s">
        <v>496</v>
      </c>
      <c r="N1149" s="1" t="s">
        <v>3861</v>
      </c>
      <c r="O1149" s="1" t="s">
        <v>400</v>
      </c>
      <c r="P1149" s="1" t="s">
        <v>3862</v>
      </c>
      <c r="Z1149" s="1" t="s">
        <v>71</v>
      </c>
      <c r="AE1149" s="1" t="s">
        <v>3845</v>
      </c>
      <c r="AH1149" s="1" t="s">
        <v>73</v>
      </c>
      <c r="AK1149" s="1" t="s">
        <v>71</v>
      </c>
      <c r="AM1149" s="1" t="s">
        <v>71</v>
      </c>
      <c r="AN1149" s="1" t="s">
        <v>71</v>
      </c>
      <c r="AS1149" s="1" t="s">
        <v>71</v>
      </c>
      <c r="AX1149" s="1" t="s">
        <v>71</v>
      </c>
      <c r="BH1149" s="1" t="s">
        <v>71</v>
      </c>
    </row>
    <row r="1150" customFormat="false" ht="15" hidden="false" customHeight="false" outlineLevel="0" collapsed="false">
      <c r="A1150" s="1" t="s">
        <v>3870</v>
      </c>
      <c r="B1150" s="1" t="s">
        <v>3871</v>
      </c>
      <c r="C1150" s="1" t="s">
        <v>769</v>
      </c>
      <c r="D1150" s="1" t="s">
        <v>390</v>
      </c>
      <c r="E1150" s="1" t="s">
        <v>82</v>
      </c>
      <c r="F1150" s="1" t="s">
        <v>391</v>
      </c>
      <c r="G1150" s="1" t="s">
        <v>182</v>
      </c>
      <c r="H1150" s="1" t="s">
        <v>392</v>
      </c>
      <c r="K1150" s="1" t="s">
        <v>65</v>
      </c>
      <c r="L1150" s="1" t="s">
        <v>517</v>
      </c>
      <c r="M1150" s="1" t="s">
        <v>496</v>
      </c>
      <c r="N1150" s="1" t="s">
        <v>3872</v>
      </c>
      <c r="O1150" s="1" t="s">
        <v>400</v>
      </c>
      <c r="P1150" s="1" t="s">
        <v>3873</v>
      </c>
      <c r="Z1150" s="1" t="s">
        <v>71</v>
      </c>
      <c r="AE1150" s="1" t="s">
        <v>3845</v>
      </c>
      <c r="AH1150" s="1" t="s">
        <v>73</v>
      </c>
      <c r="AK1150" s="1" t="s">
        <v>71</v>
      </c>
      <c r="AM1150" s="1" t="s">
        <v>71</v>
      </c>
      <c r="AN1150" s="1" t="s">
        <v>71</v>
      </c>
      <c r="AS1150" s="1" t="s">
        <v>71</v>
      </c>
      <c r="AX1150" s="1" t="s">
        <v>71</v>
      </c>
      <c r="BH1150" s="1" t="s">
        <v>71</v>
      </c>
    </row>
    <row r="1151" customFormat="false" ht="15" hidden="false" customHeight="false" outlineLevel="0" collapsed="false">
      <c r="A1151" s="1" t="s">
        <v>3874</v>
      </c>
      <c r="B1151" s="1" t="s">
        <v>3875</v>
      </c>
      <c r="C1151" s="1" t="s">
        <v>769</v>
      </c>
      <c r="D1151" s="1" t="s">
        <v>390</v>
      </c>
      <c r="E1151" s="1" t="s">
        <v>82</v>
      </c>
      <c r="F1151" s="1" t="s">
        <v>391</v>
      </c>
      <c r="G1151" s="1" t="s">
        <v>182</v>
      </c>
      <c r="H1151" s="1" t="s">
        <v>392</v>
      </c>
      <c r="K1151" s="1" t="s">
        <v>65</v>
      </c>
      <c r="L1151" s="1" t="s">
        <v>517</v>
      </c>
      <c r="M1151" s="1" t="s">
        <v>496</v>
      </c>
      <c r="N1151" s="1" t="s">
        <v>3876</v>
      </c>
      <c r="O1151" s="1" t="s">
        <v>3877</v>
      </c>
      <c r="P1151" s="1" t="s">
        <v>3878</v>
      </c>
      <c r="Z1151" s="1" t="s">
        <v>71</v>
      </c>
      <c r="AE1151" s="1" t="s">
        <v>3845</v>
      </c>
      <c r="AH1151" s="1" t="s">
        <v>73</v>
      </c>
      <c r="AK1151" s="1" t="s">
        <v>71</v>
      </c>
      <c r="AM1151" s="1" t="s">
        <v>71</v>
      </c>
      <c r="AN1151" s="1" t="s">
        <v>71</v>
      </c>
      <c r="AS1151" s="1" t="s">
        <v>71</v>
      </c>
      <c r="AX1151" s="1" t="s">
        <v>71</v>
      </c>
      <c r="BH1151" s="1" t="s">
        <v>71</v>
      </c>
    </row>
    <row r="1152" customFormat="false" ht="15" hidden="false" customHeight="false" outlineLevel="0" collapsed="false">
      <c r="A1152" s="1" t="s">
        <v>3879</v>
      </c>
      <c r="B1152" s="1" t="s">
        <v>3880</v>
      </c>
      <c r="C1152" s="1" t="s">
        <v>769</v>
      </c>
      <c r="D1152" s="1" t="s">
        <v>390</v>
      </c>
      <c r="E1152" s="1" t="s">
        <v>82</v>
      </c>
      <c r="F1152" s="1" t="s">
        <v>391</v>
      </c>
      <c r="G1152" s="1" t="s">
        <v>182</v>
      </c>
      <c r="H1152" s="1" t="s">
        <v>392</v>
      </c>
      <c r="K1152" s="1" t="s">
        <v>65</v>
      </c>
      <c r="L1152" s="1" t="s">
        <v>517</v>
      </c>
      <c r="M1152" s="1" t="s">
        <v>496</v>
      </c>
      <c r="N1152" s="1" t="s">
        <v>2951</v>
      </c>
      <c r="O1152" s="1" t="s">
        <v>2952</v>
      </c>
      <c r="P1152" s="1" t="s">
        <v>3881</v>
      </c>
      <c r="Z1152" s="1" t="s">
        <v>71</v>
      </c>
      <c r="AE1152" s="1" t="s">
        <v>3845</v>
      </c>
      <c r="AH1152" s="1" t="s">
        <v>73</v>
      </c>
      <c r="AK1152" s="1" t="s">
        <v>71</v>
      </c>
      <c r="AM1152" s="1" t="s">
        <v>71</v>
      </c>
      <c r="AN1152" s="1" t="s">
        <v>71</v>
      </c>
      <c r="AS1152" s="1" t="s">
        <v>71</v>
      </c>
      <c r="AX1152" s="1" t="s">
        <v>71</v>
      </c>
      <c r="BH1152" s="1" t="s">
        <v>71</v>
      </c>
    </row>
    <row r="1153" customFormat="false" ht="15" hidden="false" customHeight="false" outlineLevel="0" collapsed="false">
      <c r="A1153" s="1" t="s">
        <v>3882</v>
      </c>
      <c r="B1153" s="1" t="s">
        <v>3883</v>
      </c>
      <c r="C1153" s="1" t="s">
        <v>622</v>
      </c>
      <c r="D1153" s="1" t="s">
        <v>1903</v>
      </c>
      <c r="E1153" s="1" t="s">
        <v>82</v>
      </c>
      <c r="F1153" s="1" t="s">
        <v>391</v>
      </c>
      <c r="G1153" s="1" t="s">
        <v>213</v>
      </c>
      <c r="H1153" s="1" t="s">
        <v>477</v>
      </c>
      <c r="K1153" s="1" t="s">
        <v>1904</v>
      </c>
      <c r="L1153" s="1" t="s">
        <v>1905</v>
      </c>
      <c r="M1153" s="1" t="s">
        <v>496</v>
      </c>
      <c r="N1153" s="1" t="s">
        <v>536</v>
      </c>
      <c r="O1153" s="1" t="s">
        <v>537</v>
      </c>
      <c r="P1153" s="1" t="s">
        <v>3884</v>
      </c>
      <c r="Z1153" s="1" t="s">
        <v>71</v>
      </c>
      <c r="AE1153" s="1" t="s">
        <v>3885</v>
      </c>
      <c r="AH1153" s="1" t="s">
        <v>73</v>
      </c>
      <c r="AK1153" s="1" t="s">
        <v>71</v>
      </c>
      <c r="AM1153" s="1" t="s">
        <v>71</v>
      </c>
      <c r="AN1153" s="1" t="s">
        <v>71</v>
      </c>
      <c r="AS1153" s="1" t="s">
        <v>71</v>
      </c>
      <c r="AX1153" s="1" t="s">
        <v>71</v>
      </c>
      <c r="BH1153" s="1" t="s">
        <v>71</v>
      </c>
    </row>
    <row r="1154" customFormat="false" ht="15" hidden="false" customHeight="false" outlineLevel="0" collapsed="false">
      <c r="A1154" s="1" t="s">
        <v>3886</v>
      </c>
      <c r="B1154" s="1" t="s">
        <v>3887</v>
      </c>
      <c r="C1154" s="1" t="s">
        <v>622</v>
      </c>
      <c r="D1154" s="1" t="s">
        <v>1903</v>
      </c>
      <c r="E1154" s="1" t="s">
        <v>82</v>
      </c>
      <c r="F1154" s="1" t="s">
        <v>391</v>
      </c>
      <c r="G1154" s="1" t="s">
        <v>213</v>
      </c>
      <c r="H1154" s="1" t="s">
        <v>477</v>
      </c>
      <c r="K1154" s="1" t="s">
        <v>1904</v>
      </c>
      <c r="L1154" s="1" t="s">
        <v>1905</v>
      </c>
      <c r="M1154" s="1" t="s">
        <v>496</v>
      </c>
      <c r="N1154" s="1" t="s">
        <v>884</v>
      </c>
      <c r="O1154" s="1" t="s">
        <v>447</v>
      </c>
      <c r="P1154" s="1" t="s">
        <v>3888</v>
      </c>
      <c r="Z1154" s="1" t="s">
        <v>71</v>
      </c>
      <c r="AE1154" s="1" t="s">
        <v>3885</v>
      </c>
      <c r="AH1154" s="1" t="s">
        <v>73</v>
      </c>
      <c r="AK1154" s="1" t="s">
        <v>71</v>
      </c>
      <c r="AM1154" s="1" t="s">
        <v>71</v>
      </c>
      <c r="AN1154" s="1" t="s">
        <v>71</v>
      </c>
      <c r="AS1154" s="1" t="s">
        <v>71</v>
      </c>
      <c r="AX1154" s="1" t="s">
        <v>71</v>
      </c>
      <c r="BH1154" s="1" t="s">
        <v>71</v>
      </c>
    </row>
    <row r="1155" customFormat="false" ht="15" hidden="false" customHeight="false" outlineLevel="0" collapsed="false">
      <c r="A1155" s="1" t="s">
        <v>3889</v>
      </c>
      <c r="B1155" s="1" t="s">
        <v>3890</v>
      </c>
      <c r="C1155" s="1" t="s">
        <v>934</v>
      </c>
      <c r="D1155" s="1" t="s">
        <v>3891</v>
      </c>
      <c r="E1155" s="1" t="s">
        <v>82</v>
      </c>
      <c r="F1155" s="1" t="s">
        <v>391</v>
      </c>
      <c r="G1155" s="1" t="s">
        <v>443</v>
      </c>
      <c r="H1155" s="1" t="s">
        <v>444</v>
      </c>
      <c r="K1155" s="1" t="s">
        <v>61</v>
      </c>
      <c r="L1155" s="1" t="s">
        <v>445</v>
      </c>
      <c r="M1155" s="1" t="s">
        <v>806</v>
      </c>
      <c r="N1155" s="1" t="s">
        <v>2063</v>
      </c>
      <c r="O1155" s="1" t="s">
        <v>2064</v>
      </c>
      <c r="P1155" s="1" t="s">
        <v>3892</v>
      </c>
      <c r="Z1155" s="1" t="s">
        <v>71</v>
      </c>
      <c r="AE1155" s="1" t="s">
        <v>3885</v>
      </c>
      <c r="AH1155" s="1" t="s">
        <v>73</v>
      </c>
      <c r="AK1155" s="1" t="s">
        <v>71</v>
      </c>
      <c r="AM1155" s="1" t="s">
        <v>71</v>
      </c>
      <c r="AN1155" s="1" t="s">
        <v>71</v>
      </c>
      <c r="AS1155" s="1" t="s">
        <v>71</v>
      </c>
      <c r="AX1155" s="1" t="s">
        <v>71</v>
      </c>
      <c r="BH1155" s="1" t="s">
        <v>71</v>
      </c>
    </row>
    <row r="1156" customFormat="false" ht="15" hidden="false" customHeight="false" outlineLevel="0" collapsed="false">
      <c r="A1156" s="1" t="s">
        <v>3893</v>
      </c>
      <c r="B1156" s="1" t="s">
        <v>3894</v>
      </c>
      <c r="C1156" s="1" t="s">
        <v>969</v>
      </c>
      <c r="D1156" s="1" t="s">
        <v>3352</v>
      </c>
      <c r="E1156" s="1" t="s">
        <v>82</v>
      </c>
      <c r="F1156" s="1" t="s">
        <v>391</v>
      </c>
      <c r="G1156" s="1" t="s">
        <v>443</v>
      </c>
      <c r="H1156" s="1" t="s">
        <v>444</v>
      </c>
      <c r="K1156" s="1" t="s">
        <v>618</v>
      </c>
      <c r="L1156" s="1" t="s">
        <v>619</v>
      </c>
      <c r="M1156" s="1" t="s">
        <v>3353</v>
      </c>
      <c r="N1156" s="1" t="s">
        <v>3401</v>
      </c>
      <c r="O1156" s="1" t="s">
        <v>400</v>
      </c>
      <c r="P1156" s="1" t="s">
        <v>3895</v>
      </c>
      <c r="Z1156" s="1" t="s">
        <v>71</v>
      </c>
      <c r="AE1156" s="1" t="s">
        <v>3896</v>
      </c>
      <c r="AH1156" s="1" t="s">
        <v>73</v>
      </c>
      <c r="AK1156" s="1" t="s">
        <v>71</v>
      </c>
      <c r="AM1156" s="1" t="s">
        <v>71</v>
      </c>
      <c r="AN1156" s="1" t="s">
        <v>71</v>
      </c>
      <c r="AS1156" s="1" t="s">
        <v>71</v>
      </c>
      <c r="AX1156" s="1" t="s">
        <v>71</v>
      </c>
      <c r="BH1156" s="1" t="s">
        <v>71</v>
      </c>
    </row>
    <row r="1157" customFormat="false" ht="15" hidden="false" customHeight="false" outlineLevel="0" collapsed="false">
      <c r="A1157" s="1" t="s">
        <v>3897</v>
      </c>
      <c r="B1157" s="1" t="s">
        <v>3898</v>
      </c>
      <c r="C1157" s="1" t="s">
        <v>969</v>
      </c>
      <c r="D1157" s="1" t="s">
        <v>3352</v>
      </c>
      <c r="E1157" s="1" t="s">
        <v>82</v>
      </c>
      <c r="F1157" s="1" t="s">
        <v>391</v>
      </c>
      <c r="G1157" s="1" t="s">
        <v>443</v>
      </c>
      <c r="H1157" s="1" t="s">
        <v>444</v>
      </c>
      <c r="K1157" s="1" t="s">
        <v>618</v>
      </c>
      <c r="L1157" s="1" t="s">
        <v>619</v>
      </c>
      <c r="M1157" s="1" t="s">
        <v>3353</v>
      </c>
      <c r="N1157" s="1" t="s">
        <v>3354</v>
      </c>
      <c r="O1157" s="1" t="s">
        <v>400</v>
      </c>
      <c r="P1157" s="1" t="s">
        <v>3497</v>
      </c>
      <c r="Z1157" s="1" t="s">
        <v>71</v>
      </c>
      <c r="AE1157" s="1" t="s">
        <v>3896</v>
      </c>
      <c r="AH1157" s="1" t="s">
        <v>73</v>
      </c>
      <c r="AK1157" s="1" t="s">
        <v>71</v>
      </c>
      <c r="AM1157" s="1" t="s">
        <v>71</v>
      </c>
      <c r="AN1157" s="1" t="s">
        <v>71</v>
      </c>
      <c r="AS1157" s="1" t="s">
        <v>71</v>
      </c>
      <c r="AX1157" s="1" t="s">
        <v>71</v>
      </c>
      <c r="BH1157" s="1" t="s">
        <v>71</v>
      </c>
    </row>
    <row r="1158" customFormat="false" ht="15" hidden="false" customHeight="false" outlineLevel="0" collapsed="false">
      <c r="A1158" s="1" t="s">
        <v>3899</v>
      </c>
      <c r="B1158" s="1" t="s">
        <v>3900</v>
      </c>
      <c r="C1158" s="1" t="s">
        <v>969</v>
      </c>
      <c r="D1158" s="1" t="s">
        <v>3352</v>
      </c>
      <c r="E1158" s="1" t="s">
        <v>82</v>
      </c>
      <c r="F1158" s="1" t="s">
        <v>391</v>
      </c>
      <c r="G1158" s="1" t="s">
        <v>443</v>
      </c>
      <c r="H1158" s="1" t="s">
        <v>444</v>
      </c>
      <c r="K1158" s="1" t="s">
        <v>618</v>
      </c>
      <c r="L1158" s="1" t="s">
        <v>619</v>
      </c>
      <c r="M1158" s="1" t="s">
        <v>496</v>
      </c>
      <c r="N1158" s="1" t="s">
        <v>3901</v>
      </c>
      <c r="O1158" s="1" t="s">
        <v>3902</v>
      </c>
      <c r="P1158" s="1" t="s">
        <v>3903</v>
      </c>
      <c r="Z1158" s="1" t="s">
        <v>71</v>
      </c>
      <c r="AE1158" s="1" t="s">
        <v>3896</v>
      </c>
      <c r="AH1158" s="1" t="s">
        <v>73</v>
      </c>
      <c r="AK1158" s="1" t="s">
        <v>71</v>
      </c>
      <c r="AM1158" s="1" t="s">
        <v>71</v>
      </c>
      <c r="AN1158" s="1" t="s">
        <v>71</v>
      </c>
      <c r="AS1158" s="1" t="s">
        <v>71</v>
      </c>
      <c r="AX1158" s="1" t="s">
        <v>71</v>
      </c>
      <c r="BH1158" s="1" t="s">
        <v>71</v>
      </c>
    </row>
    <row r="1159" customFormat="false" ht="15" hidden="false" customHeight="false" outlineLevel="0" collapsed="false">
      <c r="A1159" s="1" t="s">
        <v>3904</v>
      </c>
      <c r="B1159" s="1" t="s">
        <v>3905</v>
      </c>
      <c r="C1159" s="1" t="s">
        <v>969</v>
      </c>
      <c r="D1159" s="1" t="s">
        <v>3352</v>
      </c>
      <c r="E1159" s="1" t="s">
        <v>82</v>
      </c>
      <c r="F1159" s="1" t="s">
        <v>391</v>
      </c>
      <c r="G1159" s="1" t="s">
        <v>443</v>
      </c>
      <c r="H1159" s="1" t="s">
        <v>444</v>
      </c>
      <c r="K1159" s="1" t="s">
        <v>618</v>
      </c>
      <c r="L1159" s="1" t="s">
        <v>619</v>
      </c>
      <c r="M1159" s="1" t="s">
        <v>3458</v>
      </c>
      <c r="N1159" s="1" t="s">
        <v>3906</v>
      </c>
      <c r="O1159" s="1" t="s">
        <v>447</v>
      </c>
      <c r="P1159" s="1" t="s">
        <v>3907</v>
      </c>
      <c r="Z1159" s="1" t="s">
        <v>71</v>
      </c>
      <c r="AE1159" s="1" t="s">
        <v>3896</v>
      </c>
      <c r="AH1159" s="1" t="s">
        <v>73</v>
      </c>
      <c r="AK1159" s="1" t="s">
        <v>71</v>
      </c>
      <c r="AM1159" s="1" t="s">
        <v>71</v>
      </c>
      <c r="AN1159" s="1" t="s">
        <v>71</v>
      </c>
      <c r="AS1159" s="1" t="s">
        <v>71</v>
      </c>
      <c r="AX1159" s="1" t="s">
        <v>71</v>
      </c>
      <c r="BH1159" s="1" t="s">
        <v>71</v>
      </c>
    </row>
    <row r="1160" customFormat="false" ht="15" hidden="false" customHeight="false" outlineLevel="0" collapsed="false">
      <c r="A1160" s="1" t="s">
        <v>3908</v>
      </c>
      <c r="B1160" s="1" t="s">
        <v>3909</v>
      </c>
      <c r="C1160" s="1" t="s">
        <v>3910</v>
      </c>
      <c r="D1160" s="1" t="s">
        <v>3911</v>
      </c>
      <c r="E1160" s="1" t="s">
        <v>82</v>
      </c>
      <c r="F1160" s="1" t="s">
        <v>391</v>
      </c>
      <c r="G1160" s="1" t="s">
        <v>443</v>
      </c>
      <c r="H1160" s="1" t="s">
        <v>444</v>
      </c>
      <c r="K1160" s="1" t="s">
        <v>618</v>
      </c>
      <c r="L1160" s="1" t="s">
        <v>619</v>
      </c>
      <c r="M1160" s="1" t="s">
        <v>1938</v>
      </c>
      <c r="N1160" s="1" t="s">
        <v>3912</v>
      </c>
      <c r="O1160" s="1" t="s">
        <v>3913</v>
      </c>
      <c r="P1160" s="1" t="s">
        <v>3914</v>
      </c>
      <c r="Z1160" s="1" t="s">
        <v>71</v>
      </c>
      <c r="AE1160" s="1" t="s">
        <v>3915</v>
      </c>
      <c r="AH1160" s="1" t="s">
        <v>73</v>
      </c>
      <c r="AK1160" s="1" t="s">
        <v>71</v>
      </c>
      <c r="AM1160" s="1" t="s">
        <v>71</v>
      </c>
      <c r="AN1160" s="1" t="s">
        <v>71</v>
      </c>
      <c r="AS1160" s="1" t="s">
        <v>71</v>
      </c>
      <c r="AX1160" s="1" t="s">
        <v>71</v>
      </c>
      <c r="BH1160" s="1" t="s">
        <v>71</v>
      </c>
    </row>
    <row r="1161" customFormat="false" ht="15" hidden="false" customHeight="false" outlineLevel="0" collapsed="false">
      <c r="A1161" s="1" t="s">
        <v>3916</v>
      </c>
      <c r="B1161" s="1" t="s">
        <v>3917</v>
      </c>
      <c r="C1161" s="1" t="s">
        <v>969</v>
      </c>
      <c r="D1161" s="1" t="s">
        <v>3352</v>
      </c>
      <c r="E1161" s="1" t="s">
        <v>82</v>
      </c>
      <c r="F1161" s="1" t="s">
        <v>391</v>
      </c>
      <c r="G1161" s="1" t="s">
        <v>443</v>
      </c>
      <c r="H1161" s="1" t="s">
        <v>444</v>
      </c>
      <c r="K1161" s="1" t="s">
        <v>61</v>
      </c>
      <c r="L1161" s="1" t="s">
        <v>445</v>
      </c>
      <c r="M1161" s="1" t="s">
        <v>3353</v>
      </c>
      <c r="N1161" s="1" t="s">
        <v>3918</v>
      </c>
      <c r="O1161" s="1" t="s">
        <v>3919</v>
      </c>
      <c r="P1161" s="1" t="s">
        <v>3920</v>
      </c>
      <c r="Z1161" s="1" t="s">
        <v>71</v>
      </c>
      <c r="AE1161" s="1" t="s">
        <v>3921</v>
      </c>
      <c r="AH1161" s="1" t="s">
        <v>73</v>
      </c>
      <c r="AK1161" s="1" t="s">
        <v>71</v>
      </c>
      <c r="AM1161" s="1" t="s">
        <v>71</v>
      </c>
      <c r="AN1161" s="1" t="s">
        <v>71</v>
      </c>
      <c r="AS1161" s="1" t="s">
        <v>71</v>
      </c>
      <c r="AX1161" s="1" t="s">
        <v>71</v>
      </c>
      <c r="BH1161" s="1" t="s">
        <v>71</v>
      </c>
    </row>
    <row r="1162" customFormat="false" ht="15" hidden="false" customHeight="false" outlineLevel="0" collapsed="false">
      <c r="A1162" s="1" t="s">
        <v>3922</v>
      </c>
      <c r="B1162" s="1" t="s">
        <v>3923</v>
      </c>
      <c r="C1162" s="1" t="s">
        <v>1086</v>
      </c>
      <c r="D1162" s="1" t="s">
        <v>3924</v>
      </c>
      <c r="E1162" s="1" t="s">
        <v>82</v>
      </c>
      <c r="F1162" s="1" t="s">
        <v>391</v>
      </c>
      <c r="G1162" s="1" t="s">
        <v>213</v>
      </c>
      <c r="H1162" s="1" t="s">
        <v>477</v>
      </c>
      <c r="K1162" s="1" t="s">
        <v>1904</v>
      </c>
      <c r="L1162" s="1" t="s">
        <v>1905</v>
      </c>
      <c r="M1162" s="1" t="s">
        <v>1630</v>
      </c>
      <c r="N1162" s="1" t="s">
        <v>3925</v>
      </c>
      <c r="O1162" s="1" t="s">
        <v>3926</v>
      </c>
      <c r="P1162" s="1" t="s">
        <v>3927</v>
      </c>
      <c r="Z1162" s="1" t="s">
        <v>71</v>
      </c>
      <c r="AE1162" s="1" t="s">
        <v>3921</v>
      </c>
      <c r="AH1162" s="1" t="s">
        <v>73</v>
      </c>
      <c r="AK1162" s="1" t="s">
        <v>71</v>
      </c>
      <c r="AM1162" s="1" t="s">
        <v>71</v>
      </c>
      <c r="AN1162" s="1" t="s">
        <v>71</v>
      </c>
      <c r="AS1162" s="1" t="s">
        <v>71</v>
      </c>
      <c r="AX1162" s="1" t="s">
        <v>71</v>
      </c>
      <c r="BH1162" s="1" t="s">
        <v>71</v>
      </c>
    </row>
    <row r="1163" customFormat="false" ht="15" hidden="false" customHeight="false" outlineLevel="0" collapsed="false">
      <c r="A1163" s="1" t="s">
        <v>3928</v>
      </c>
      <c r="B1163" s="1" t="s">
        <v>3929</v>
      </c>
      <c r="C1163" s="1" t="s">
        <v>1090</v>
      </c>
      <c r="D1163" s="1" t="s">
        <v>3930</v>
      </c>
      <c r="E1163" s="1" t="s">
        <v>82</v>
      </c>
      <c r="F1163" s="1" t="s">
        <v>391</v>
      </c>
      <c r="G1163" s="1" t="s">
        <v>443</v>
      </c>
      <c r="H1163" s="1" t="s">
        <v>444</v>
      </c>
      <c r="K1163" s="1" t="s">
        <v>61</v>
      </c>
      <c r="L1163" s="1" t="s">
        <v>445</v>
      </c>
      <c r="M1163" s="1" t="s">
        <v>496</v>
      </c>
      <c r="N1163" s="1" t="s">
        <v>668</v>
      </c>
      <c r="O1163" s="1" t="s">
        <v>669</v>
      </c>
      <c r="P1163" s="1" t="s">
        <v>3931</v>
      </c>
      <c r="Z1163" s="1" t="s">
        <v>71</v>
      </c>
      <c r="AE1163" s="1" t="s">
        <v>3932</v>
      </c>
      <c r="AH1163" s="1" t="s">
        <v>73</v>
      </c>
      <c r="AK1163" s="1" t="s">
        <v>71</v>
      </c>
      <c r="AM1163" s="1" t="s">
        <v>71</v>
      </c>
      <c r="AN1163" s="1" t="s">
        <v>71</v>
      </c>
      <c r="AS1163" s="1" t="s">
        <v>71</v>
      </c>
      <c r="AX1163" s="1" t="s">
        <v>71</v>
      </c>
      <c r="BH1163" s="1" t="s">
        <v>71</v>
      </c>
    </row>
    <row r="1164" customFormat="false" ht="15" hidden="false" customHeight="false" outlineLevel="0" collapsed="false">
      <c r="A1164" s="1" t="s">
        <v>3933</v>
      </c>
      <c r="B1164" s="1" t="s">
        <v>3934</v>
      </c>
      <c r="C1164" s="1" t="s">
        <v>1090</v>
      </c>
      <c r="D1164" s="1" t="s">
        <v>3930</v>
      </c>
      <c r="E1164" s="1" t="s">
        <v>82</v>
      </c>
      <c r="F1164" s="1" t="s">
        <v>391</v>
      </c>
      <c r="G1164" s="1" t="s">
        <v>443</v>
      </c>
      <c r="H1164" s="1" t="s">
        <v>444</v>
      </c>
      <c r="K1164" s="1" t="s">
        <v>61</v>
      </c>
      <c r="L1164" s="1" t="s">
        <v>445</v>
      </c>
      <c r="M1164" s="1" t="s">
        <v>496</v>
      </c>
      <c r="N1164" s="1" t="s">
        <v>3783</v>
      </c>
      <c r="O1164" s="1" t="s">
        <v>400</v>
      </c>
      <c r="P1164" s="1" t="s">
        <v>3784</v>
      </c>
      <c r="Z1164" s="1" t="s">
        <v>71</v>
      </c>
      <c r="AE1164" s="1" t="s">
        <v>3932</v>
      </c>
      <c r="AH1164" s="1" t="s">
        <v>73</v>
      </c>
      <c r="AK1164" s="1" t="s">
        <v>71</v>
      </c>
      <c r="AM1164" s="1" t="s">
        <v>71</v>
      </c>
      <c r="AN1164" s="1" t="s">
        <v>71</v>
      </c>
      <c r="AS1164" s="1" t="s">
        <v>71</v>
      </c>
      <c r="AX1164" s="1" t="s">
        <v>71</v>
      </c>
      <c r="BH1164" s="1" t="s">
        <v>71</v>
      </c>
    </row>
    <row r="1165" customFormat="false" ht="15" hidden="false" customHeight="false" outlineLevel="0" collapsed="false">
      <c r="A1165" s="1" t="s">
        <v>3935</v>
      </c>
      <c r="B1165" s="1" t="s">
        <v>3936</v>
      </c>
      <c r="C1165" s="1" t="s">
        <v>1090</v>
      </c>
      <c r="D1165" s="1" t="s">
        <v>3930</v>
      </c>
      <c r="E1165" s="1" t="s">
        <v>82</v>
      </c>
      <c r="F1165" s="1" t="s">
        <v>391</v>
      </c>
      <c r="G1165" s="1" t="s">
        <v>443</v>
      </c>
      <c r="H1165" s="1" t="s">
        <v>444</v>
      </c>
      <c r="K1165" s="1" t="s">
        <v>61</v>
      </c>
      <c r="L1165" s="1" t="s">
        <v>445</v>
      </c>
      <c r="M1165" s="1" t="s">
        <v>496</v>
      </c>
      <c r="N1165" s="1" t="s">
        <v>668</v>
      </c>
      <c r="O1165" s="1" t="s">
        <v>669</v>
      </c>
      <c r="P1165" s="1" t="s">
        <v>3931</v>
      </c>
      <c r="Z1165" s="1" t="s">
        <v>71</v>
      </c>
      <c r="AE1165" s="1" t="s">
        <v>3932</v>
      </c>
      <c r="AH1165" s="1" t="s">
        <v>73</v>
      </c>
      <c r="AK1165" s="1" t="s">
        <v>71</v>
      </c>
      <c r="AM1165" s="1" t="s">
        <v>71</v>
      </c>
      <c r="AN1165" s="1" t="s">
        <v>71</v>
      </c>
      <c r="AS1165" s="1" t="s">
        <v>71</v>
      </c>
      <c r="AX1165" s="1" t="s">
        <v>71</v>
      </c>
      <c r="BH1165" s="1" t="s">
        <v>71</v>
      </c>
    </row>
    <row r="1166" customFormat="false" ht="15" hidden="false" customHeight="false" outlineLevel="0" collapsed="false">
      <c r="A1166" s="1" t="s">
        <v>3937</v>
      </c>
      <c r="B1166" s="1" t="s">
        <v>3938</v>
      </c>
      <c r="C1166" s="1" t="s">
        <v>150</v>
      </c>
      <c r="D1166" s="1" t="s">
        <v>405</v>
      </c>
      <c r="E1166" s="1" t="s">
        <v>82</v>
      </c>
      <c r="F1166" s="1" t="s">
        <v>391</v>
      </c>
      <c r="G1166" s="1" t="s">
        <v>97</v>
      </c>
      <c r="H1166" s="1" t="s">
        <v>406</v>
      </c>
      <c r="K1166" s="1" t="s">
        <v>407</v>
      </c>
      <c r="L1166" s="1" t="s">
        <v>408</v>
      </c>
      <c r="M1166" s="1" t="s">
        <v>496</v>
      </c>
      <c r="N1166" s="1" t="s">
        <v>2302</v>
      </c>
      <c r="O1166" s="1" t="s">
        <v>2303</v>
      </c>
      <c r="P1166" s="1" t="s">
        <v>3939</v>
      </c>
      <c r="Z1166" s="1" t="s">
        <v>71</v>
      </c>
      <c r="AE1166" s="1" t="s">
        <v>3940</v>
      </c>
      <c r="AH1166" s="1" t="s">
        <v>73</v>
      </c>
      <c r="AK1166" s="1" t="s">
        <v>71</v>
      </c>
      <c r="AM1166" s="1" t="s">
        <v>71</v>
      </c>
      <c r="AN1166" s="1" t="s">
        <v>71</v>
      </c>
      <c r="AS1166" s="1" t="s">
        <v>71</v>
      </c>
      <c r="AX1166" s="1" t="s">
        <v>71</v>
      </c>
      <c r="BH1166" s="1" t="s">
        <v>71</v>
      </c>
    </row>
    <row r="1167" customFormat="false" ht="15" hidden="false" customHeight="false" outlineLevel="0" collapsed="false">
      <c r="A1167" s="1" t="s">
        <v>3941</v>
      </c>
      <c r="B1167" s="1" t="s">
        <v>3942</v>
      </c>
      <c r="C1167" s="1" t="s">
        <v>1070</v>
      </c>
      <c r="D1167" s="1" t="s">
        <v>3765</v>
      </c>
      <c r="E1167" s="1" t="s">
        <v>61</v>
      </c>
      <c r="F1167" s="1" t="s">
        <v>101</v>
      </c>
      <c r="G1167" s="1" t="s">
        <v>148</v>
      </c>
      <c r="H1167" s="1" t="s">
        <v>231</v>
      </c>
      <c r="K1167" s="1" t="s">
        <v>1335</v>
      </c>
      <c r="L1167" s="1" t="s">
        <v>1336</v>
      </c>
      <c r="M1167" s="1" t="s">
        <v>296</v>
      </c>
      <c r="N1167" s="1" t="s">
        <v>243</v>
      </c>
      <c r="O1167" s="1" t="s">
        <v>244</v>
      </c>
      <c r="P1167" s="1" t="s">
        <v>3503</v>
      </c>
      <c r="U1167" s="1" t="s">
        <v>3941</v>
      </c>
      <c r="Z1167" s="1" t="s">
        <v>71</v>
      </c>
      <c r="AE1167" s="1" t="s">
        <v>3943</v>
      </c>
      <c r="AH1167" s="1" t="s">
        <v>73</v>
      </c>
      <c r="AK1167" s="1" t="s">
        <v>71</v>
      </c>
      <c r="AM1167" s="1" t="s">
        <v>71</v>
      </c>
      <c r="AN1167" s="1" t="s">
        <v>71</v>
      </c>
      <c r="AS1167" s="1" t="s">
        <v>71</v>
      </c>
      <c r="AX1167" s="1" t="s">
        <v>71</v>
      </c>
      <c r="AY1167" s="1" t="s">
        <v>59</v>
      </c>
      <c r="AZ1167" s="1" t="s">
        <v>74</v>
      </c>
      <c r="BH1167" s="1" t="s">
        <v>71</v>
      </c>
    </row>
    <row r="1168" customFormat="false" ht="15" hidden="false" customHeight="false" outlineLevel="0" collapsed="false">
      <c r="A1168" s="1" t="s">
        <v>3944</v>
      </c>
      <c r="B1168" s="1" t="s">
        <v>3945</v>
      </c>
      <c r="C1168" s="1" t="s">
        <v>3946</v>
      </c>
      <c r="D1168" s="1" t="s">
        <v>3947</v>
      </c>
      <c r="E1168" s="1" t="s">
        <v>82</v>
      </c>
      <c r="F1168" s="1" t="s">
        <v>391</v>
      </c>
      <c r="G1168" s="1" t="s">
        <v>443</v>
      </c>
      <c r="H1168" s="1" t="s">
        <v>444</v>
      </c>
      <c r="K1168" s="1" t="s">
        <v>618</v>
      </c>
      <c r="L1168" s="1" t="s">
        <v>619</v>
      </c>
      <c r="M1168" s="1" t="s">
        <v>496</v>
      </c>
      <c r="N1168" s="1" t="s">
        <v>3948</v>
      </c>
      <c r="O1168" s="1" t="s">
        <v>2407</v>
      </c>
      <c r="P1168" s="1" t="s">
        <v>3949</v>
      </c>
      <c r="Z1168" s="1" t="s">
        <v>71</v>
      </c>
      <c r="AE1168" s="1" t="s">
        <v>3950</v>
      </c>
      <c r="AH1168" s="1" t="s">
        <v>73</v>
      </c>
      <c r="AK1168" s="1" t="s">
        <v>71</v>
      </c>
      <c r="AM1168" s="1" t="s">
        <v>71</v>
      </c>
      <c r="AN1168" s="1" t="s">
        <v>71</v>
      </c>
      <c r="AS1168" s="1" t="s">
        <v>71</v>
      </c>
      <c r="AX1168" s="1" t="s">
        <v>71</v>
      </c>
      <c r="BH1168" s="1" t="s">
        <v>71</v>
      </c>
    </row>
    <row r="1169" customFormat="false" ht="15" hidden="false" customHeight="false" outlineLevel="0" collapsed="false">
      <c r="A1169" s="1" t="s">
        <v>3951</v>
      </c>
      <c r="B1169" s="1" t="s">
        <v>3952</v>
      </c>
      <c r="C1169" s="1" t="s">
        <v>312</v>
      </c>
      <c r="D1169" s="1" t="s">
        <v>2073</v>
      </c>
      <c r="E1169" s="1" t="s">
        <v>82</v>
      </c>
      <c r="F1169" s="1" t="s">
        <v>391</v>
      </c>
      <c r="G1169" s="1" t="s">
        <v>97</v>
      </c>
      <c r="H1169" s="1" t="s">
        <v>406</v>
      </c>
      <c r="K1169" s="1" t="s">
        <v>59</v>
      </c>
      <c r="L1169" s="1" t="s">
        <v>791</v>
      </c>
      <c r="M1169" s="1" t="s">
        <v>496</v>
      </c>
      <c r="N1169" s="1" t="s">
        <v>3953</v>
      </c>
      <c r="O1169" s="1" t="s">
        <v>3954</v>
      </c>
      <c r="P1169" s="1" t="s">
        <v>3955</v>
      </c>
      <c r="Z1169" s="1" t="s">
        <v>71</v>
      </c>
      <c r="AE1169" s="1" t="s">
        <v>3956</v>
      </c>
      <c r="AH1169" s="1" t="s">
        <v>73</v>
      </c>
      <c r="AK1169" s="1" t="s">
        <v>71</v>
      </c>
      <c r="AM1169" s="1" t="s">
        <v>71</v>
      </c>
      <c r="AN1169" s="1" t="s">
        <v>71</v>
      </c>
      <c r="AS1169" s="1" t="s">
        <v>71</v>
      </c>
      <c r="AX1169" s="1" t="s">
        <v>71</v>
      </c>
      <c r="BH1169" s="1" t="s">
        <v>71</v>
      </c>
    </row>
    <row r="1170" customFormat="false" ht="15" hidden="false" customHeight="false" outlineLevel="0" collapsed="false">
      <c r="A1170" s="1" t="s">
        <v>3957</v>
      </c>
      <c r="B1170" s="1" t="s">
        <v>3958</v>
      </c>
      <c r="C1170" s="1" t="s">
        <v>1744</v>
      </c>
      <c r="D1170" s="1" t="s">
        <v>1745</v>
      </c>
      <c r="E1170" s="1" t="s">
        <v>82</v>
      </c>
      <c r="F1170" s="1" t="s">
        <v>391</v>
      </c>
      <c r="G1170" s="1" t="s">
        <v>213</v>
      </c>
      <c r="H1170" s="1" t="s">
        <v>477</v>
      </c>
      <c r="K1170" s="1" t="s">
        <v>1904</v>
      </c>
      <c r="L1170" s="1" t="s">
        <v>1905</v>
      </c>
      <c r="M1170" s="1" t="s">
        <v>465</v>
      </c>
      <c r="N1170" s="1" t="s">
        <v>483</v>
      </c>
      <c r="O1170" s="1" t="s">
        <v>400</v>
      </c>
      <c r="P1170" s="1" t="s">
        <v>3959</v>
      </c>
      <c r="Z1170" s="1" t="s">
        <v>71</v>
      </c>
      <c r="AE1170" s="1" t="s">
        <v>3956</v>
      </c>
      <c r="AH1170" s="1" t="s">
        <v>73</v>
      </c>
      <c r="AK1170" s="1" t="s">
        <v>71</v>
      </c>
      <c r="AM1170" s="1" t="s">
        <v>71</v>
      </c>
      <c r="AN1170" s="1" t="s">
        <v>71</v>
      </c>
      <c r="AS1170" s="1" t="s">
        <v>71</v>
      </c>
      <c r="AX1170" s="1" t="s">
        <v>71</v>
      </c>
      <c r="BH1170" s="1" t="s">
        <v>71</v>
      </c>
    </row>
    <row r="1171" customFormat="false" ht="15" hidden="false" customHeight="false" outlineLevel="0" collapsed="false">
      <c r="A1171" s="1" t="s">
        <v>3960</v>
      </c>
      <c r="B1171" s="1" t="s">
        <v>3961</v>
      </c>
      <c r="C1171" s="1" t="s">
        <v>1744</v>
      </c>
      <c r="D1171" s="1" t="s">
        <v>1745</v>
      </c>
      <c r="E1171" s="1" t="s">
        <v>82</v>
      </c>
      <c r="F1171" s="1" t="s">
        <v>391</v>
      </c>
      <c r="G1171" s="1" t="s">
        <v>213</v>
      </c>
      <c r="H1171" s="1" t="s">
        <v>477</v>
      </c>
      <c r="K1171" s="1" t="s">
        <v>1904</v>
      </c>
      <c r="L1171" s="1" t="s">
        <v>1905</v>
      </c>
      <c r="M1171" s="1" t="s">
        <v>465</v>
      </c>
      <c r="N1171" s="1" t="s">
        <v>884</v>
      </c>
      <c r="O1171" s="1" t="s">
        <v>447</v>
      </c>
      <c r="P1171" s="1" t="s">
        <v>3888</v>
      </c>
      <c r="Z1171" s="1" t="s">
        <v>71</v>
      </c>
      <c r="AE1171" s="1" t="s">
        <v>3956</v>
      </c>
      <c r="AH1171" s="1" t="s">
        <v>73</v>
      </c>
      <c r="AK1171" s="1" t="s">
        <v>71</v>
      </c>
      <c r="AM1171" s="1" t="s">
        <v>71</v>
      </c>
      <c r="AN1171" s="1" t="s">
        <v>71</v>
      </c>
      <c r="AS1171" s="1" t="s">
        <v>71</v>
      </c>
      <c r="AX1171" s="1" t="s">
        <v>71</v>
      </c>
      <c r="BH1171" s="1" t="s">
        <v>71</v>
      </c>
    </row>
    <row r="1172" customFormat="false" ht="15" hidden="false" customHeight="false" outlineLevel="0" collapsed="false">
      <c r="A1172" s="1" t="s">
        <v>3962</v>
      </c>
      <c r="B1172" s="1" t="s">
        <v>3963</v>
      </c>
      <c r="C1172" s="1" t="s">
        <v>1744</v>
      </c>
      <c r="D1172" s="1" t="s">
        <v>1745</v>
      </c>
      <c r="E1172" s="1" t="s">
        <v>82</v>
      </c>
      <c r="F1172" s="1" t="s">
        <v>391</v>
      </c>
      <c r="G1172" s="1" t="s">
        <v>213</v>
      </c>
      <c r="H1172" s="1" t="s">
        <v>477</v>
      </c>
      <c r="K1172" s="1" t="s">
        <v>1904</v>
      </c>
      <c r="L1172" s="1" t="s">
        <v>1905</v>
      </c>
      <c r="M1172" s="1" t="s">
        <v>465</v>
      </c>
      <c r="N1172" s="1" t="s">
        <v>3964</v>
      </c>
      <c r="O1172" s="1" t="s">
        <v>3965</v>
      </c>
      <c r="P1172" s="1" t="s">
        <v>3966</v>
      </c>
      <c r="Z1172" s="1" t="s">
        <v>71</v>
      </c>
      <c r="AE1172" s="1" t="s">
        <v>3956</v>
      </c>
      <c r="AH1172" s="1" t="s">
        <v>73</v>
      </c>
      <c r="AK1172" s="1" t="s">
        <v>71</v>
      </c>
      <c r="AM1172" s="1" t="s">
        <v>71</v>
      </c>
      <c r="AN1172" s="1" t="s">
        <v>71</v>
      </c>
      <c r="AS1172" s="1" t="s">
        <v>71</v>
      </c>
      <c r="AX1172" s="1" t="s">
        <v>71</v>
      </c>
      <c r="BH1172" s="1" t="s">
        <v>71</v>
      </c>
    </row>
    <row r="1173" customFormat="false" ht="15" hidden="false" customHeight="false" outlineLevel="0" collapsed="false">
      <c r="A1173" s="1" t="s">
        <v>3967</v>
      </c>
      <c r="B1173" s="1" t="s">
        <v>3968</v>
      </c>
      <c r="C1173" s="1" t="s">
        <v>1744</v>
      </c>
      <c r="D1173" s="1" t="s">
        <v>1745</v>
      </c>
      <c r="E1173" s="1" t="s">
        <v>82</v>
      </c>
      <c r="F1173" s="1" t="s">
        <v>391</v>
      </c>
      <c r="G1173" s="1" t="s">
        <v>213</v>
      </c>
      <c r="H1173" s="1" t="s">
        <v>477</v>
      </c>
      <c r="K1173" s="1" t="s">
        <v>1904</v>
      </c>
      <c r="L1173" s="1" t="s">
        <v>1905</v>
      </c>
      <c r="M1173" s="1" t="s">
        <v>465</v>
      </c>
      <c r="N1173" s="1" t="s">
        <v>446</v>
      </c>
      <c r="O1173" s="1" t="s">
        <v>447</v>
      </c>
      <c r="P1173" s="1" t="s">
        <v>3969</v>
      </c>
      <c r="Z1173" s="1" t="s">
        <v>71</v>
      </c>
      <c r="AE1173" s="1" t="s">
        <v>3956</v>
      </c>
      <c r="AH1173" s="1" t="s">
        <v>73</v>
      </c>
      <c r="AK1173" s="1" t="s">
        <v>71</v>
      </c>
      <c r="AM1173" s="1" t="s">
        <v>71</v>
      </c>
      <c r="AN1173" s="1" t="s">
        <v>71</v>
      </c>
      <c r="AS1173" s="1" t="s">
        <v>71</v>
      </c>
      <c r="AX1173" s="1" t="s">
        <v>71</v>
      </c>
      <c r="BH1173" s="1" t="s">
        <v>71</v>
      </c>
    </row>
    <row r="1174" customFormat="false" ht="15" hidden="false" customHeight="false" outlineLevel="0" collapsed="false">
      <c r="A1174" s="1" t="s">
        <v>3970</v>
      </c>
      <c r="B1174" s="1" t="s">
        <v>3971</v>
      </c>
      <c r="C1174" s="1" t="s">
        <v>1744</v>
      </c>
      <c r="D1174" s="1" t="s">
        <v>1745</v>
      </c>
      <c r="E1174" s="1" t="s">
        <v>82</v>
      </c>
      <c r="F1174" s="1" t="s">
        <v>391</v>
      </c>
      <c r="G1174" s="1" t="s">
        <v>213</v>
      </c>
      <c r="H1174" s="1" t="s">
        <v>477</v>
      </c>
      <c r="K1174" s="1" t="s">
        <v>1904</v>
      </c>
      <c r="L1174" s="1" t="s">
        <v>1905</v>
      </c>
      <c r="M1174" s="1" t="s">
        <v>465</v>
      </c>
      <c r="N1174" s="1" t="s">
        <v>2053</v>
      </c>
      <c r="O1174" s="1" t="s">
        <v>400</v>
      </c>
      <c r="P1174" s="1" t="s">
        <v>3972</v>
      </c>
      <c r="Z1174" s="1" t="s">
        <v>71</v>
      </c>
      <c r="AE1174" s="1" t="s">
        <v>3956</v>
      </c>
      <c r="AH1174" s="1" t="s">
        <v>73</v>
      </c>
      <c r="AK1174" s="1" t="s">
        <v>71</v>
      </c>
      <c r="AM1174" s="1" t="s">
        <v>71</v>
      </c>
      <c r="AN1174" s="1" t="s">
        <v>71</v>
      </c>
      <c r="AS1174" s="1" t="s">
        <v>71</v>
      </c>
      <c r="AX1174" s="1" t="s">
        <v>71</v>
      </c>
      <c r="BH1174" s="1" t="s">
        <v>71</v>
      </c>
    </row>
    <row r="1175" customFormat="false" ht="15" hidden="false" customHeight="false" outlineLevel="0" collapsed="false">
      <c r="A1175" s="1" t="s">
        <v>3973</v>
      </c>
      <c r="B1175" s="1" t="s">
        <v>3974</v>
      </c>
      <c r="C1175" s="1" t="s">
        <v>142</v>
      </c>
      <c r="D1175" s="1" t="s">
        <v>1102</v>
      </c>
      <c r="E1175" s="1" t="s">
        <v>82</v>
      </c>
      <c r="F1175" s="1" t="s">
        <v>391</v>
      </c>
      <c r="G1175" s="1" t="s">
        <v>443</v>
      </c>
      <c r="H1175" s="1" t="s">
        <v>444</v>
      </c>
      <c r="K1175" s="1" t="s">
        <v>61</v>
      </c>
      <c r="L1175" s="1" t="s">
        <v>445</v>
      </c>
      <c r="M1175" s="1" t="s">
        <v>496</v>
      </c>
      <c r="N1175" s="1" t="s">
        <v>1727</v>
      </c>
      <c r="O1175" s="1" t="s">
        <v>1728</v>
      </c>
      <c r="P1175" s="1" t="s">
        <v>3975</v>
      </c>
      <c r="Z1175" s="1" t="s">
        <v>71</v>
      </c>
      <c r="AE1175" s="1" t="s">
        <v>3976</v>
      </c>
      <c r="AH1175" s="1" t="s">
        <v>73</v>
      </c>
      <c r="AK1175" s="1" t="s">
        <v>71</v>
      </c>
      <c r="AM1175" s="1" t="s">
        <v>71</v>
      </c>
      <c r="AN1175" s="1" t="s">
        <v>71</v>
      </c>
      <c r="AS1175" s="1" t="s">
        <v>71</v>
      </c>
      <c r="AX1175" s="1" t="s">
        <v>71</v>
      </c>
      <c r="BH1175" s="1" t="s">
        <v>71</v>
      </c>
    </row>
    <row r="1176" customFormat="false" ht="15" hidden="false" customHeight="false" outlineLevel="0" collapsed="false">
      <c r="A1176" s="1" t="s">
        <v>3977</v>
      </c>
      <c r="B1176" s="1" t="s">
        <v>3978</v>
      </c>
      <c r="C1176" s="1" t="s">
        <v>1744</v>
      </c>
      <c r="D1176" s="1" t="s">
        <v>1745</v>
      </c>
      <c r="E1176" s="1" t="s">
        <v>82</v>
      </c>
      <c r="F1176" s="1" t="s">
        <v>391</v>
      </c>
      <c r="G1176" s="1" t="s">
        <v>213</v>
      </c>
      <c r="H1176" s="1" t="s">
        <v>477</v>
      </c>
      <c r="K1176" s="1" t="s">
        <v>1904</v>
      </c>
      <c r="L1176" s="1" t="s">
        <v>1905</v>
      </c>
      <c r="M1176" s="1" t="s">
        <v>465</v>
      </c>
      <c r="N1176" s="1" t="s">
        <v>639</v>
      </c>
      <c r="O1176" s="1" t="s">
        <v>640</v>
      </c>
      <c r="P1176" s="1" t="s">
        <v>3979</v>
      </c>
      <c r="Z1176" s="1" t="s">
        <v>71</v>
      </c>
      <c r="AE1176" s="1" t="s">
        <v>3976</v>
      </c>
      <c r="AH1176" s="1" t="s">
        <v>73</v>
      </c>
      <c r="AK1176" s="1" t="s">
        <v>71</v>
      </c>
      <c r="AM1176" s="1" t="s">
        <v>71</v>
      </c>
      <c r="AN1176" s="1" t="s">
        <v>71</v>
      </c>
      <c r="AS1176" s="1" t="s">
        <v>71</v>
      </c>
      <c r="AX1176" s="1" t="s">
        <v>71</v>
      </c>
      <c r="BH1176" s="1" t="s">
        <v>71</v>
      </c>
    </row>
    <row r="1177" customFormat="false" ht="15" hidden="false" customHeight="false" outlineLevel="0" collapsed="false">
      <c r="A1177" s="1" t="s">
        <v>3980</v>
      </c>
      <c r="B1177" s="1" t="s">
        <v>3981</v>
      </c>
      <c r="C1177" s="1" t="s">
        <v>1744</v>
      </c>
      <c r="D1177" s="1" t="s">
        <v>1745</v>
      </c>
      <c r="E1177" s="1" t="s">
        <v>82</v>
      </c>
      <c r="F1177" s="1" t="s">
        <v>391</v>
      </c>
      <c r="G1177" s="1" t="s">
        <v>213</v>
      </c>
      <c r="H1177" s="1" t="s">
        <v>477</v>
      </c>
      <c r="K1177" s="1" t="s">
        <v>1904</v>
      </c>
      <c r="L1177" s="1" t="s">
        <v>1905</v>
      </c>
      <c r="M1177" s="1" t="s">
        <v>465</v>
      </c>
      <c r="N1177" s="1" t="s">
        <v>3982</v>
      </c>
      <c r="O1177" s="1" t="s">
        <v>447</v>
      </c>
      <c r="P1177" s="1" t="s">
        <v>3983</v>
      </c>
      <c r="Z1177" s="1" t="s">
        <v>71</v>
      </c>
      <c r="AE1177" s="1" t="s">
        <v>3976</v>
      </c>
      <c r="AH1177" s="1" t="s">
        <v>73</v>
      </c>
      <c r="AK1177" s="1" t="s">
        <v>71</v>
      </c>
      <c r="AM1177" s="1" t="s">
        <v>71</v>
      </c>
      <c r="AN1177" s="1" t="s">
        <v>71</v>
      </c>
      <c r="AS1177" s="1" t="s">
        <v>71</v>
      </c>
      <c r="AX1177" s="1" t="s">
        <v>71</v>
      </c>
      <c r="BH1177" s="1" t="s">
        <v>71</v>
      </c>
    </row>
    <row r="1178" customFormat="false" ht="15" hidden="false" customHeight="false" outlineLevel="0" collapsed="false">
      <c r="A1178" s="1" t="s">
        <v>3984</v>
      </c>
      <c r="B1178" s="1" t="s">
        <v>3985</v>
      </c>
      <c r="C1178" s="1" t="s">
        <v>1110</v>
      </c>
      <c r="D1178" s="1" t="s">
        <v>3986</v>
      </c>
      <c r="E1178" s="1" t="s">
        <v>82</v>
      </c>
      <c r="F1178" s="1" t="s">
        <v>391</v>
      </c>
      <c r="G1178" s="1" t="s">
        <v>443</v>
      </c>
      <c r="H1178" s="1" t="s">
        <v>444</v>
      </c>
      <c r="K1178" s="1" t="s">
        <v>61</v>
      </c>
      <c r="L1178" s="1" t="s">
        <v>445</v>
      </c>
      <c r="M1178" s="1" t="s">
        <v>2020</v>
      </c>
      <c r="N1178" s="1" t="s">
        <v>3987</v>
      </c>
      <c r="O1178" s="1" t="s">
        <v>3988</v>
      </c>
      <c r="P1178" s="1" t="s">
        <v>3989</v>
      </c>
      <c r="Z1178" s="1" t="s">
        <v>71</v>
      </c>
      <c r="AE1178" s="1" t="s">
        <v>3976</v>
      </c>
      <c r="AH1178" s="1" t="s">
        <v>73</v>
      </c>
      <c r="AK1178" s="1" t="s">
        <v>71</v>
      </c>
      <c r="AM1178" s="1" t="s">
        <v>71</v>
      </c>
      <c r="AN1178" s="1" t="s">
        <v>71</v>
      </c>
      <c r="AS1178" s="1" t="s">
        <v>71</v>
      </c>
      <c r="AX1178" s="1" t="s">
        <v>71</v>
      </c>
      <c r="BH1178" s="1" t="s">
        <v>71</v>
      </c>
    </row>
    <row r="1179" customFormat="false" ht="15" hidden="false" customHeight="false" outlineLevel="0" collapsed="false">
      <c r="A1179" s="1" t="s">
        <v>3990</v>
      </c>
      <c r="B1179" s="1" t="s">
        <v>3991</v>
      </c>
      <c r="C1179" s="1" t="s">
        <v>1070</v>
      </c>
      <c r="D1179" s="1" t="s">
        <v>3765</v>
      </c>
      <c r="E1179" s="1" t="s">
        <v>61</v>
      </c>
      <c r="F1179" s="1" t="s">
        <v>101</v>
      </c>
      <c r="G1179" s="1" t="s">
        <v>177</v>
      </c>
      <c r="H1179" s="1" t="s">
        <v>255</v>
      </c>
      <c r="K1179" s="1" t="s">
        <v>134</v>
      </c>
      <c r="L1179" s="1" t="s">
        <v>268</v>
      </c>
      <c r="M1179" s="1" t="s">
        <v>242</v>
      </c>
      <c r="N1179" s="1" t="s">
        <v>259</v>
      </c>
      <c r="O1179" s="1" t="s">
        <v>260</v>
      </c>
      <c r="P1179" s="1" t="s">
        <v>3768</v>
      </c>
      <c r="U1179" s="1" t="s">
        <v>3990</v>
      </c>
      <c r="Z1179" s="1" t="s">
        <v>71</v>
      </c>
      <c r="AE1179" s="1" t="s">
        <v>3976</v>
      </c>
      <c r="AH1179" s="1" t="s">
        <v>73</v>
      </c>
      <c r="AK1179" s="1" t="s">
        <v>71</v>
      </c>
      <c r="AM1179" s="1" t="s">
        <v>71</v>
      </c>
      <c r="AN1179" s="1" t="s">
        <v>71</v>
      </c>
      <c r="AS1179" s="1" t="s">
        <v>71</v>
      </c>
      <c r="AX1179" s="1" t="s">
        <v>71</v>
      </c>
      <c r="AY1179" s="1" t="s">
        <v>59</v>
      </c>
      <c r="AZ1179" s="1" t="s">
        <v>74</v>
      </c>
      <c r="BH1179" s="1" t="s">
        <v>71</v>
      </c>
    </row>
    <row r="1180" customFormat="false" ht="15" hidden="false" customHeight="false" outlineLevel="0" collapsed="false">
      <c r="A1180" s="1" t="s">
        <v>3992</v>
      </c>
      <c r="B1180" s="1" t="s">
        <v>3993</v>
      </c>
      <c r="C1180" s="1" t="s">
        <v>1412</v>
      </c>
      <c r="D1180" s="1" t="s">
        <v>1413</v>
      </c>
      <c r="E1180" s="1" t="s">
        <v>61</v>
      </c>
      <c r="F1180" s="1" t="s">
        <v>101</v>
      </c>
      <c r="G1180" s="1" t="s">
        <v>177</v>
      </c>
      <c r="H1180" s="1" t="s">
        <v>255</v>
      </c>
      <c r="K1180" s="1" t="s">
        <v>134</v>
      </c>
      <c r="L1180" s="1" t="s">
        <v>268</v>
      </c>
      <c r="M1180" s="1" t="s">
        <v>278</v>
      </c>
      <c r="N1180" s="1" t="s">
        <v>259</v>
      </c>
      <c r="O1180" s="1" t="s">
        <v>260</v>
      </c>
      <c r="P1180" s="1" t="s">
        <v>3768</v>
      </c>
      <c r="U1180" s="1" t="s">
        <v>3992</v>
      </c>
      <c r="Z1180" s="1" t="s">
        <v>71</v>
      </c>
      <c r="AE1180" s="1" t="s">
        <v>3976</v>
      </c>
      <c r="AH1180" s="1" t="s">
        <v>73</v>
      </c>
      <c r="AK1180" s="1" t="s">
        <v>71</v>
      </c>
      <c r="AM1180" s="1" t="s">
        <v>71</v>
      </c>
      <c r="AN1180" s="1" t="s">
        <v>71</v>
      </c>
      <c r="AS1180" s="1" t="s">
        <v>71</v>
      </c>
      <c r="AX1180" s="1" t="s">
        <v>71</v>
      </c>
      <c r="AY1180" s="1" t="s">
        <v>59</v>
      </c>
      <c r="AZ1180" s="1" t="s">
        <v>74</v>
      </c>
      <c r="BH1180" s="1" t="s">
        <v>71</v>
      </c>
    </row>
    <row r="1181" customFormat="false" ht="15" hidden="false" customHeight="false" outlineLevel="0" collapsed="false">
      <c r="A1181" s="1" t="s">
        <v>3994</v>
      </c>
      <c r="B1181" s="1" t="s">
        <v>3995</v>
      </c>
      <c r="C1181" s="1" t="s">
        <v>1412</v>
      </c>
      <c r="D1181" s="1" t="s">
        <v>1413</v>
      </c>
      <c r="E1181" s="1" t="s">
        <v>61</v>
      </c>
      <c r="F1181" s="1" t="s">
        <v>101</v>
      </c>
      <c r="G1181" s="1" t="s">
        <v>177</v>
      </c>
      <c r="H1181" s="1" t="s">
        <v>255</v>
      </c>
      <c r="K1181" s="1" t="s">
        <v>134</v>
      </c>
      <c r="L1181" s="1" t="s">
        <v>268</v>
      </c>
      <c r="M1181" s="1" t="s">
        <v>278</v>
      </c>
      <c r="N1181" s="1" t="s">
        <v>259</v>
      </c>
      <c r="O1181" s="1" t="s">
        <v>260</v>
      </c>
      <c r="P1181" s="1" t="s">
        <v>3768</v>
      </c>
      <c r="U1181" s="1" t="s">
        <v>3994</v>
      </c>
      <c r="Z1181" s="1" t="s">
        <v>71</v>
      </c>
      <c r="AE1181" s="1" t="s">
        <v>3976</v>
      </c>
      <c r="AH1181" s="1" t="s">
        <v>73</v>
      </c>
      <c r="AK1181" s="1" t="s">
        <v>71</v>
      </c>
      <c r="AM1181" s="1" t="s">
        <v>71</v>
      </c>
      <c r="AN1181" s="1" t="s">
        <v>71</v>
      </c>
      <c r="AS1181" s="1" t="s">
        <v>71</v>
      </c>
      <c r="AX1181" s="1" t="s">
        <v>71</v>
      </c>
      <c r="AY1181" s="1" t="s">
        <v>59</v>
      </c>
      <c r="AZ1181" s="1" t="s">
        <v>74</v>
      </c>
      <c r="BH1181" s="1" t="s">
        <v>71</v>
      </c>
    </row>
    <row r="1182" customFormat="false" ht="15" hidden="false" customHeight="false" outlineLevel="0" collapsed="false">
      <c r="A1182" s="1" t="s">
        <v>3996</v>
      </c>
      <c r="B1182" s="1" t="s">
        <v>3997</v>
      </c>
      <c r="C1182" s="1" t="s">
        <v>811</v>
      </c>
      <c r="D1182" s="1" t="s">
        <v>2631</v>
      </c>
      <c r="E1182" s="1" t="s">
        <v>82</v>
      </c>
      <c r="F1182" s="1" t="s">
        <v>391</v>
      </c>
      <c r="G1182" s="1" t="s">
        <v>213</v>
      </c>
      <c r="H1182" s="1" t="s">
        <v>477</v>
      </c>
      <c r="K1182" s="1" t="s">
        <v>478</v>
      </c>
      <c r="L1182" s="1" t="s">
        <v>479</v>
      </c>
      <c r="M1182" s="1" t="s">
        <v>496</v>
      </c>
      <c r="N1182" s="1" t="s">
        <v>680</v>
      </c>
      <c r="O1182" s="1" t="s">
        <v>681</v>
      </c>
      <c r="P1182" s="1" t="s">
        <v>3998</v>
      </c>
      <c r="Z1182" s="1" t="s">
        <v>71</v>
      </c>
      <c r="AE1182" s="1" t="s">
        <v>3999</v>
      </c>
      <c r="AH1182" s="1" t="s">
        <v>73</v>
      </c>
      <c r="AK1182" s="1" t="s">
        <v>71</v>
      </c>
      <c r="AM1182" s="1" t="s">
        <v>71</v>
      </c>
      <c r="AN1182" s="1" t="s">
        <v>71</v>
      </c>
      <c r="AS1182" s="1" t="s">
        <v>71</v>
      </c>
      <c r="AX1182" s="1" t="s">
        <v>71</v>
      </c>
      <c r="BH1182" s="1" t="s">
        <v>71</v>
      </c>
    </row>
    <row r="1183" customFormat="false" ht="15" hidden="false" customHeight="false" outlineLevel="0" collapsed="false">
      <c r="A1183" s="1" t="s">
        <v>4000</v>
      </c>
      <c r="B1183" s="1" t="s">
        <v>4001</v>
      </c>
      <c r="C1183" s="1" t="s">
        <v>811</v>
      </c>
      <c r="D1183" s="1" t="s">
        <v>2631</v>
      </c>
      <c r="E1183" s="1" t="s">
        <v>82</v>
      </c>
      <c r="F1183" s="1" t="s">
        <v>391</v>
      </c>
      <c r="G1183" s="1" t="s">
        <v>213</v>
      </c>
      <c r="H1183" s="1" t="s">
        <v>477</v>
      </c>
      <c r="K1183" s="1" t="s">
        <v>478</v>
      </c>
      <c r="L1183" s="1" t="s">
        <v>479</v>
      </c>
      <c r="M1183" s="1" t="s">
        <v>496</v>
      </c>
      <c r="N1183" s="1" t="s">
        <v>536</v>
      </c>
      <c r="O1183" s="1" t="s">
        <v>537</v>
      </c>
      <c r="P1183" s="1" t="s">
        <v>3884</v>
      </c>
      <c r="Z1183" s="1" t="s">
        <v>71</v>
      </c>
      <c r="AE1183" s="1" t="s">
        <v>3999</v>
      </c>
      <c r="AH1183" s="1" t="s">
        <v>73</v>
      </c>
      <c r="AK1183" s="1" t="s">
        <v>71</v>
      </c>
      <c r="AM1183" s="1" t="s">
        <v>71</v>
      </c>
      <c r="AN1183" s="1" t="s">
        <v>71</v>
      </c>
      <c r="AS1183" s="1" t="s">
        <v>71</v>
      </c>
      <c r="AX1183" s="1" t="s">
        <v>71</v>
      </c>
      <c r="BH1183" s="1" t="s">
        <v>71</v>
      </c>
    </row>
    <row r="1184" customFormat="false" ht="15" hidden="false" customHeight="false" outlineLevel="0" collapsed="false">
      <c r="A1184" s="1" t="s">
        <v>4002</v>
      </c>
      <c r="B1184" s="1" t="s">
        <v>4003</v>
      </c>
      <c r="C1184" s="1" t="s">
        <v>811</v>
      </c>
      <c r="D1184" s="1" t="s">
        <v>2631</v>
      </c>
      <c r="E1184" s="1" t="s">
        <v>82</v>
      </c>
      <c r="F1184" s="1" t="s">
        <v>391</v>
      </c>
      <c r="G1184" s="1" t="s">
        <v>213</v>
      </c>
      <c r="H1184" s="1" t="s">
        <v>477</v>
      </c>
      <c r="K1184" s="1" t="s">
        <v>478</v>
      </c>
      <c r="L1184" s="1" t="s">
        <v>479</v>
      </c>
      <c r="M1184" s="1" t="s">
        <v>496</v>
      </c>
      <c r="N1184" s="1" t="s">
        <v>2053</v>
      </c>
      <c r="O1184" s="1" t="s">
        <v>400</v>
      </c>
      <c r="P1184" s="1" t="s">
        <v>3972</v>
      </c>
      <c r="Z1184" s="1" t="s">
        <v>71</v>
      </c>
      <c r="AE1184" s="1" t="s">
        <v>3999</v>
      </c>
      <c r="AH1184" s="1" t="s">
        <v>73</v>
      </c>
      <c r="AK1184" s="1" t="s">
        <v>71</v>
      </c>
      <c r="AM1184" s="1" t="s">
        <v>71</v>
      </c>
      <c r="AN1184" s="1" t="s">
        <v>71</v>
      </c>
      <c r="AS1184" s="1" t="s">
        <v>71</v>
      </c>
      <c r="AX1184" s="1" t="s">
        <v>71</v>
      </c>
      <c r="BH1184" s="1" t="s">
        <v>71</v>
      </c>
    </row>
    <row r="1185" customFormat="false" ht="15" hidden="false" customHeight="false" outlineLevel="0" collapsed="false">
      <c r="A1185" s="1" t="s">
        <v>4004</v>
      </c>
      <c r="B1185" s="1" t="s">
        <v>4005</v>
      </c>
      <c r="C1185" s="1" t="s">
        <v>528</v>
      </c>
      <c r="D1185" s="1" t="s">
        <v>1274</v>
      </c>
      <c r="E1185" s="1" t="s">
        <v>82</v>
      </c>
      <c r="F1185" s="1" t="s">
        <v>391</v>
      </c>
      <c r="G1185" s="1" t="s">
        <v>443</v>
      </c>
      <c r="H1185" s="1" t="s">
        <v>444</v>
      </c>
      <c r="K1185" s="1" t="s">
        <v>618</v>
      </c>
      <c r="L1185" s="1" t="s">
        <v>619</v>
      </c>
      <c r="M1185" s="1" t="s">
        <v>806</v>
      </c>
      <c r="N1185" s="1" t="s">
        <v>2118</v>
      </c>
      <c r="O1185" s="1" t="s">
        <v>2119</v>
      </c>
      <c r="P1185" s="1" t="s">
        <v>3627</v>
      </c>
      <c r="Z1185" s="1" t="s">
        <v>71</v>
      </c>
      <c r="AE1185" s="1" t="s">
        <v>4006</v>
      </c>
      <c r="AH1185" s="1" t="s">
        <v>73</v>
      </c>
      <c r="AK1185" s="1" t="s">
        <v>71</v>
      </c>
      <c r="AM1185" s="1" t="s">
        <v>71</v>
      </c>
      <c r="AN1185" s="1" t="s">
        <v>71</v>
      </c>
      <c r="AS1185" s="1" t="s">
        <v>71</v>
      </c>
      <c r="AX1185" s="1" t="s">
        <v>71</v>
      </c>
      <c r="BH1185" s="1" t="s">
        <v>71</v>
      </c>
    </row>
    <row r="1186" customFormat="false" ht="15" hidden="false" customHeight="false" outlineLevel="0" collapsed="false">
      <c r="A1186" s="1" t="s">
        <v>4007</v>
      </c>
      <c r="B1186" s="1" t="s">
        <v>4008</v>
      </c>
      <c r="C1186" s="1" t="s">
        <v>1100</v>
      </c>
      <c r="D1186" s="1" t="s">
        <v>4009</v>
      </c>
      <c r="E1186" s="1" t="s">
        <v>82</v>
      </c>
      <c r="F1186" s="1" t="s">
        <v>391</v>
      </c>
      <c r="G1186" s="1" t="s">
        <v>213</v>
      </c>
      <c r="H1186" s="1" t="s">
        <v>477</v>
      </c>
      <c r="K1186" s="1" t="s">
        <v>478</v>
      </c>
      <c r="L1186" s="1" t="s">
        <v>479</v>
      </c>
      <c r="M1186" s="1" t="s">
        <v>2020</v>
      </c>
      <c r="N1186" s="1" t="s">
        <v>2021</v>
      </c>
      <c r="O1186" s="1" t="s">
        <v>400</v>
      </c>
      <c r="P1186" s="1" t="s">
        <v>3588</v>
      </c>
      <c r="Z1186" s="1" t="s">
        <v>71</v>
      </c>
      <c r="AE1186" s="1" t="s">
        <v>4006</v>
      </c>
      <c r="AH1186" s="1" t="s">
        <v>73</v>
      </c>
      <c r="AK1186" s="1" t="s">
        <v>71</v>
      </c>
      <c r="AM1186" s="1" t="s">
        <v>71</v>
      </c>
      <c r="AN1186" s="1" t="s">
        <v>71</v>
      </c>
      <c r="AS1186" s="1" t="s">
        <v>71</v>
      </c>
      <c r="AX1186" s="1" t="s">
        <v>71</v>
      </c>
      <c r="BH1186" s="1" t="s">
        <v>71</v>
      </c>
    </row>
    <row r="1187" customFormat="false" ht="15" hidden="false" customHeight="false" outlineLevel="0" collapsed="false">
      <c r="A1187" s="1" t="s">
        <v>4010</v>
      </c>
      <c r="B1187" s="1" t="s">
        <v>4011</v>
      </c>
      <c r="C1187" s="1" t="s">
        <v>528</v>
      </c>
      <c r="D1187" s="1" t="s">
        <v>1274</v>
      </c>
      <c r="E1187" s="1" t="s">
        <v>82</v>
      </c>
      <c r="F1187" s="1" t="s">
        <v>391</v>
      </c>
      <c r="G1187" s="1" t="s">
        <v>443</v>
      </c>
      <c r="H1187" s="1" t="s">
        <v>444</v>
      </c>
      <c r="K1187" s="1" t="s">
        <v>618</v>
      </c>
      <c r="L1187" s="1" t="s">
        <v>619</v>
      </c>
      <c r="M1187" s="1" t="s">
        <v>496</v>
      </c>
      <c r="N1187" s="1" t="s">
        <v>842</v>
      </c>
      <c r="O1187" s="1" t="s">
        <v>400</v>
      </c>
      <c r="P1187" s="1" t="s">
        <v>3677</v>
      </c>
      <c r="Z1187" s="1" t="s">
        <v>71</v>
      </c>
      <c r="AE1187" s="1" t="s">
        <v>4006</v>
      </c>
      <c r="AH1187" s="1" t="s">
        <v>73</v>
      </c>
      <c r="AK1187" s="1" t="s">
        <v>71</v>
      </c>
      <c r="AM1187" s="1" t="s">
        <v>71</v>
      </c>
      <c r="AN1187" s="1" t="s">
        <v>71</v>
      </c>
      <c r="AS1187" s="1" t="s">
        <v>71</v>
      </c>
      <c r="AX1187" s="1" t="s">
        <v>71</v>
      </c>
      <c r="BH1187" s="1" t="s">
        <v>71</v>
      </c>
    </row>
    <row r="1188" customFormat="false" ht="15" hidden="false" customHeight="false" outlineLevel="0" collapsed="false">
      <c r="A1188" s="1" t="s">
        <v>4012</v>
      </c>
      <c r="B1188" s="1" t="s">
        <v>4013</v>
      </c>
      <c r="C1188" s="1" t="s">
        <v>528</v>
      </c>
      <c r="D1188" s="1" t="s">
        <v>1274</v>
      </c>
      <c r="E1188" s="1" t="s">
        <v>82</v>
      </c>
      <c r="F1188" s="1" t="s">
        <v>391</v>
      </c>
      <c r="G1188" s="1" t="s">
        <v>443</v>
      </c>
      <c r="H1188" s="1" t="s">
        <v>444</v>
      </c>
      <c r="K1188" s="1" t="s">
        <v>618</v>
      </c>
      <c r="L1188" s="1" t="s">
        <v>619</v>
      </c>
      <c r="M1188" s="1" t="s">
        <v>496</v>
      </c>
      <c r="N1188" s="1" t="s">
        <v>842</v>
      </c>
      <c r="O1188" s="1" t="s">
        <v>400</v>
      </c>
      <c r="P1188" s="1" t="s">
        <v>3677</v>
      </c>
      <c r="Z1188" s="1" t="s">
        <v>71</v>
      </c>
      <c r="AE1188" s="1" t="s">
        <v>4006</v>
      </c>
      <c r="AH1188" s="1" t="s">
        <v>73</v>
      </c>
      <c r="AK1188" s="1" t="s">
        <v>71</v>
      </c>
      <c r="AM1188" s="1" t="s">
        <v>71</v>
      </c>
      <c r="AN1188" s="1" t="s">
        <v>71</v>
      </c>
      <c r="AS1188" s="1" t="s">
        <v>71</v>
      </c>
      <c r="AX1188" s="1" t="s">
        <v>71</v>
      </c>
      <c r="BH1188" s="1" t="s">
        <v>71</v>
      </c>
    </row>
    <row r="1189" customFormat="false" ht="15" hidden="false" customHeight="false" outlineLevel="0" collapsed="false">
      <c r="A1189" s="1" t="s">
        <v>4014</v>
      </c>
      <c r="B1189" s="1" t="s">
        <v>4015</v>
      </c>
      <c r="C1189" s="1" t="s">
        <v>528</v>
      </c>
      <c r="D1189" s="1" t="s">
        <v>1274</v>
      </c>
      <c r="E1189" s="1" t="s">
        <v>82</v>
      </c>
      <c r="F1189" s="1" t="s">
        <v>391</v>
      </c>
      <c r="G1189" s="1" t="s">
        <v>443</v>
      </c>
      <c r="H1189" s="1" t="s">
        <v>444</v>
      </c>
      <c r="K1189" s="1" t="s">
        <v>618</v>
      </c>
      <c r="L1189" s="1" t="s">
        <v>619</v>
      </c>
      <c r="M1189" s="1" t="s">
        <v>496</v>
      </c>
      <c r="N1189" s="1" t="s">
        <v>4016</v>
      </c>
      <c r="O1189" s="1" t="s">
        <v>4017</v>
      </c>
      <c r="P1189" s="1" t="s">
        <v>4018</v>
      </c>
      <c r="Z1189" s="1" t="s">
        <v>71</v>
      </c>
      <c r="AE1189" s="1" t="s">
        <v>4006</v>
      </c>
      <c r="AH1189" s="1" t="s">
        <v>73</v>
      </c>
      <c r="AK1189" s="1" t="s">
        <v>71</v>
      </c>
      <c r="AM1189" s="1" t="s">
        <v>71</v>
      </c>
      <c r="AN1189" s="1" t="s">
        <v>71</v>
      </c>
      <c r="AS1189" s="1" t="s">
        <v>71</v>
      </c>
      <c r="AX1189" s="1" t="s">
        <v>71</v>
      </c>
      <c r="BH1189" s="1" t="s">
        <v>71</v>
      </c>
    </row>
    <row r="1190" customFormat="false" ht="15" hidden="false" customHeight="false" outlineLevel="0" collapsed="false">
      <c r="A1190" s="1" t="s">
        <v>4019</v>
      </c>
      <c r="B1190" s="1" t="s">
        <v>4020</v>
      </c>
      <c r="C1190" s="1" t="s">
        <v>3521</v>
      </c>
      <c r="D1190" s="1" t="s">
        <v>3522</v>
      </c>
      <c r="E1190" s="1" t="s">
        <v>82</v>
      </c>
      <c r="F1190" s="1" t="s">
        <v>391</v>
      </c>
      <c r="G1190" s="1" t="s">
        <v>213</v>
      </c>
      <c r="H1190" s="1" t="s">
        <v>477</v>
      </c>
      <c r="K1190" s="1" t="s">
        <v>478</v>
      </c>
      <c r="L1190" s="1" t="s">
        <v>479</v>
      </c>
      <c r="M1190" s="1" t="s">
        <v>496</v>
      </c>
      <c r="N1190" s="1" t="s">
        <v>3721</v>
      </c>
      <c r="O1190" s="1" t="s">
        <v>447</v>
      </c>
      <c r="P1190" s="1" t="s">
        <v>3722</v>
      </c>
      <c r="Z1190" s="1" t="s">
        <v>71</v>
      </c>
      <c r="AE1190" s="1" t="s">
        <v>4021</v>
      </c>
      <c r="AH1190" s="1" t="s">
        <v>73</v>
      </c>
      <c r="AK1190" s="1" t="s">
        <v>71</v>
      </c>
      <c r="AM1190" s="1" t="s">
        <v>71</v>
      </c>
      <c r="AN1190" s="1" t="s">
        <v>71</v>
      </c>
      <c r="AS1190" s="1" t="s">
        <v>71</v>
      </c>
      <c r="AX1190" s="1" t="s">
        <v>71</v>
      </c>
      <c r="BH1190" s="1" t="s">
        <v>71</v>
      </c>
    </row>
    <row r="1191" customFormat="false" ht="15" hidden="false" customHeight="false" outlineLevel="0" collapsed="false">
      <c r="A1191" s="1" t="s">
        <v>4022</v>
      </c>
      <c r="B1191" s="1" t="s">
        <v>4023</v>
      </c>
      <c r="C1191" s="1" t="s">
        <v>3521</v>
      </c>
      <c r="D1191" s="1" t="s">
        <v>3522</v>
      </c>
      <c r="E1191" s="1" t="s">
        <v>82</v>
      </c>
      <c r="F1191" s="1" t="s">
        <v>391</v>
      </c>
      <c r="G1191" s="1" t="s">
        <v>213</v>
      </c>
      <c r="H1191" s="1" t="s">
        <v>477</v>
      </c>
      <c r="K1191" s="1" t="s">
        <v>478</v>
      </c>
      <c r="L1191" s="1" t="s">
        <v>479</v>
      </c>
      <c r="M1191" s="1" t="s">
        <v>496</v>
      </c>
      <c r="N1191" s="1" t="s">
        <v>4024</v>
      </c>
      <c r="O1191" s="1" t="s">
        <v>4025</v>
      </c>
      <c r="P1191" s="1" t="s">
        <v>4026</v>
      </c>
      <c r="Z1191" s="1" t="s">
        <v>71</v>
      </c>
      <c r="AE1191" s="1" t="s">
        <v>4021</v>
      </c>
      <c r="AH1191" s="1" t="s">
        <v>73</v>
      </c>
      <c r="AK1191" s="1" t="s">
        <v>71</v>
      </c>
      <c r="AM1191" s="1" t="s">
        <v>71</v>
      </c>
      <c r="AN1191" s="1" t="s">
        <v>71</v>
      </c>
      <c r="AS1191" s="1" t="s">
        <v>71</v>
      </c>
      <c r="AX1191" s="1" t="s">
        <v>71</v>
      </c>
      <c r="BH1191" s="1" t="s">
        <v>71</v>
      </c>
    </row>
    <row r="1192" customFormat="false" ht="15" hidden="false" customHeight="false" outlineLevel="0" collapsed="false">
      <c r="A1192" s="1" t="s">
        <v>4027</v>
      </c>
      <c r="B1192" s="1" t="s">
        <v>4028</v>
      </c>
      <c r="C1192" s="1" t="s">
        <v>528</v>
      </c>
      <c r="D1192" s="1" t="s">
        <v>1274</v>
      </c>
      <c r="E1192" s="1" t="s">
        <v>82</v>
      </c>
      <c r="F1192" s="1" t="s">
        <v>391</v>
      </c>
      <c r="G1192" s="1" t="s">
        <v>443</v>
      </c>
      <c r="H1192" s="1" t="s">
        <v>444</v>
      </c>
      <c r="K1192" s="1" t="s">
        <v>61</v>
      </c>
      <c r="L1192" s="1" t="s">
        <v>445</v>
      </c>
      <c r="M1192" s="1" t="s">
        <v>496</v>
      </c>
      <c r="N1192" s="1" t="s">
        <v>4029</v>
      </c>
      <c r="O1192" s="1" t="s">
        <v>4030</v>
      </c>
      <c r="P1192" s="1" t="s">
        <v>4031</v>
      </c>
      <c r="Z1192" s="1" t="s">
        <v>71</v>
      </c>
      <c r="AE1192" s="1" t="s">
        <v>4021</v>
      </c>
      <c r="AH1192" s="1" t="s">
        <v>73</v>
      </c>
      <c r="AK1192" s="1" t="s">
        <v>71</v>
      </c>
      <c r="AM1192" s="1" t="s">
        <v>71</v>
      </c>
      <c r="AN1192" s="1" t="s">
        <v>71</v>
      </c>
      <c r="AS1192" s="1" t="s">
        <v>71</v>
      </c>
      <c r="AX1192" s="1" t="s">
        <v>71</v>
      </c>
      <c r="BH1192" s="1" t="s">
        <v>71</v>
      </c>
    </row>
    <row r="1193" customFormat="false" ht="15" hidden="false" customHeight="false" outlineLevel="0" collapsed="false">
      <c r="A1193" s="1" t="s">
        <v>4032</v>
      </c>
      <c r="B1193" s="1" t="s">
        <v>4033</v>
      </c>
      <c r="C1193" s="1" t="s">
        <v>1104</v>
      </c>
      <c r="D1193" s="1" t="s">
        <v>4034</v>
      </c>
      <c r="E1193" s="1" t="s">
        <v>82</v>
      </c>
      <c r="F1193" s="1" t="s">
        <v>391</v>
      </c>
      <c r="G1193" s="1" t="s">
        <v>443</v>
      </c>
      <c r="H1193" s="1" t="s">
        <v>444</v>
      </c>
      <c r="K1193" s="1" t="s">
        <v>61</v>
      </c>
      <c r="L1193" s="1" t="s">
        <v>445</v>
      </c>
      <c r="M1193" s="1" t="s">
        <v>496</v>
      </c>
      <c r="N1193" s="1" t="s">
        <v>4035</v>
      </c>
      <c r="O1193" s="1" t="s">
        <v>4036</v>
      </c>
      <c r="P1193" s="1" t="s">
        <v>4037</v>
      </c>
      <c r="Z1193" s="1" t="s">
        <v>71</v>
      </c>
      <c r="AE1193" s="1" t="s">
        <v>4021</v>
      </c>
      <c r="AH1193" s="1" t="s">
        <v>73</v>
      </c>
      <c r="AK1193" s="1" t="s">
        <v>71</v>
      </c>
      <c r="AM1193" s="1" t="s">
        <v>71</v>
      </c>
      <c r="AN1193" s="1" t="s">
        <v>71</v>
      </c>
      <c r="AS1193" s="1" t="s">
        <v>71</v>
      </c>
      <c r="AX1193" s="1" t="s">
        <v>71</v>
      </c>
      <c r="BH1193" s="1" t="s">
        <v>71</v>
      </c>
    </row>
    <row r="1194" customFormat="false" ht="15" hidden="false" customHeight="false" outlineLevel="0" collapsed="false">
      <c r="A1194" s="1" t="s">
        <v>4038</v>
      </c>
      <c r="B1194" s="1" t="s">
        <v>4039</v>
      </c>
      <c r="C1194" s="1" t="s">
        <v>1113</v>
      </c>
      <c r="D1194" s="1" t="s">
        <v>4040</v>
      </c>
      <c r="E1194" s="1" t="s">
        <v>82</v>
      </c>
      <c r="F1194" s="1" t="s">
        <v>391</v>
      </c>
      <c r="G1194" s="1" t="s">
        <v>443</v>
      </c>
      <c r="H1194" s="1" t="s">
        <v>444</v>
      </c>
      <c r="K1194" s="1" t="s">
        <v>618</v>
      </c>
      <c r="L1194" s="1" t="s">
        <v>619</v>
      </c>
      <c r="M1194" s="1" t="s">
        <v>2020</v>
      </c>
      <c r="N1194" s="1" t="s">
        <v>4041</v>
      </c>
      <c r="O1194" s="1" t="s">
        <v>4042</v>
      </c>
      <c r="P1194" s="1" t="s">
        <v>4043</v>
      </c>
      <c r="Z1194" s="1" t="s">
        <v>71</v>
      </c>
      <c r="AE1194" s="1" t="s">
        <v>4021</v>
      </c>
      <c r="AH1194" s="1" t="s">
        <v>73</v>
      </c>
      <c r="AK1194" s="1" t="s">
        <v>71</v>
      </c>
      <c r="AM1194" s="1" t="s">
        <v>71</v>
      </c>
      <c r="AN1194" s="1" t="s">
        <v>71</v>
      </c>
      <c r="AS1194" s="1" t="s">
        <v>71</v>
      </c>
      <c r="AX1194" s="1" t="s">
        <v>71</v>
      </c>
      <c r="BH1194" s="1" t="s">
        <v>71</v>
      </c>
    </row>
    <row r="1195" customFormat="false" ht="15" hidden="false" customHeight="false" outlineLevel="0" collapsed="false">
      <c r="A1195" s="1" t="s">
        <v>4044</v>
      </c>
      <c r="B1195" s="1" t="s">
        <v>4045</v>
      </c>
      <c r="C1195" s="1" t="s">
        <v>213</v>
      </c>
      <c r="D1195" s="1" t="s">
        <v>214</v>
      </c>
      <c r="E1195" s="1" t="s">
        <v>61</v>
      </c>
      <c r="F1195" s="1" t="s">
        <v>101</v>
      </c>
      <c r="G1195" s="1" t="s">
        <v>93</v>
      </c>
      <c r="H1195" s="1" t="s">
        <v>64</v>
      </c>
      <c r="K1195" s="1" t="s">
        <v>229</v>
      </c>
      <c r="L1195" s="1" t="s">
        <v>605</v>
      </c>
      <c r="M1195" s="1" t="s">
        <v>122</v>
      </c>
      <c r="N1195" s="1" t="s">
        <v>105</v>
      </c>
      <c r="O1195" s="1" t="s">
        <v>106</v>
      </c>
      <c r="P1195" s="1" t="s">
        <v>3539</v>
      </c>
      <c r="U1195" s="1" t="s">
        <v>4044</v>
      </c>
      <c r="Z1195" s="1" t="s">
        <v>71</v>
      </c>
      <c r="AE1195" s="1" t="s">
        <v>4046</v>
      </c>
      <c r="AH1195" s="1" t="s">
        <v>73</v>
      </c>
      <c r="AK1195" s="1" t="s">
        <v>71</v>
      </c>
      <c r="AM1195" s="1" t="s">
        <v>71</v>
      </c>
      <c r="AN1195" s="1" t="s">
        <v>71</v>
      </c>
      <c r="AS1195" s="1" t="s">
        <v>71</v>
      </c>
      <c r="AX1195" s="1" t="s">
        <v>71</v>
      </c>
      <c r="AY1195" s="1" t="s">
        <v>59</v>
      </c>
      <c r="AZ1195" s="1" t="s">
        <v>74</v>
      </c>
      <c r="BH1195" s="1" t="s">
        <v>71</v>
      </c>
    </row>
    <row r="1196" customFormat="false" ht="15" hidden="false" customHeight="false" outlineLevel="0" collapsed="false">
      <c r="A1196" s="1" t="s">
        <v>4047</v>
      </c>
      <c r="B1196" s="1" t="s">
        <v>4048</v>
      </c>
      <c r="C1196" s="1" t="s">
        <v>657</v>
      </c>
      <c r="D1196" s="1" t="s">
        <v>658</v>
      </c>
      <c r="E1196" s="1" t="s">
        <v>82</v>
      </c>
      <c r="F1196" s="1" t="s">
        <v>391</v>
      </c>
      <c r="G1196" s="1" t="s">
        <v>213</v>
      </c>
      <c r="H1196" s="1" t="s">
        <v>477</v>
      </c>
      <c r="K1196" s="1" t="s">
        <v>478</v>
      </c>
      <c r="L1196" s="1" t="s">
        <v>479</v>
      </c>
      <c r="M1196" s="1" t="s">
        <v>496</v>
      </c>
      <c r="N1196" s="1" t="s">
        <v>489</v>
      </c>
      <c r="O1196" s="1" t="s">
        <v>490</v>
      </c>
      <c r="P1196" s="1" t="s">
        <v>4049</v>
      </c>
      <c r="Z1196" s="1" t="s">
        <v>71</v>
      </c>
      <c r="AE1196" s="1" t="s">
        <v>4050</v>
      </c>
      <c r="AH1196" s="1" t="s">
        <v>73</v>
      </c>
      <c r="AK1196" s="1" t="s">
        <v>71</v>
      </c>
      <c r="AM1196" s="1" t="s">
        <v>71</v>
      </c>
      <c r="AN1196" s="1" t="s">
        <v>71</v>
      </c>
      <c r="AS1196" s="1" t="s">
        <v>71</v>
      </c>
      <c r="AX1196" s="1" t="s">
        <v>71</v>
      </c>
      <c r="BH1196" s="1" t="s">
        <v>71</v>
      </c>
    </row>
    <row r="1197" customFormat="false" ht="15" hidden="false" customHeight="false" outlineLevel="0" collapsed="false">
      <c r="A1197" s="1" t="s">
        <v>4051</v>
      </c>
      <c r="B1197" s="1" t="s">
        <v>4052</v>
      </c>
      <c r="C1197" s="1" t="s">
        <v>664</v>
      </c>
      <c r="D1197" s="1" t="s">
        <v>665</v>
      </c>
      <c r="E1197" s="1" t="s">
        <v>82</v>
      </c>
      <c r="F1197" s="1" t="s">
        <v>391</v>
      </c>
      <c r="G1197" s="1" t="s">
        <v>97</v>
      </c>
      <c r="H1197" s="1" t="s">
        <v>406</v>
      </c>
      <c r="K1197" s="1" t="s">
        <v>59</v>
      </c>
      <c r="L1197" s="1" t="s">
        <v>791</v>
      </c>
      <c r="M1197" s="1" t="s">
        <v>496</v>
      </c>
      <c r="N1197" s="1" t="s">
        <v>4053</v>
      </c>
      <c r="O1197" s="1" t="s">
        <v>4054</v>
      </c>
      <c r="P1197" s="1" t="s">
        <v>4055</v>
      </c>
      <c r="Z1197" s="1" t="s">
        <v>71</v>
      </c>
      <c r="AE1197" s="1" t="s">
        <v>4050</v>
      </c>
      <c r="AH1197" s="1" t="s">
        <v>73</v>
      </c>
      <c r="AK1197" s="1" t="s">
        <v>71</v>
      </c>
      <c r="AM1197" s="1" t="s">
        <v>71</v>
      </c>
      <c r="AN1197" s="1" t="s">
        <v>71</v>
      </c>
      <c r="AS1197" s="1" t="s">
        <v>71</v>
      </c>
      <c r="AX1197" s="1" t="s">
        <v>71</v>
      </c>
      <c r="BH1197" s="1" t="s">
        <v>71</v>
      </c>
    </row>
    <row r="1198" customFormat="false" ht="15" hidden="false" customHeight="false" outlineLevel="0" collapsed="false">
      <c r="A1198" s="1" t="s">
        <v>4056</v>
      </c>
      <c r="B1198" s="1" t="s">
        <v>4057</v>
      </c>
      <c r="C1198" s="1" t="s">
        <v>1120</v>
      </c>
      <c r="D1198" s="1" t="s">
        <v>239</v>
      </c>
      <c r="E1198" s="1" t="s">
        <v>61</v>
      </c>
      <c r="F1198" s="1" t="s">
        <v>101</v>
      </c>
      <c r="G1198" s="1" t="s">
        <v>275</v>
      </c>
      <c r="H1198" s="1" t="s">
        <v>276</v>
      </c>
      <c r="K1198" s="1" t="s">
        <v>2495</v>
      </c>
      <c r="L1198" s="1" t="s">
        <v>2496</v>
      </c>
      <c r="M1198" s="1" t="s">
        <v>374</v>
      </c>
      <c r="N1198" s="1" t="s">
        <v>1498</v>
      </c>
      <c r="O1198" s="1" t="s">
        <v>1499</v>
      </c>
      <c r="P1198" s="1" t="s">
        <v>3712</v>
      </c>
      <c r="U1198" s="1" t="s">
        <v>245</v>
      </c>
      <c r="Z1198" s="1" t="s">
        <v>71</v>
      </c>
      <c r="AE1198" s="1" t="s">
        <v>4058</v>
      </c>
      <c r="AH1198" s="1" t="s">
        <v>73</v>
      </c>
      <c r="AK1198" s="1" t="s">
        <v>71</v>
      </c>
      <c r="AM1198" s="1" t="s">
        <v>71</v>
      </c>
      <c r="AN1198" s="1" t="s">
        <v>71</v>
      </c>
      <c r="AS1198" s="1" t="s">
        <v>71</v>
      </c>
      <c r="AX1198" s="1" t="s">
        <v>71</v>
      </c>
      <c r="AY1198" s="1" t="s">
        <v>59</v>
      </c>
      <c r="AZ1198" s="1" t="s">
        <v>74</v>
      </c>
      <c r="BH1198" s="1" t="s">
        <v>71</v>
      </c>
    </row>
    <row r="1199" customFormat="false" ht="15" hidden="false" customHeight="false" outlineLevel="0" collapsed="false">
      <c r="A1199" s="1" t="s">
        <v>4059</v>
      </c>
      <c r="B1199" s="1" t="s">
        <v>4060</v>
      </c>
      <c r="C1199" s="1" t="s">
        <v>1100</v>
      </c>
      <c r="D1199" s="1" t="s">
        <v>4009</v>
      </c>
      <c r="E1199" s="1" t="s">
        <v>82</v>
      </c>
      <c r="F1199" s="1" t="s">
        <v>391</v>
      </c>
      <c r="G1199" s="1" t="s">
        <v>443</v>
      </c>
      <c r="H1199" s="1" t="s">
        <v>444</v>
      </c>
      <c r="K1199" s="1" t="s">
        <v>618</v>
      </c>
      <c r="L1199" s="1" t="s">
        <v>619</v>
      </c>
      <c r="M1199" s="1" t="s">
        <v>496</v>
      </c>
      <c r="N1199" s="1" t="s">
        <v>4061</v>
      </c>
      <c r="O1199" s="1" t="s">
        <v>447</v>
      </c>
      <c r="P1199" s="1" t="s">
        <v>4062</v>
      </c>
      <c r="Z1199" s="1" t="s">
        <v>71</v>
      </c>
      <c r="AE1199" s="1" t="s">
        <v>4063</v>
      </c>
      <c r="AH1199" s="1" t="s">
        <v>73</v>
      </c>
      <c r="AK1199" s="1" t="s">
        <v>71</v>
      </c>
      <c r="AM1199" s="1" t="s">
        <v>71</v>
      </c>
      <c r="AN1199" s="1" t="s">
        <v>71</v>
      </c>
      <c r="AS1199" s="1" t="s">
        <v>71</v>
      </c>
      <c r="AX1199" s="1" t="s">
        <v>71</v>
      </c>
      <c r="BH1199" s="1" t="s">
        <v>71</v>
      </c>
    </row>
    <row r="1200" customFormat="false" ht="15" hidden="false" customHeight="false" outlineLevel="0" collapsed="false">
      <c r="A1200" s="1" t="s">
        <v>4064</v>
      </c>
      <c r="B1200" s="1" t="s">
        <v>4065</v>
      </c>
      <c r="C1200" s="1" t="s">
        <v>528</v>
      </c>
      <c r="D1200" s="1" t="s">
        <v>1274</v>
      </c>
      <c r="E1200" s="1" t="s">
        <v>82</v>
      </c>
      <c r="F1200" s="1" t="s">
        <v>391</v>
      </c>
      <c r="G1200" s="1" t="s">
        <v>443</v>
      </c>
      <c r="H1200" s="1" t="s">
        <v>444</v>
      </c>
      <c r="K1200" s="1" t="s">
        <v>61</v>
      </c>
      <c r="L1200" s="1" t="s">
        <v>445</v>
      </c>
      <c r="M1200" s="1" t="s">
        <v>806</v>
      </c>
      <c r="N1200" s="1" t="s">
        <v>2067</v>
      </c>
      <c r="O1200" s="1" t="s">
        <v>2068</v>
      </c>
      <c r="P1200" s="1" t="s">
        <v>3591</v>
      </c>
      <c r="Z1200" s="1" t="s">
        <v>71</v>
      </c>
      <c r="AE1200" s="1" t="s">
        <v>4063</v>
      </c>
      <c r="AH1200" s="1" t="s">
        <v>73</v>
      </c>
      <c r="AK1200" s="1" t="s">
        <v>71</v>
      </c>
      <c r="AM1200" s="1" t="s">
        <v>71</v>
      </c>
      <c r="AN1200" s="1" t="s">
        <v>71</v>
      </c>
      <c r="AS1200" s="1" t="s">
        <v>71</v>
      </c>
      <c r="AX1200" s="1" t="s">
        <v>71</v>
      </c>
      <c r="BH1200" s="1" t="s">
        <v>71</v>
      </c>
    </row>
    <row r="1201" customFormat="false" ht="15" hidden="false" customHeight="false" outlineLevel="0" collapsed="false">
      <c r="A1201" s="1" t="s">
        <v>4066</v>
      </c>
      <c r="B1201" s="1" t="s">
        <v>4067</v>
      </c>
      <c r="C1201" s="1" t="s">
        <v>528</v>
      </c>
      <c r="D1201" s="1" t="s">
        <v>1274</v>
      </c>
      <c r="E1201" s="1" t="s">
        <v>82</v>
      </c>
      <c r="F1201" s="1" t="s">
        <v>391</v>
      </c>
      <c r="G1201" s="1" t="s">
        <v>443</v>
      </c>
      <c r="H1201" s="1" t="s">
        <v>444</v>
      </c>
      <c r="K1201" s="1" t="s">
        <v>61</v>
      </c>
      <c r="L1201" s="1" t="s">
        <v>445</v>
      </c>
      <c r="M1201" s="1" t="s">
        <v>496</v>
      </c>
      <c r="N1201" s="1" t="s">
        <v>4068</v>
      </c>
      <c r="O1201" s="1" t="s">
        <v>4069</v>
      </c>
      <c r="P1201" s="1" t="s">
        <v>4070</v>
      </c>
      <c r="Z1201" s="1" t="s">
        <v>71</v>
      </c>
      <c r="AE1201" s="1" t="s">
        <v>4063</v>
      </c>
      <c r="AH1201" s="1" t="s">
        <v>73</v>
      </c>
      <c r="AK1201" s="1" t="s">
        <v>71</v>
      </c>
      <c r="AM1201" s="1" t="s">
        <v>71</v>
      </c>
      <c r="AN1201" s="1" t="s">
        <v>71</v>
      </c>
      <c r="AS1201" s="1" t="s">
        <v>71</v>
      </c>
      <c r="AX1201" s="1" t="s">
        <v>71</v>
      </c>
      <c r="BH1201" s="1" t="s">
        <v>71</v>
      </c>
    </row>
    <row r="1202" customFormat="false" ht="15" hidden="false" customHeight="false" outlineLevel="0" collapsed="false">
      <c r="A1202" s="1" t="s">
        <v>4071</v>
      </c>
      <c r="B1202" s="1" t="s">
        <v>4072</v>
      </c>
      <c r="C1202" s="1" t="s">
        <v>1077</v>
      </c>
      <c r="D1202" s="1" t="s">
        <v>4073</v>
      </c>
      <c r="E1202" s="1" t="s">
        <v>82</v>
      </c>
      <c r="F1202" s="1" t="s">
        <v>391</v>
      </c>
      <c r="G1202" s="1" t="s">
        <v>213</v>
      </c>
      <c r="H1202" s="1" t="s">
        <v>477</v>
      </c>
      <c r="K1202" s="1" t="s">
        <v>478</v>
      </c>
      <c r="L1202" s="1" t="s">
        <v>479</v>
      </c>
      <c r="M1202" s="1" t="s">
        <v>496</v>
      </c>
      <c r="N1202" s="1" t="s">
        <v>4074</v>
      </c>
      <c r="O1202" s="1" t="s">
        <v>400</v>
      </c>
      <c r="P1202" s="1" t="s">
        <v>4075</v>
      </c>
      <c r="Z1202" s="1" t="s">
        <v>71</v>
      </c>
      <c r="AE1202" s="1" t="s">
        <v>4076</v>
      </c>
      <c r="AH1202" s="1" t="s">
        <v>73</v>
      </c>
      <c r="AK1202" s="1" t="s">
        <v>71</v>
      </c>
      <c r="AM1202" s="1" t="s">
        <v>71</v>
      </c>
      <c r="AN1202" s="1" t="s">
        <v>71</v>
      </c>
      <c r="AS1202" s="1" t="s">
        <v>71</v>
      </c>
      <c r="AX1202" s="1" t="s">
        <v>71</v>
      </c>
      <c r="BH1202" s="1" t="s">
        <v>71</v>
      </c>
    </row>
    <row r="1203" customFormat="false" ht="15" hidden="false" customHeight="false" outlineLevel="0" collapsed="false">
      <c r="A1203" s="1" t="s">
        <v>4077</v>
      </c>
      <c r="B1203" s="1" t="s">
        <v>4078</v>
      </c>
      <c r="C1203" s="1" t="s">
        <v>1077</v>
      </c>
      <c r="D1203" s="1" t="s">
        <v>4073</v>
      </c>
      <c r="E1203" s="1" t="s">
        <v>82</v>
      </c>
      <c r="F1203" s="1" t="s">
        <v>391</v>
      </c>
      <c r="G1203" s="1" t="s">
        <v>213</v>
      </c>
      <c r="H1203" s="1" t="s">
        <v>477</v>
      </c>
      <c r="K1203" s="1" t="s">
        <v>478</v>
      </c>
      <c r="L1203" s="1" t="s">
        <v>479</v>
      </c>
      <c r="M1203" s="1" t="s">
        <v>496</v>
      </c>
      <c r="N1203" s="1" t="s">
        <v>4079</v>
      </c>
      <c r="O1203" s="1" t="s">
        <v>447</v>
      </c>
      <c r="P1203" s="1" t="s">
        <v>4080</v>
      </c>
      <c r="Z1203" s="1" t="s">
        <v>71</v>
      </c>
      <c r="AE1203" s="1" t="s">
        <v>4076</v>
      </c>
      <c r="AH1203" s="1" t="s">
        <v>73</v>
      </c>
      <c r="AK1203" s="1" t="s">
        <v>71</v>
      </c>
      <c r="AM1203" s="1" t="s">
        <v>71</v>
      </c>
      <c r="AN1203" s="1" t="s">
        <v>71</v>
      </c>
      <c r="AS1203" s="1" t="s">
        <v>71</v>
      </c>
      <c r="AX1203" s="1" t="s">
        <v>71</v>
      </c>
      <c r="BH1203" s="1" t="s">
        <v>71</v>
      </c>
    </row>
    <row r="1204" customFormat="false" ht="15" hidden="false" customHeight="false" outlineLevel="0" collapsed="false">
      <c r="A1204" s="1" t="s">
        <v>4081</v>
      </c>
      <c r="B1204" s="1" t="s">
        <v>4082</v>
      </c>
      <c r="C1204" s="1" t="s">
        <v>1077</v>
      </c>
      <c r="D1204" s="1" t="s">
        <v>4073</v>
      </c>
      <c r="E1204" s="1" t="s">
        <v>82</v>
      </c>
      <c r="F1204" s="1" t="s">
        <v>391</v>
      </c>
      <c r="G1204" s="1" t="s">
        <v>213</v>
      </c>
      <c r="H1204" s="1" t="s">
        <v>477</v>
      </c>
      <c r="K1204" s="1" t="s">
        <v>478</v>
      </c>
      <c r="L1204" s="1" t="s">
        <v>479</v>
      </c>
      <c r="M1204" s="1" t="s">
        <v>496</v>
      </c>
      <c r="N1204" s="1" t="s">
        <v>4079</v>
      </c>
      <c r="O1204" s="1" t="s">
        <v>447</v>
      </c>
      <c r="P1204" s="1" t="s">
        <v>4080</v>
      </c>
      <c r="Z1204" s="1" t="s">
        <v>71</v>
      </c>
      <c r="AE1204" s="1" t="s">
        <v>4076</v>
      </c>
      <c r="AH1204" s="1" t="s">
        <v>73</v>
      </c>
      <c r="AK1204" s="1" t="s">
        <v>71</v>
      </c>
      <c r="AM1204" s="1" t="s">
        <v>71</v>
      </c>
      <c r="AN1204" s="1" t="s">
        <v>71</v>
      </c>
      <c r="AS1204" s="1" t="s">
        <v>71</v>
      </c>
      <c r="AX1204" s="1" t="s">
        <v>71</v>
      </c>
      <c r="BH1204" s="1" t="s">
        <v>71</v>
      </c>
    </row>
    <row r="1205" customFormat="false" ht="15" hidden="false" customHeight="false" outlineLevel="0" collapsed="false">
      <c r="A1205" s="1" t="s">
        <v>4083</v>
      </c>
      <c r="B1205" s="1" t="s">
        <v>4084</v>
      </c>
      <c r="C1205" s="1" t="s">
        <v>1077</v>
      </c>
      <c r="D1205" s="1" t="s">
        <v>4073</v>
      </c>
      <c r="E1205" s="1" t="s">
        <v>82</v>
      </c>
      <c r="F1205" s="1" t="s">
        <v>391</v>
      </c>
      <c r="G1205" s="1" t="s">
        <v>213</v>
      </c>
      <c r="H1205" s="1" t="s">
        <v>477</v>
      </c>
      <c r="K1205" s="1" t="s">
        <v>478</v>
      </c>
      <c r="L1205" s="1" t="s">
        <v>479</v>
      </c>
      <c r="M1205" s="1" t="s">
        <v>496</v>
      </c>
      <c r="N1205" s="1" t="s">
        <v>4079</v>
      </c>
      <c r="O1205" s="1" t="s">
        <v>447</v>
      </c>
      <c r="P1205" s="1" t="s">
        <v>4080</v>
      </c>
      <c r="Z1205" s="1" t="s">
        <v>71</v>
      </c>
      <c r="AE1205" s="1" t="s">
        <v>4076</v>
      </c>
      <c r="AH1205" s="1" t="s">
        <v>73</v>
      </c>
      <c r="AK1205" s="1" t="s">
        <v>71</v>
      </c>
      <c r="AM1205" s="1" t="s">
        <v>71</v>
      </c>
      <c r="AN1205" s="1" t="s">
        <v>71</v>
      </c>
      <c r="AS1205" s="1" t="s">
        <v>71</v>
      </c>
      <c r="AX1205" s="1" t="s">
        <v>71</v>
      </c>
      <c r="BH1205" s="1" t="s">
        <v>71</v>
      </c>
    </row>
    <row r="1206" customFormat="false" ht="15" hidden="false" customHeight="false" outlineLevel="0" collapsed="false">
      <c r="A1206" s="1" t="s">
        <v>4085</v>
      </c>
      <c r="B1206" s="1" t="s">
        <v>4086</v>
      </c>
      <c r="C1206" s="1" t="s">
        <v>1077</v>
      </c>
      <c r="D1206" s="1" t="s">
        <v>4073</v>
      </c>
      <c r="E1206" s="1" t="s">
        <v>82</v>
      </c>
      <c r="F1206" s="1" t="s">
        <v>391</v>
      </c>
      <c r="G1206" s="1" t="s">
        <v>213</v>
      </c>
      <c r="H1206" s="1" t="s">
        <v>477</v>
      </c>
      <c r="K1206" s="1" t="s">
        <v>478</v>
      </c>
      <c r="L1206" s="1" t="s">
        <v>479</v>
      </c>
      <c r="M1206" s="1" t="s">
        <v>496</v>
      </c>
      <c r="N1206" s="1" t="s">
        <v>1046</v>
      </c>
      <c r="O1206" s="1" t="s">
        <v>447</v>
      </c>
      <c r="P1206" s="1" t="s">
        <v>4087</v>
      </c>
      <c r="Z1206" s="1" t="s">
        <v>71</v>
      </c>
      <c r="AE1206" s="1" t="s">
        <v>4076</v>
      </c>
      <c r="AH1206" s="1" t="s">
        <v>73</v>
      </c>
      <c r="AK1206" s="1" t="s">
        <v>71</v>
      </c>
      <c r="AM1206" s="1" t="s">
        <v>71</v>
      </c>
      <c r="AN1206" s="1" t="s">
        <v>71</v>
      </c>
      <c r="AS1206" s="1" t="s">
        <v>71</v>
      </c>
      <c r="AX1206" s="1" t="s">
        <v>71</v>
      </c>
      <c r="BH1206" s="1" t="s">
        <v>71</v>
      </c>
    </row>
    <row r="1207" customFormat="false" ht="15" hidden="false" customHeight="false" outlineLevel="0" collapsed="false">
      <c r="A1207" s="1" t="s">
        <v>4088</v>
      </c>
      <c r="B1207" s="1" t="s">
        <v>4089</v>
      </c>
      <c r="C1207" s="1" t="s">
        <v>1077</v>
      </c>
      <c r="D1207" s="1" t="s">
        <v>4073</v>
      </c>
      <c r="E1207" s="1" t="s">
        <v>82</v>
      </c>
      <c r="F1207" s="1" t="s">
        <v>391</v>
      </c>
      <c r="G1207" s="1" t="s">
        <v>213</v>
      </c>
      <c r="H1207" s="1" t="s">
        <v>477</v>
      </c>
      <c r="K1207" s="1" t="s">
        <v>478</v>
      </c>
      <c r="L1207" s="1" t="s">
        <v>479</v>
      </c>
      <c r="M1207" s="1" t="s">
        <v>496</v>
      </c>
      <c r="N1207" s="1" t="s">
        <v>4090</v>
      </c>
      <c r="O1207" s="1" t="s">
        <v>4091</v>
      </c>
      <c r="P1207" s="1" t="s">
        <v>4092</v>
      </c>
      <c r="Z1207" s="1" t="s">
        <v>71</v>
      </c>
      <c r="AE1207" s="1" t="s">
        <v>4076</v>
      </c>
      <c r="AH1207" s="1" t="s">
        <v>73</v>
      </c>
      <c r="AK1207" s="1" t="s">
        <v>71</v>
      </c>
      <c r="AM1207" s="1" t="s">
        <v>71</v>
      </c>
      <c r="AN1207" s="1" t="s">
        <v>71</v>
      </c>
      <c r="AS1207" s="1" t="s">
        <v>71</v>
      </c>
      <c r="AX1207" s="1" t="s">
        <v>71</v>
      </c>
      <c r="BH1207" s="1" t="s">
        <v>71</v>
      </c>
    </row>
    <row r="1208" customFormat="false" ht="15" hidden="false" customHeight="false" outlineLevel="0" collapsed="false">
      <c r="A1208" s="1" t="s">
        <v>4093</v>
      </c>
      <c r="B1208" s="1" t="s">
        <v>4094</v>
      </c>
      <c r="C1208" s="1" t="s">
        <v>920</v>
      </c>
      <c r="D1208" s="1" t="s">
        <v>3085</v>
      </c>
      <c r="E1208" s="1" t="s">
        <v>82</v>
      </c>
      <c r="F1208" s="1" t="s">
        <v>391</v>
      </c>
      <c r="G1208" s="1" t="s">
        <v>443</v>
      </c>
      <c r="H1208" s="1" t="s">
        <v>444</v>
      </c>
      <c r="K1208" s="1" t="s">
        <v>618</v>
      </c>
      <c r="L1208" s="1" t="s">
        <v>619</v>
      </c>
      <c r="M1208" s="1" t="s">
        <v>496</v>
      </c>
      <c r="N1208" s="1" t="s">
        <v>3092</v>
      </c>
      <c r="O1208" s="1" t="s">
        <v>3093</v>
      </c>
      <c r="P1208" s="1" t="s">
        <v>4095</v>
      </c>
      <c r="Z1208" s="1" t="s">
        <v>71</v>
      </c>
      <c r="AE1208" s="1" t="s">
        <v>4096</v>
      </c>
      <c r="AH1208" s="1" t="s">
        <v>73</v>
      </c>
      <c r="AK1208" s="1" t="s">
        <v>71</v>
      </c>
      <c r="AM1208" s="1" t="s">
        <v>71</v>
      </c>
      <c r="AN1208" s="1" t="s">
        <v>71</v>
      </c>
      <c r="AS1208" s="1" t="s">
        <v>71</v>
      </c>
      <c r="AX1208" s="1" t="s">
        <v>71</v>
      </c>
      <c r="BH1208" s="1" t="s">
        <v>71</v>
      </c>
    </row>
    <row r="1209" customFormat="false" ht="15" hidden="false" customHeight="false" outlineLevel="0" collapsed="false">
      <c r="A1209" s="1" t="s">
        <v>4097</v>
      </c>
      <c r="B1209" s="1" t="s">
        <v>4098</v>
      </c>
      <c r="C1209" s="1" t="s">
        <v>920</v>
      </c>
      <c r="D1209" s="1" t="s">
        <v>3085</v>
      </c>
      <c r="E1209" s="1" t="s">
        <v>82</v>
      </c>
      <c r="F1209" s="1" t="s">
        <v>391</v>
      </c>
      <c r="G1209" s="1" t="s">
        <v>443</v>
      </c>
      <c r="H1209" s="1" t="s">
        <v>444</v>
      </c>
      <c r="K1209" s="1" t="s">
        <v>618</v>
      </c>
      <c r="L1209" s="1" t="s">
        <v>619</v>
      </c>
      <c r="M1209" s="1" t="s">
        <v>496</v>
      </c>
      <c r="N1209" s="1" t="s">
        <v>1696</v>
      </c>
      <c r="O1209" s="1" t="s">
        <v>1697</v>
      </c>
      <c r="P1209" s="1" t="s">
        <v>4099</v>
      </c>
      <c r="Z1209" s="1" t="s">
        <v>71</v>
      </c>
      <c r="AE1209" s="1" t="s">
        <v>4096</v>
      </c>
      <c r="AH1209" s="1" t="s">
        <v>73</v>
      </c>
      <c r="AK1209" s="1" t="s">
        <v>71</v>
      </c>
      <c r="AM1209" s="1" t="s">
        <v>71</v>
      </c>
      <c r="AN1209" s="1" t="s">
        <v>71</v>
      </c>
      <c r="AS1209" s="1" t="s">
        <v>71</v>
      </c>
      <c r="AX1209" s="1" t="s">
        <v>71</v>
      </c>
      <c r="BH1209" s="1" t="s">
        <v>71</v>
      </c>
    </row>
    <row r="1210" customFormat="false" ht="15" hidden="false" customHeight="false" outlineLevel="0" collapsed="false">
      <c r="A1210" s="1" t="s">
        <v>4100</v>
      </c>
      <c r="B1210" s="1" t="s">
        <v>4101</v>
      </c>
      <c r="C1210" s="1" t="s">
        <v>161</v>
      </c>
      <c r="D1210" s="1" t="s">
        <v>162</v>
      </c>
      <c r="E1210" s="1" t="s">
        <v>61</v>
      </c>
      <c r="F1210" s="1" t="s">
        <v>101</v>
      </c>
      <c r="G1210" s="1" t="s">
        <v>93</v>
      </c>
      <c r="H1210" s="1" t="s">
        <v>64</v>
      </c>
      <c r="K1210" s="1" t="s">
        <v>201</v>
      </c>
      <c r="L1210" s="1" t="s">
        <v>4102</v>
      </c>
      <c r="M1210" s="1" t="s">
        <v>104</v>
      </c>
      <c r="N1210" s="1" t="s">
        <v>105</v>
      </c>
      <c r="O1210" s="1" t="s">
        <v>106</v>
      </c>
      <c r="P1210" s="1" t="s">
        <v>3539</v>
      </c>
      <c r="U1210" s="1" t="s">
        <v>4100</v>
      </c>
      <c r="Z1210" s="1" t="s">
        <v>71</v>
      </c>
      <c r="AE1210" s="1" t="s">
        <v>4096</v>
      </c>
      <c r="AH1210" s="1" t="s">
        <v>73</v>
      </c>
      <c r="AK1210" s="1" t="s">
        <v>71</v>
      </c>
      <c r="AM1210" s="1" t="s">
        <v>71</v>
      </c>
      <c r="AN1210" s="1" t="s">
        <v>71</v>
      </c>
      <c r="AS1210" s="1" t="s">
        <v>71</v>
      </c>
      <c r="AX1210" s="1" t="s">
        <v>71</v>
      </c>
      <c r="AY1210" s="1" t="s">
        <v>59</v>
      </c>
      <c r="AZ1210" s="1" t="s">
        <v>74</v>
      </c>
      <c r="BH1210" s="1" t="s">
        <v>71</v>
      </c>
    </row>
    <row r="1211" customFormat="false" ht="15" hidden="false" customHeight="false" outlineLevel="0" collapsed="false">
      <c r="A1211" s="1" t="s">
        <v>4103</v>
      </c>
      <c r="B1211" s="1" t="s">
        <v>4104</v>
      </c>
      <c r="C1211" s="1" t="s">
        <v>1077</v>
      </c>
      <c r="D1211" s="1" t="s">
        <v>4073</v>
      </c>
      <c r="E1211" s="1" t="s">
        <v>82</v>
      </c>
      <c r="F1211" s="1" t="s">
        <v>391</v>
      </c>
      <c r="G1211" s="1" t="s">
        <v>213</v>
      </c>
      <c r="H1211" s="1" t="s">
        <v>477</v>
      </c>
      <c r="K1211" s="1" t="s">
        <v>478</v>
      </c>
      <c r="L1211" s="1" t="s">
        <v>479</v>
      </c>
      <c r="M1211" s="1" t="s">
        <v>496</v>
      </c>
      <c r="N1211" s="1" t="s">
        <v>1738</v>
      </c>
      <c r="O1211" s="1" t="s">
        <v>447</v>
      </c>
      <c r="P1211" s="1" t="s">
        <v>4105</v>
      </c>
      <c r="Z1211" s="1" t="s">
        <v>71</v>
      </c>
      <c r="AE1211" s="1" t="s">
        <v>4106</v>
      </c>
      <c r="AH1211" s="1" t="s">
        <v>73</v>
      </c>
      <c r="AK1211" s="1" t="s">
        <v>71</v>
      </c>
      <c r="AM1211" s="1" t="s">
        <v>71</v>
      </c>
      <c r="AN1211" s="1" t="s">
        <v>71</v>
      </c>
      <c r="AS1211" s="1" t="s">
        <v>71</v>
      </c>
      <c r="AX1211" s="1" t="s">
        <v>71</v>
      </c>
      <c r="BH1211" s="1" t="s">
        <v>71</v>
      </c>
    </row>
    <row r="1212" customFormat="false" ht="15" hidden="false" customHeight="false" outlineLevel="0" collapsed="false">
      <c r="A1212" s="1" t="s">
        <v>4107</v>
      </c>
      <c r="B1212" s="1" t="s">
        <v>4108</v>
      </c>
      <c r="C1212" s="1" t="s">
        <v>1137</v>
      </c>
      <c r="D1212" s="1" t="s">
        <v>4109</v>
      </c>
      <c r="E1212" s="1" t="s">
        <v>82</v>
      </c>
      <c r="F1212" s="1" t="s">
        <v>391</v>
      </c>
      <c r="G1212" s="1" t="s">
        <v>443</v>
      </c>
      <c r="H1212" s="1" t="s">
        <v>444</v>
      </c>
      <c r="K1212" s="1" t="s">
        <v>618</v>
      </c>
      <c r="L1212" s="1" t="s">
        <v>619</v>
      </c>
      <c r="M1212" s="1" t="s">
        <v>2020</v>
      </c>
      <c r="N1212" s="1" t="s">
        <v>3523</v>
      </c>
      <c r="O1212" s="1" t="s">
        <v>447</v>
      </c>
      <c r="P1212" s="1" t="s">
        <v>3524</v>
      </c>
      <c r="Z1212" s="1" t="s">
        <v>71</v>
      </c>
      <c r="AE1212" s="1" t="s">
        <v>4110</v>
      </c>
      <c r="AH1212" s="1" t="s">
        <v>73</v>
      </c>
      <c r="AK1212" s="1" t="s">
        <v>71</v>
      </c>
      <c r="AM1212" s="1" t="s">
        <v>71</v>
      </c>
      <c r="AN1212" s="1" t="s">
        <v>71</v>
      </c>
      <c r="AS1212" s="1" t="s">
        <v>71</v>
      </c>
      <c r="AX1212" s="1" t="s">
        <v>71</v>
      </c>
      <c r="BH1212" s="1" t="s">
        <v>71</v>
      </c>
    </row>
    <row r="1213" customFormat="false" ht="15" hidden="false" customHeight="false" outlineLevel="0" collapsed="false">
      <c r="A1213" s="1" t="s">
        <v>4111</v>
      </c>
      <c r="B1213" s="1" t="s">
        <v>4112</v>
      </c>
      <c r="C1213" s="1" t="s">
        <v>150</v>
      </c>
      <c r="D1213" s="1" t="s">
        <v>405</v>
      </c>
      <c r="E1213" s="1" t="s">
        <v>82</v>
      </c>
      <c r="F1213" s="1" t="s">
        <v>391</v>
      </c>
      <c r="G1213" s="1" t="s">
        <v>97</v>
      </c>
      <c r="H1213" s="1" t="s">
        <v>406</v>
      </c>
      <c r="K1213" s="1" t="s">
        <v>407</v>
      </c>
      <c r="L1213" s="1" t="s">
        <v>408</v>
      </c>
      <c r="M1213" s="1" t="s">
        <v>2225</v>
      </c>
      <c r="N1213" s="1" t="s">
        <v>4113</v>
      </c>
      <c r="O1213" s="1" t="s">
        <v>4114</v>
      </c>
      <c r="P1213" s="1" t="s">
        <v>4115</v>
      </c>
      <c r="Z1213" s="1" t="s">
        <v>71</v>
      </c>
      <c r="AE1213" s="1" t="s">
        <v>4116</v>
      </c>
      <c r="AH1213" s="1" t="s">
        <v>73</v>
      </c>
      <c r="AK1213" s="1" t="s">
        <v>71</v>
      </c>
      <c r="AM1213" s="1" t="s">
        <v>71</v>
      </c>
      <c r="AN1213" s="1" t="s">
        <v>71</v>
      </c>
      <c r="AS1213" s="1" t="s">
        <v>71</v>
      </c>
      <c r="AX1213" s="1" t="s">
        <v>71</v>
      </c>
      <c r="BH1213" s="1" t="s">
        <v>71</v>
      </c>
    </row>
    <row r="1214" customFormat="false" ht="15" hidden="false" customHeight="false" outlineLevel="0" collapsed="false">
      <c r="A1214" s="1" t="s">
        <v>4117</v>
      </c>
      <c r="B1214" s="1" t="s">
        <v>4118</v>
      </c>
      <c r="C1214" s="1" t="s">
        <v>150</v>
      </c>
      <c r="D1214" s="1" t="s">
        <v>405</v>
      </c>
      <c r="E1214" s="1" t="s">
        <v>82</v>
      </c>
      <c r="F1214" s="1" t="s">
        <v>391</v>
      </c>
      <c r="G1214" s="1" t="s">
        <v>97</v>
      </c>
      <c r="H1214" s="1" t="s">
        <v>406</v>
      </c>
      <c r="K1214" s="1" t="s">
        <v>407</v>
      </c>
      <c r="L1214" s="1" t="s">
        <v>408</v>
      </c>
      <c r="M1214" s="1" t="s">
        <v>496</v>
      </c>
      <c r="N1214" s="1" t="s">
        <v>450</v>
      </c>
      <c r="O1214" s="1" t="s">
        <v>447</v>
      </c>
      <c r="P1214" s="1" t="s">
        <v>4119</v>
      </c>
      <c r="Z1214" s="1" t="s">
        <v>71</v>
      </c>
      <c r="AE1214" s="1" t="s">
        <v>4116</v>
      </c>
      <c r="AH1214" s="1" t="s">
        <v>73</v>
      </c>
      <c r="AK1214" s="1" t="s">
        <v>71</v>
      </c>
      <c r="AM1214" s="1" t="s">
        <v>71</v>
      </c>
      <c r="AN1214" s="1" t="s">
        <v>71</v>
      </c>
      <c r="AS1214" s="1" t="s">
        <v>71</v>
      </c>
      <c r="AX1214" s="1" t="s">
        <v>71</v>
      </c>
      <c r="BH1214" s="1" t="s">
        <v>71</v>
      </c>
    </row>
    <row r="1215" customFormat="false" ht="15" hidden="false" customHeight="false" outlineLevel="0" collapsed="false">
      <c r="A1215" s="1" t="s">
        <v>4120</v>
      </c>
      <c r="B1215" s="1" t="s">
        <v>4121</v>
      </c>
      <c r="C1215" s="1" t="s">
        <v>150</v>
      </c>
      <c r="D1215" s="1" t="s">
        <v>405</v>
      </c>
      <c r="E1215" s="1" t="s">
        <v>82</v>
      </c>
      <c r="F1215" s="1" t="s">
        <v>391</v>
      </c>
      <c r="G1215" s="1" t="s">
        <v>97</v>
      </c>
      <c r="H1215" s="1" t="s">
        <v>406</v>
      </c>
      <c r="K1215" s="1" t="s">
        <v>453</v>
      </c>
      <c r="L1215" s="1" t="s">
        <v>454</v>
      </c>
      <c r="M1215" s="1" t="s">
        <v>496</v>
      </c>
      <c r="N1215" s="1" t="s">
        <v>861</v>
      </c>
      <c r="O1215" s="1" t="s">
        <v>862</v>
      </c>
      <c r="P1215" s="1" t="s">
        <v>4122</v>
      </c>
      <c r="Z1215" s="1" t="s">
        <v>71</v>
      </c>
      <c r="AE1215" s="1" t="s">
        <v>4116</v>
      </c>
      <c r="AH1215" s="1" t="s">
        <v>73</v>
      </c>
      <c r="AK1215" s="1" t="s">
        <v>71</v>
      </c>
      <c r="AM1215" s="1" t="s">
        <v>71</v>
      </c>
      <c r="AN1215" s="1" t="s">
        <v>71</v>
      </c>
      <c r="AS1215" s="1" t="s">
        <v>71</v>
      </c>
      <c r="AX1215" s="1" t="s">
        <v>71</v>
      </c>
      <c r="BH1215" s="1" t="s">
        <v>71</v>
      </c>
    </row>
    <row r="1216" customFormat="false" ht="15" hidden="false" customHeight="false" outlineLevel="0" collapsed="false">
      <c r="A1216" s="1" t="s">
        <v>4123</v>
      </c>
      <c r="B1216" s="1" t="s">
        <v>4124</v>
      </c>
      <c r="C1216" s="1" t="s">
        <v>353</v>
      </c>
      <c r="D1216" s="1" t="s">
        <v>1771</v>
      </c>
      <c r="E1216" s="1" t="s">
        <v>82</v>
      </c>
      <c r="F1216" s="1" t="s">
        <v>391</v>
      </c>
      <c r="G1216" s="1" t="s">
        <v>213</v>
      </c>
      <c r="H1216" s="1" t="s">
        <v>477</v>
      </c>
      <c r="K1216" s="1" t="s">
        <v>478</v>
      </c>
      <c r="L1216" s="1" t="s">
        <v>479</v>
      </c>
      <c r="M1216" s="1" t="s">
        <v>496</v>
      </c>
      <c r="N1216" s="1" t="s">
        <v>3906</v>
      </c>
      <c r="O1216" s="1" t="s">
        <v>447</v>
      </c>
      <c r="P1216" s="1" t="s">
        <v>3907</v>
      </c>
      <c r="Z1216" s="1" t="s">
        <v>71</v>
      </c>
      <c r="AE1216" s="1" t="s">
        <v>4125</v>
      </c>
      <c r="AH1216" s="1" t="s">
        <v>73</v>
      </c>
      <c r="AK1216" s="1" t="s">
        <v>71</v>
      </c>
      <c r="AM1216" s="1" t="s">
        <v>71</v>
      </c>
      <c r="AN1216" s="1" t="s">
        <v>71</v>
      </c>
      <c r="AS1216" s="1" t="s">
        <v>71</v>
      </c>
      <c r="AX1216" s="1" t="s">
        <v>71</v>
      </c>
      <c r="BH1216" s="1" t="s">
        <v>71</v>
      </c>
    </row>
    <row r="1217" customFormat="false" ht="15" hidden="false" customHeight="false" outlineLevel="0" collapsed="false">
      <c r="A1217" s="1" t="s">
        <v>4126</v>
      </c>
      <c r="B1217" s="1" t="s">
        <v>4127</v>
      </c>
      <c r="C1217" s="1" t="s">
        <v>150</v>
      </c>
      <c r="D1217" s="1" t="s">
        <v>405</v>
      </c>
      <c r="E1217" s="1" t="s">
        <v>82</v>
      </c>
      <c r="F1217" s="1" t="s">
        <v>391</v>
      </c>
      <c r="G1217" s="1" t="s">
        <v>97</v>
      </c>
      <c r="H1217" s="1" t="s">
        <v>406</v>
      </c>
      <c r="K1217" s="1" t="s">
        <v>407</v>
      </c>
      <c r="L1217" s="1" t="s">
        <v>408</v>
      </c>
      <c r="M1217" s="1" t="s">
        <v>496</v>
      </c>
      <c r="N1217" s="1" t="s">
        <v>1868</v>
      </c>
      <c r="O1217" s="1" t="s">
        <v>1869</v>
      </c>
      <c r="P1217" s="1" t="s">
        <v>4128</v>
      </c>
      <c r="Z1217" s="1" t="s">
        <v>71</v>
      </c>
      <c r="AE1217" s="1" t="s">
        <v>4125</v>
      </c>
      <c r="AH1217" s="1" t="s">
        <v>73</v>
      </c>
      <c r="AK1217" s="1" t="s">
        <v>71</v>
      </c>
      <c r="AM1217" s="1" t="s">
        <v>71</v>
      </c>
      <c r="AN1217" s="1" t="s">
        <v>71</v>
      </c>
      <c r="AS1217" s="1" t="s">
        <v>71</v>
      </c>
      <c r="AX1217" s="1" t="s">
        <v>71</v>
      </c>
      <c r="BH1217" s="1" t="s">
        <v>71</v>
      </c>
    </row>
    <row r="1218" customFormat="false" ht="15" hidden="false" customHeight="false" outlineLevel="0" collapsed="false">
      <c r="A1218" s="1" t="s">
        <v>4129</v>
      </c>
      <c r="B1218" s="1" t="s">
        <v>4130</v>
      </c>
      <c r="C1218" s="1" t="s">
        <v>1823</v>
      </c>
      <c r="D1218" s="1" t="s">
        <v>1824</v>
      </c>
      <c r="E1218" s="1" t="s">
        <v>82</v>
      </c>
      <c r="F1218" s="1" t="s">
        <v>391</v>
      </c>
      <c r="G1218" s="1" t="s">
        <v>1356</v>
      </c>
      <c r="H1218" s="1" t="s">
        <v>1825</v>
      </c>
      <c r="K1218" s="1" t="s">
        <v>251</v>
      </c>
      <c r="L1218" s="1" t="s">
        <v>3580</v>
      </c>
      <c r="M1218" s="1" t="s">
        <v>496</v>
      </c>
      <c r="N1218" s="1" t="s">
        <v>2942</v>
      </c>
      <c r="O1218" s="1" t="s">
        <v>2943</v>
      </c>
      <c r="P1218" s="1" t="s">
        <v>3553</v>
      </c>
      <c r="Z1218" s="1" t="s">
        <v>71</v>
      </c>
      <c r="AE1218" s="1" t="s">
        <v>4131</v>
      </c>
      <c r="AH1218" s="1" t="s">
        <v>73</v>
      </c>
      <c r="AK1218" s="1" t="s">
        <v>71</v>
      </c>
      <c r="AM1218" s="1" t="s">
        <v>71</v>
      </c>
      <c r="AN1218" s="1" t="s">
        <v>71</v>
      </c>
      <c r="AS1218" s="1" t="s">
        <v>71</v>
      </c>
      <c r="AX1218" s="1" t="s">
        <v>71</v>
      </c>
      <c r="BH1218" s="1" t="s">
        <v>71</v>
      </c>
    </row>
    <row r="1219" customFormat="false" ht="15" hidden="false" customHeight="false" outlineLevel="0" collapsed="false">
      <c r="A1219" s="1" t="s">
        <v>4132</v>
      </c>
      <c r="B1219" s="1" t="s">
        <v>4133</v>
      </c>
      <c r="C1219" s="1" t="s">
        <v>528</v>
      </c>
      <c r="D1219" s="1" t="s">
        <v>1274</v>
      </c>
      <c r="E1219" s="1" t="s">
        <v>82</v>
      </c>
      <c r="F1219" s="1" t="s">
        <v>391</v>
      </c>
      <c r="G1219" s="1" t="s">
        <v>443</v>
      </c>
      <c r="H1219" s="1" t="s">
        <v>444</v>
      </c>
      <c r="K1219" s="1" t="s">
        <v>220</v>
      </c>
      <c r="L1219" s="1" t="s">
        <v>1700</v>
      </c>
      <c r="M1219" s="1" t="s">
        <v>496</v>
      </c>
      <c r="N1219" s="1" t="s">
        <v>2691</v>
      </c>
      <c r="O1219" s="1" t="s">
        <v>400</v>
      </c>
      <c r="P1219" s="1" t="s">
        <v>3527</v>
      </c>
      <c r="Z1219" s="1" t="s">
        <v>71</v>
      </c>
      <c r="AE1219" s="1" t="s">
        <v>4134</v>
      </c>
      <c r="AH1219" s="1" t="s">
        <v>73</v>
      </c>
      <c r="AK1219" s="1" t="s">
        <v>71</v>
      </c>
      <c r="AM1219" s="1" t="s">
        <v>71</v>
      </c>
      <c r="AN1219" s="1" t="s">
        <v>71</v>
      </c>
      <c r="AS1219" s="1" t="s">
        <v>71</v>
      </c>
      <c r="AX1219" s="1" t="s">
        <v>71</v>
      </c>
      <c r="BH1219" s="1" t="s">
        <v>71</v>
      </c>
    </row>
    <row r="1220" customFormat="false" ht="15" hidden="false" customHeight="false" outlineLevel="0" collapsed="false">
      <c r="A1220" s="1" t="s">
        <v>4135</v>
      </c>
      <c r="B1220" s="1" t="s">
        <v>4136</v>
      </c>
      <c r="C1220" s="1" t="s">
        <v>528</v>
      </c>
      <c r="D1220" s="1" t="s">
        <v>1274</v>
      </c>
      <c r="E1220" s="1" t="s">
        <v>82</v>
      </c>
      <c r="F1220" s="1" t="s">
        <v>391</v>
      </c>
      <c r="G1220" s="1" t="s">
        <v>443</v>
      </c>
      <c r="H1220" s="1" t="s">
        <v>444</v>
      </c>
      <c r="K1220" s="1" t="s">
        <v>61</v>
      </c>
      <c r="L1220" s="1" t="s">
        <v>445</v>
      </c>
      <c r="M1220" s="1" t="s">
        <v>496</v>
      </c>
      <c r="N1220" s="1" t="s">
        <v>948</v>
      </c>
      <c r="O1220" s="1" t="s">
        <v>447</v>
      </c>
      <c r="P1220" s="1" t="s">
        <v>4137</v>
      </c>
      <c r="Z1220" s="1" t="s">
        <v>71</v>
      </c>
      <c r="AE1220" s="1" t="s">
        <v>4134</v>
      </c>
      <c r="AH1220" s="1" t="s">
        <v>73</v>
      </c>
      <c r="AK1220" s="1" t="s">
        <v>71</v>
      </c>
      <c r="AM1220" s="1" t="s">
        <v>71</v>
      </c>
      <c r="AN1220" s="1" t="s">
        <v>71</v>
      </c>
      <c r="AS1220" s="1" t="s">
        <v>71</v>
      </c>
      <c r="AX1220" s="1" t="s">
        <v>71</v>
      </c>
      <c r="BH1220" s="1" t="s">
        <v>71</v>
      </c>
    </row>
    <row r="1221" customFormat="false" ht="15" hidden="false" customHeight="false" outlineLevel="0" collapsed="false">
      <c r="A1221" s="1" t="s">
        <v>4138</v>
      </c>
      <c r="B1221" s="1" t="s">
        <v>4139</v>
      </c>
      <c r="C1221" s="1" t="s">
        <v>528</v>
      </c>
      <c r="D1221" s="1" t="s">
        <v>1274</v>
      </c>
      <c r="E1221" s="1" t="s">
        <v>82</v>
      </c>
      <c r="F1221" s="1" t="s">
        <v>391</v>
      </c>
      <c r="G1221" s="1" t="s">
        <v>443</v>
      </c>
      <c r="H1221" s="1" t="s">
        <v>444</v>
      </c>
      <c r="K1221" s="1" t="s">
        <v>61</v>
      </c>
      <c r="L1221" s="1" t="s">
        <v>445</v>
      </c>
      <c r="M1221" s="1" t="s">
        <v>496</v>
      </c>
      <c r="N1221" s="1" t="s">
        <v>2432</v>
      </c>
      <c r="O1221" s="1" t="s">
        <v>400</v>
      </c>
      <c r="P1221" s="1" t="s">
        <v>3671</v>
      </c>
      <c r="Z1221" s="1" t="s">
        <v>71</v>
      </c>
      <c r="AE1221" s="1" t="s">
        <v>4134</v>
      </c>
      <c r="AH1221" s="1" t="s">
        <v>73</v>
      </c>
      <c r="AK1221" s="1" t="s">
        <v>71</v>
      </c>
      <c r="AM1221" s="1" t="s">
        <v>71</v>
      </c>
      <c r="AN1221" s="1" t="s">
        <v>71</v>
      </c>
      <c r="AS1221" s="1" t="s">
        <v>71</v>
      </c>
      <c r="AX1221" s="1" t="s">
        <v>71</v>
      </c>
      <c r="BH1221" s="1" t="s">
        <v>71</v>
      </c>
    </row>
    <row r="1222" customFormat="false" ht="15" hidden="false" customHeight="false" outlineLevel="0" collapsed="false">
      <c r="A1222" s="1" t="s">
        <v>4140</v>
      </c>
      <c r="B1222" s="1" t="s">
        <v>4141</v>
      </c>
      <c r="C1222" s="1" t="s">
        <v>1137</v>
      </c>
      <c r="D1222" s="1" t="s">
        <v>4109</v>
      </c>
      <c r="E1222" s="1" t="s">
        <v>82</v>
      </c>
      <c r="F1222" s="1" t="s">
        <v>391</v>
      </c>
      <c r="G1222" s="1" t="s">
        <v>443</v>
      </c>
      <c r="H1222" s="1" t="s">
        <v>444</v>
      </c>
      <c r="K1222" s="1" t="s">
        <v>61</v>
      </c>
      <c r="L1222" s="1" t="s">
        <v>445</v>
      </c>
      <c r="M1222" s="1" t="s">
        <v>2020</v>
      </c>
      <c r="N1222" s="1" t="s">
        <v>4142</v>
      </c>
      <c r="O1222" s="1" t="s">
        <v>2989</v>
      </c>
      <c r="P1222" s="1" t="s">
        <v>4143</v>
      </c>
      <c r="Z1222" s="1" t="s">
        <v>71</v>
      </c>
      <c r="AE1222" s="1" t="s">
        <v>4144</v>
      </c>
      <c r="AH1222" s="1" t="s">
        <v>73</v>
      </c>
      <c r="AK1222" s="1" t="s">
        <v>71</v>
      </c>
      <c r="AM1222" s="1" t="s">
        <v>71</v>
      </c>
      <c r="AN1222" s="1" t="s">
        <v>71</v>
      </c>
      <c r="AS1222" s="1" t="s">
        <v>71</v>
      </c>
      <c r="AX1222" s="1" t="s">
        <v>71</v>
      </c>
      <c r="BH1222" s="1" t="s">
        <v>71</v>
      </c>
    </row>
    <row r="1223" customFormat="false" ht="15" hidden="false" customHeight="false" outlineLevel="0" collapsed="false">
      <c r="A1223" s="1" t="s">
        <v>4145</v>
      </c>
      <c r="B1223" s="1" t="s">
        <v>4146</v>
      </c>
      <c r="C1223" s="1" t="s">
        <v>389</v>
      </c>
      <c r="D1223" s="1" t="s">
        <v>390</v>
      </c>
      <c r="E1223" s="1" t="s">
        <v>82</v>
      </c>
      <c r="F1223" s="1" t="s">
        <v>391</v>
      </c>
      <c r="G1223" s="1" t="s">
        <v>443</v>
      </c>
      <c r="H1223" s="1" t="s">
        <v>444</v>
      </c>
      <c r="K1223" s="1" t="s">
        <v>61</v>
      </c>
      <c r="L1223" s="1" t="s">
        <v>445</v>
      </c>
      <c r="M1223" s="1" t="s">
        <v>496</v>
      </c>
      <c r="N1223" s="1" t="s">
        <v>394</v>
      </c>
      <c r="O1223" s="1" t="s">
        <v>395</v>
      </c>
      <c r="P1223" s="1" t="s">
        <v>3674</v>
      </c>
      <c r="Z1223" s="1" t="s">
        <v>71</v>
      </c>
      <c r="AE1223" s="1" t="s">
        <v>4147</v>
      </c>
      <c r="AH1223" s="1" t="s">
        <v>73</v>
      </c>
      <c r="AK1223" s="1" t="s">
        <v>71</v>
      </c>
      <c r="AM1223" s="1" t="s">
        <v>71</v>
      </c>
      <c r="AN1223" s="1" t="s">
        <v>71</v>
      </c>
      <c r="AS1223" s="1" t="s">
        <v>71</v>
      </c>
      <c r="AX1223" s="1" t="s">
        <v>71</v>
      </c>
      <c r="BH1223" s="1" t="s">
        <v>71</v>
      </c>
    </row>
    <row r="1224" customFormat="false" ht="15" hidden="false" customHeight="false" outlineLevel="0" collapsed="false">
      <c r="A1224" s="1" t="s">
        <v>4148</v>
      </c>
      <c r="B1224" s="1" t="s">
        <v>4149</v>
      </c>
      <c r="C1224" s="1" t="s">
        <v>1151</v>
      </c>
      <c r="D1224" s="1" t="s">
        <v>4150</v>
      </c>
      <c r="E1224" s="1" t="s">
        <v>82</v>
      </c>
      <c r="F1224" s="1" t="s">
        <v>391</v>
      </c>
      <c r="G1224" s="1" t="s">
        <v>97</v>
      </c>
      <c r="H1224" s="1" t="s">
        <v>406</v>
      </c>
      <c r="K1224" s="1" t="s">
        <v>65</v>
      </c>
      <c r="L1224" s="1" t="s">
        <v>860</v>
      </c>
      <c r="M1224" s="1" t="s">
        <v>806</v>
      </c>
      <c r="N1224" s="1" t="s">
        <v>2753</v>
      </c>
      <c r="O1224" s="1" t="s">
        <v>400</v>
      </c>
      <c r="P1224" s="1" t="s">
        <v>4151</v>
      </c>
      <c r="Z1224" s="1" t="s">
        <v>71</v>
      </c>
      <c r="AE1224" s="1" t="s">
        <v>4147</v>
      </c>
      <c r="AH1224" s="1" t="s">
        <v>73</v>
      </c>
      <c r="AK1224" s="1" t="s">
        <v>71</v>
      </c>
      <c r="AM1224" s="1" t="s">
        <v>71</v>
      </c>
      <c r="AN1224" s="1" t="s">
        <v>71</v>
      </c>
      <c r="AS1224" s="1" t="s">
        <v>71</v>
      </c>
      <c r="AX1224" s="1" t="s">
        <v>71</v>
      </c>
      <c r="BH1224" s="1" t="s">
        <v>71</v>
      </c>
    </row>
    <row r="1225" customFormat="false" ht="15" hidden="false" customHeight="false" outlineLevel="0" collapsed="false">
      <c r="A1225" s="1" t="s">
        <v>4152</v>
      </c>
      <c r="B1225" s="1" t="s">
        <v>4153</v>
      </c>
      <c r="C1225" s="1" t="s">
        <v>161</v>
      </c>
      <c r="D1225" s="1" t="s">
        <v>162</v>
      </c>
      <c r="E1225" s="1" t="s">
        <v>61</v>
      </c>
      <c r="F1225" s="1" t="s">
        <v>101</v>
      </c>
      <c r="G1225" s="1" t="s">
        <v>93</v>
      </c>
      <c r="H1225" s="1" t="s">
        <v>64</v>
      </c>
      <c r="K1225" s="1" t="s">
        <v>283</v>
      </c>
      <c r="L1225" s="1" t="s">
        <v>284</v>
      </c>
      <c r="M1225" s="1" t="s">
        <v>104</v>
      </c>
      <c r="N1225" s="1" t="s">
        <v>105</v>
      </c>
      <c r="O1225" s="1" t="s">
        <v>106</v>
      </c>
      <c r="P1225" s="1" t="s">
        <v>3539</v>
      </c>
      <c r="U1225" s="1" t="s">
        <v>4152</v>
      </c>
      <c r="Z1225" s="1" t="s">
        <v>71</v>
      </c>
      <c r="AE1225" s="1" t="s">
        <v>4154</v>
      </c>
      <c r="AH1225" s="1" t="s">
        <v>73</v>
      </c>
      <c r="AK1225" s="1" t="s">
        <v>71</v>
      </c>
      <c r="AM1225" s="1" t="s">
        <v>71</v>
      </c>
      <c r="AN1225" s="1" t="s">
        <v>71</v>
      </c>
      <c r="AS1225" s="1" t="s">
        <v>71</v>
      </c>
      <c r="AX1225" s="1" t="s">
        <v>71</v>
      </c>
      <c r="AY1225" s="1" t="s">
        <v>59</v>
      </c>
      <c r="AZ1225" s="1" t="s">
        <v>74</v>
      </c>
      <c r="BH1225" s="1" t="s">
        <v>71</v>
      </c>
    </row>
    <row r="1226" customFormat="false" ht="15" hidden="false" customHeight="false" outlineLevel="0" collapsed="false">
      <c r="A1226" s="1" t="s">
        <v>4155</v>
      </c>
      <c r="B1226" s="1" t="s">
        <v>4156</v>
      </c>
      <c r="C1226" s="1" t="s">
        <v>353</v>
      </c>
      <c r="D1226" s="1" t="s">
        <v>1771</v>
      </c>
      <c r="E1226" s="1" t="s">
        <v>82</v>
      </c>
      <c r="F1226" s="1" t="s">
        <v>391</v>
      </c>
      <c r="G1226" s="1" t="s">
        <v>213</v>
      </c>
      <c r="H1226" s="1" t="s">
        <v>477</v>
      </c>
      <c r="K1226" s="1" t="s">
        <v>478</v>
      </c>
      <c r="L1226" s="1" t="s">
        <v>479</v>
      </c>
      <c r="M1226" s="1" t="s">
        <v>692</v>
      </c>
      <c r="N1226" s="1" t="s">
        <v>536</v>
      </c>
      <c r="O1226" s="1" t="s">
        <v>537</v>
      </c>
      <c r="P1226" s="1" t="s">
        <v>3884</v>
      </c>
      <c r="Z1226" s="1" t="s">
        <v>71</v>
      </c>
      <c r="AE1226" s="1" t="s">
        <v>4157</v>
      </c>
      <c r="AH1226" s="1" t="s">
        <v>73</v>
      </c>
      <c r="AK1226" s="1" t="s">
        <v>71</v>
      </c>
      <c r="AM1226" s="1" t="s">
        <v>71</v>
      </c>
      <c r="AN1226" s="1" t="s">
        <v>71</v>
      </c>
      <c r="AS1226" s="1" t="s">
        <v>71</v>
      </c>
      <c r="AX1226" s="1" t="s">
        <v>71</v>
      </c>
      <c r="BH1226" s="1" t="s">
        <v>71</v>
      </c>
    </row>
    <row r="1227" customFormat="false" ht="15" hidden="false" customHeight="false" outlineLevel="0" collapsed="false">
      <c r="A1227" s="1" t="s">
        <v>4158</v>
      </c>
      <c r="B1227" s="1" t="s">
        <v>4159</v>
      </c>
      <c r="C1227" s="1" t="s">
        <v>448</v>
      </c>
      <c r="D1227" s="1" t="s">
        <v>4160</v>
      </c>
      <c r="E1227" s="1" t="s">
        <v>61</v>
      </c>
      <c r="F1227" s="1" t="s">
        <v>101</v>
      </c>
      <c r="G1227" s="1" t="s">
        <v>93</v>
      </c>
      <c r="H1227" s="1" t="s">
        <v>64</v>
      </c>
      <c r="K1227" s="1" t="s">
        <v>249</v>
      </c>
      <c r="L1227" s="1" t="s">
        <v>250</v>
      </c>
      <c r="M1227" s="1" t="s">
        <v>104</v>
      </c>
      <c r="N1227" s="1" t="s">
        <v>123</v>
      </c>
      <c r="O1227" s="1" t="s">
        <v>124</v>
      </c>
      <c r="P1227" s="1" t="s">
        <v>4161</v>
      </c>
      <c r="U1227" s="1" t="s">
        <v>4158</v>
      </c>
      <c r="Z1227" s="1" t="s">
        <v>71</v>
      </c>
      <c r="AE1227" s="1" t="s">
        <v>4162</v>
      </c>
      <c r="AH1227" s="1" t="s">
        <v>73</v>
      </c>
      <c r="AK1227" s="1" t="s">
        <v>71</v>
      </c>
      <c r="AM1227" s="1" t="s">
        <v>71</v>
      </c>
      <c r="AN1227" s="1" t="s">
        <v>71</v>
      </c>
      <c r="AS1227" s="1" t="s">
        <v>71</v>
      </c>
      <c r="AX1227" s="1" t="s">
        <v>71</v>
      </c>
      <c r="AY1227" s="1" t="s">
        <v>59</v>
      </c>
      <c r="AZ1227" s="1" t="s">
        <v>74</v>
      </c>
      <c r="BH1227" s="1" t="s">
        <v>71</v>
      </c>
    </row>
    <row r="1228" customFormat="false" ht="15" hidden="false" customHeight="false" outlineLevel="0" collapsed="false">
      <c r="A1228" s="1" t="s">
        <v>4163</v>
      </c>
      <c r="B1228" s="1" t="s">
        <v>4164</v>
      </c>
      <c r="C1228" s="1" t="s">
        <v>1066</v>
      </c>
      <c r="D1228" s="1" t="s">
        <v>3728</v>
      </c>
      <c r="E1228" s="1" t="s">
        <v>82</v>
      </c>
      <c r="F1228" s="1" t="s">
        <v>391</v>
      </c>
      <c r="G1228" s="1" t="s">
        <v>443</v>
      </c>
      <c r="H1228" s="1" t="s">
        <v>444</v>
      </c>
      <c r="K1228" s="1" t="s">
        <v>61</v>
      </c>
      <c r="L1228" s="1" t="s">
        <v>445</v>
      </c>
      <c r="M1228" s="1" t="s">
        <v>2909</v>
      </c>
      <c r="N1228" s="1" t="s">
        <v>4165</v>
      </c>
      <c r="O1228" s="1" t="s">
        <v>4166</v>
      </c>
      <c r="P1228" s="1" t="s">
        <v>4167</v>
      </c>
      <c r="Z1228" s="1" t="s">
        <v>71</v>
      </c>
      <c r="AE1228" s="1" t="s">
        <v>4168</v>
      </c>
      <c r="AH1228" s="1" t="s">
        <v>73</v>
      </c>
      <c r="AK1228" s="1" t="s">
        <v>71</v>
      </c>
      <c r="AM1228" s="1" t="s">
        <v>71</v>
      </c>
      <c r="AN1228" s="1" t="s">
        <v>71</v>
      </c>
      <c r="AS1228" s="1" t="s">
        <v>71</v>
      </c>
      <c r="AX1228" s="1" t="s">
        <v>71</v>
      </c>
      <c r="BH1228" s="1" t="s">
        <v>71</v>
      </c>
    </row>
    <row r="1229" customFormat="false" ht="15" hidden="false" customHeight="false" outlineLevel="0" collapsed="false">
      <c r="A1229" s="1" t="s">
        <v>4169</v>
      </c>
      <c r="B1229" s="1" t="s">
        <v>4170</v>
      </c>
      <c r="C1229" s="1" t="s">
        <v>1066</v>
      </c>
      <c r="D1229" s="1" t="s">
        <v>3728</v>
      </c>
      <c r="E1229" s="1" t="s">
        <v>82</v>
      </c>
      <c r="F1229" s="1" t="s">
        <v>391</v>
      </c>
      <c r="G1229" s="1" t="s">
        <v>443</v>
      </c>
      <c r="H1229" s="1" t="s">
        <v>444</v>
      </c>
      <c r="K1229" s="1" t="s">
        <v>61</v>
      </c>
      <c r="L1229" s="1" t="s">
        <v>445</v>
      </c>
      <c r="M1229" s="1" t="s">
        <v>496</v>
      </c>
      <c r="N1229" s="1" t="s">
        <v>4171</v>
      </c>
      <c r="O1229" s="1" t="s">
        <v>4172</v>
      </c>
      <c r="P1229" s="1" t="s">
        <v>4173</v>
      </c>
      <c r="Z1229" s="1" t="s">
        <v>71</v>
      </c>
      <c r="AE1229" s="1" t="s">
        <v>4168</v>
      </c>
      <c r="AH1229" s="1" t="s">
        <v>73</v>
      </c>
      <c r="AK1229" s="1" t="s">
        <v>71</v>
      </c>
      <c r="AM1229" s="1" t="s">
        <v>71</v>
      </c>
      <c r="AN1229" s="1" t="s">
        <v>71</v>
      </c>
      <c r="AS1229" s="1" t="s">
        <v>71</v>
      </c>
      <c r="AX1229" s="1" t="s">
        <v>71</v>
      </c>
      <c r="BH1229" s="1" t="s">
        <v>71</v>
      </c>
    </row>
    <row r="1230" customFormat="false" ht="15" hidden="false" customHeight="false" outlineLevel="0" collapsed="false">
      <c r="A1230" s="1" t="s">
        <v>4174</v>
      </c>
      <c r="B1230" s="1" t="s">
        <v>4175</v>
      </c>
      <c r="C1230" s="1" t="s">
        <v>1066</v>
      </c>
      <c r="D1230" s="1" t="s">
        <v>3728</v>
      </c>
      <c r="E1230" s="1" t="s">
        <v>82</v>
      </c>
      <c r="F1230" s="1" t="s">
        <v>391</v>
      </c>
      <c r="G1230" s="1" t="s">
        <v>443</v>
      </c>
      <c r="H1230" s="1" t="s">
        <v>444</v>
      </c>
      <c r="K1230" s="1" t="s">
        <v>61</v>
      </c>
      <c r="L1230" s="1" t="s">
        <v>445</v>
      </c>
      <c r="M1230" s="1" t="s">
        <v>496</v>
      </c>
      <c r="N1230" s="1" t="s">
        <v>4165</v>
      </c>
      <c r="O1230" s="1" t="s">
        <v>4166</v>
      </c>
      <c r="P1230" s="1" t="s">
        <v>4167</v>
      </c>
      <c r="Z1230" s="1" t="s">
        <v>71</v>
      </c>
      <c r="AE1230" s="1" t="s">
        <v>4168</v>
      </c>
      <c r="AH1230" s="1" t="s">
        <v>73</v>
      </c>
      <c r="AK1230" s="1" t="s">
        <v>71</v>
      </c>
      <c r="AM1230" s="1" t="s">
        <v>71</v>
      </c>
      <c r="AN1230" s="1" t="s">
        <v>71</v>
      </c>
      <c r="AS1230" s="1" t="s">
        <v>71</v>
      </c>
      <c r="AX1230" s="1" t="s">
        <v>71</v>
      </c>
      <c r="BH1230" s="1" t="s">
        <v>71</v>
      </c>
    </row>
    <row r="1231" customFormat="false" ht="15" hidden="false" customHeight="false" outlineLevel="0" collapsed="false">
      <c r="A1231" s="1" t="s">
        <v>4176</v>
      </c>
      <c r="B1231" s="1" t="s">
        <v>4177</v>
      </c>
      <c r="C1231" s="1" t="s">
        <v>312</v>
      </c>
      <c r="D1231" s="1" t="s">
        <v>2073</v>
      </c>
      <c r="E1231" s="1" t="s">
        <v>82</v>
      </c>
      <c r="F1231" s="1" t="s">
        <v>391</v>
      </c>
      <c r="G1231" s="1" t="s">
        <v>213</v>
      </c>
      <c r="H1231" s="1" t="s">
        <v>477</v>
      </c>
      <c r="K1231" s="1" t="s">
        <v>1904</v>
      </c>
      <c r="L1231" s="1" t="s">
        <v>1905</v>
      </c>
      <c r="M1231" s="1" t="s">
        <v>496</v>
      </c>
      <c r="N1231" s="1" t="s">
        <v>2621</v>
      </c>
      <c r="O1231" s="1" t="s">
        <v>2622</v>
      </c>
      <c r="P1231" s="1" t="s">
        <v>3601</v>
      </c>
      <c r="Z1231" s="1" t="s">
        <v>71</v>
      </c>
      <c r="AE1231" s="1" t="s">
        <v>4178</v>
      </c>
      <c r="AH1231" s="1" t="s">
        <v>73</v>
      </c>
      <c r="AK1231" s="1" t="s">
        <v>71</v>
      </c>
      <c r="AM1231" s="1" t="s">
        <v>71</v>
      </c>
      <c r="AN1231" s="1" t="s">
        <v>71</v>
      </c>
      <c r="AS1231" s="1" t="s">
        <v>71</v>
      </c>
      <c r="AX1231" s="1" t="s">
        <v>71</v>
      </c>
      <c r="BH1231" s="1" t="s">
        <v>71</v>
      </c>
    </row>
    <row r="1232" customFormat="false" ht="15" hidden="false" customHeight="false" outlineLevel="0" collapsed="false">
      <c r="A1232" s="1" t="s">
        <v>4179</v>
      </c>
      <c r="B1232" s="1" t="s">
        <v>4180</v>
      </c>
      <c r="C1232" s="1" t="s">
        <v>526</v>
      </c>
      <c r="D1232" s="1" t="s">
        <v>527</v>
      </c>
      <c r="E1232" s="1" t="s">
        <v>82</v>
      </c>
      <c r="F1232" s="1" t="s">
        <v>391</v>
      </c>
      <c r="G1232" s="1" t="s">
        <v>213</v>
      </c>
      <c r="H1232" s="1" t="s">
        <v>477</v>
      </c>
      <c r="K1232" s="1" t="s">
        <v>478</v>
      </c>
      <c r="L1232" s="1" t="s">
        <v>479</v>
      </c>
      <c r="M1232" s="1" t="s">
        <v>496</v>
      </c>
      <c r="N1232" s="1" t="s">
        <v>518</v>
      </c>
      <c r="O1232" s="1" t="s">
        <v>519</v>
      </c>
      <c r="P1232" s="1" t="s">
        <v>4181</v>
      </c>
      <c r="Z1232" s="1" t="s">
        <v>71</v>
      </c>
      <c r="AE1232" s="1" t="s">
        <v>4178</v>
      </c>
      <c r="AH1232" s="1" t="s">
        <v>73</v>
      </c>
      <c r="AK1232" s="1" t="s">
        <v>71</v>
      </c>
      <c r="AM1232" s="1" t="s">
        <v>71</v>
      </c>
      <c r="AN1232" s="1" t="s">
        <v>71</v>
      </c>
      <c r="AS1232" s="1" t="s">
        <v>71</v>
      </c>
      <c r="AX1232" s="1" t="s">
        <v>71</v>
      </c>
      <c r="BH1232" s="1" t="s">
        <v>71</v>
      </c>
    </row>
    <row r="1233" customFormat="false" ht="15" hidden="false" customHeight="false" outlineLevel="0" collapsed="false">
      <c r="A1233" s="1" t="s">
        <v>4182</v>
      </c>
      <c r="B1233" s="1" t="s">
        <v>4183</v>
      </c>
      <c r="C1233" s="1" t="s">
        <v>528</v>
      </c>
      <c r="D1233" s="1" t="s">
        <v>1274</v>
      </c>
      <c r="E1233" s="1" t="s">
        <v>82</v>
      </c>
      <c r="F1233" s="1" t="s">
        <v>391</v>
      </c>
      <c r="G1233" s="1" t="s">
        <v>443</v>
      </c>
      <c r="H1233" s="1" t="s">
        <v>444</v>
      </c>
      <c r="K1233" s="1" t="s">
        <v>61</v>
      </c>
      <c r="L1233" s="1" t="s">
        <v>445</v>
      </c>
      <c r="M1233" s="1" t="s">
        <v>496</v>
      </c>
      <c r="N1233" s="1" t="s">
        <v>842</v>
      </c>
      <c r="O1233" s="1" t="s">
        <v>400</v>
      </c>
      <c r="P1233" s="1" t="s">
        <v>3677</v>
      </c>
      <c r="Z1233" s="1" t="s">
        <v>71</v>
      </c>
      <c r="AE1233" s="1" t="s">
        <v>4184</v>
      </c>
      <c r="AH1233" s="1" t="s">
        <v>73</v>
      </c>
      <c r="AK1233" s="1" t="s">
        <v>71</v>
      </c>
      <c r="AM1233" s="1" t="s">
        <v>71</v>
      </c>
      <c r="AN1233" s="1" t="s">
        <v>71</v>
      </c>
      <c r="AS1233" s="1" t="s">
        <v>71</v>
      </c>
      <c r="AX1233" s="1" t="s">
        <v>71</v>
      </c>
      <c r="BH1233" s="1" t="s">
        <v>71</v>
      </c>
    </row>
    <row r="1234" customFormat="false" ht="15" hidden="false" customHeight="false" outlineLevel="0" collapsed="false">
      <c r="A1234" s="1" t="s">
        <v>4185</v>
      </c>
      <c r="B1234" s="1" t="s">
        <v>4186</v>
      </c>
      <c r="C1234" s="1" t="s">
        <v>528</v>
      </c>
      <c r="D1234" s="1" t="s">
        <v>1274</v>
      </c>
      <c r="E1234" s="1" t="s">
        <v>82</v>
      </c>
      <c r="F1234" s="1" t="s">
        <v>391</v>
      </c>
      <c r="G1234" s="1" t="s">
        <v>443</v>
      </c>
      <c r="H1234" s="1" t="s">
        <v>444</v>
      </c>
      <c r="K1234" s="1" t="s">
        <v>61</v>
      </c>
      <c r="L1234" s="1" t="s">
        <v>445</v>
      </c>
      <c r="M1234" s="1" t="s">
        <v>496</v>
      </c>
      <c r="N1234" s="1" t="s">
        <v>842</v>
      </c>
      <c r="O1234" s="1" t="s">
        <v>400</v>
      </c>
      <c r="P1234" s="1" t="s">
        <v>3677</v>
      </c>
      <c r="Z1234" s="1" t="s">
        <v>71</v>
      </c>
      <c r="AE1234" s="1" t="s">
        <v>4184</v>
      </c>
      <c r="AH1234" s="1" t="s">
        <v>73</v>
      </c>
      <c r="AK1234" s="1" t="s">
        <v>71</v>
      </c>
      <c r="AM1234" s="1" t="s">
        <v>71</v>
      </c>
      <c r="AN1234" s="1" t="s">
        <v>71</v>
      </c>
      <c r="AS1234" s="1" t="s">
        <v>71</v>
      </c>
      <c r="AX1234" s="1" t="s">
        <v>71</v>
      </c>
      <c r="BH1234" s="1" t="s">
        <v>71</v>
      </c>
    </row>
    <row r="1235" customFormat="false" ht="15" hidden="false" customHeight="false" outlineLevel="0" collapsed="false">
      <c r="A1235" s="1" t="s">
        <v>4187</v>
      </c>
      <c r="B1235" s="1" t="s">
        <v>4188</v>
      </c>
      <c r="C1235" s="1" t="s">
        <v>161</v>
      </c>
      <c r="D1235" s="1" t="s">
        <v>162</v>
      </c>
      <c r="E1235" s="1" t="s">
        <v>61</v>
      </c>
      <c r="F1235" s="1" t="s">
        <v>101</v>
      </c>
      <c r="G1235" s="1" t="s">
        <v>93</v>
      </c>
      <c r="H1235" s="1" t="s">
        <v>64</v>
      </c>
      <c r="K1235" s="1" t="s">
        <v>2113</v>
      </c>
      <c r="L1235" s="1" t="s">
        <v>4189</v>
      </c>
      <c r="M1235" s="1" t="s">
        <v>104</v>
      </c>
      <c r="N1235" s="1" t="s">
        <v>105</v>
      </c>
      <c r="O1235" s="1" t="s">
        <v>106</v>
      </c>
      <c r="P1235" s="1" t="s">
        <v>3539</v>
      </c>
      <c r="U1235" s="1" t="s">
        <v>4187</v>
      </c>
      <c r="Z1235" s="1" t="s">
        <v>71</v>
      </c>
      <c r="AE1235" s="1" t="s">
        <v>4190</v>
      </c>
      <c r="AH1235" s="1" t="s">
        <v>73</v>
      </c>
      <c r="AK1235" s="1" t="s">
        <v>71</v>
      </c>
      <c r="AM1235" s="1" t="s">
        <v>71</v>
      </c>
      <c r="AN1235" s="1" t="s">
        <v>71</v>
      </c>
      <c r="AS1235" s="1" t="s">
        <v>71</v>
      </c>
      <c r="AX1235" s="1" t="s">
        <v>71</v>
      </c>
      <c r="AY1235" s="1" t="s">
        <v>59</v>
      </c>
      <c r="AZ1235" s="1" t="s">
        <v>74</v>
      </c>
      <c r="BH1235" s="1" t="s">
        <v>71</v>
      </c>
    </row>
    <row r="1236" customFormat="false" ht="15" hidden="false" customHeight="false" outlineLevel="0" collapsed="false">
      <c r="A1236" s="1" t="s">
        <v>4191</v>
      </c>
      <c r="B1236" s="1" t="s">
        <v>4192</v>
      </c>
      <c r="C1236" s="1" t="s">
        <v>1160</v>
      </c>
      <c r="D1236" s="1" t="s">
        <v>4193</v>
      </c>
      <c r="E1236" s="1" t="s">
        <v>88</v>
      </c>
      <c r="F1236" s="1" t="s">
        <v>432</v>
      </c>
      <c r="G1236" s="1" t="s">
        <v>232</v>
      </c>
      <c r="H1236" s="1" t="s">
        <v>4194</v>
      </c>
      <c r="K1236" s="1" t="s">
        <v>65</v>
      </c>
      <c r="L1236" s="1" t="s">
        <v>4195</v>
      </c>
      <c r="M1236" s="1" t="s">
        <v>496</v>
      </c>
      <c r="N1236" s="1" t="s">
        <v>4196</v>
      </c>
      <c r="O1236" s="1" t="s">
        <v>4197</v>
      </c>
      <c r="P1236" s="1" t="s">
        <v>4198</v>
      </c>
      <c r="Z1236" s="1" t="s">
        <v>71</v>
      </c>
      <c r="AE1236" s="1" t="s">
        <v>4199</v>
      </c>
      <c r="AH1236" s="1" t="s">
        <v>73</v>
      </c>
      <c r="AK1236" s="1" t="s">
        <v>71</v>
      </c>
      <c r="AM1236" s="1" t="s">
        <v>71</v>
      </c>
      <c r="AN1236" s="1" t="s">
        <v>71</v>
      </c>
      <c r="AS1236" s="1" t="s">
        <v>71</v>
      </c>
      <c r="AX1236" s="1" t="s">
        <v>71</v>
      </c>
      <c r="BH1236" s="1" t="s">
        <v>71</v>
      </c>
    </row>
    <row r="1237" customFormat="false" ht="15" hidden="false" customHeight="false" outlineLevel="0" collapsed="false">
      <c r="A1237" s="1" t="s">
        <v>4200</v>
      </c>
      <c r="B1237" s="1" t="s">
        <v>4201</v>
      </c>
      <c r="C1237" s="1" t="s">
        <v>1399</v>
      </c>
      <c r="D1237" s="1" t="s">
        <v>1400</v>
      </c>
      <c r="E1237" s="1" t="s">
        <v>82</v>
      </c>
      <c r="F1237" s="1" t="s">
        <v>391</v>
      </c>
      <c r="G1237" s="1" t="s">
        <v>1356</v>
      </c>
      <c r="H1237" s="1" t="s">
        <v>1825</v>
      </c>
      <c r="K1237" s="1" t="s">
        <v>251</v>
      </c>
      <c r="L1237" s="1" t="s">
        <v>3580</v>
      </c>
      <c r="M1237" s="1" t="s">
        <v>496</v>
      </c>
      <c r="N1237" s="1" t="s">
        <v>4202</v>
      </c>
      <c r="O1237" s="1" t="s">
        <v>4203</v>
      </c>
      <c r="P1237" s="1" t="s">
        <v>4204</v>
      </c>
      <c r="Z1237" s="1" t="s">
        <v>71</v>
      </c>
      <c r="AE1237" s="1" t="s">
        <v>4199</v>
      </c>
      <c r="AH1237" s="1" t="s">
        <v>73</v>
      </c>
      <c r="AK1237" s="1" t="s">
        <v>71</v>
      </c>
      <c r="AM1237" s="1" t="s">
        <v>71</v>
      </c>
      <c r="AN1237" s="1" t="s">
        <v>71</v>
      </c>
      <c r="AS1237" s="1" t="s">
        <v>71</v>
      </c>
      <c r="AX1237" s="1" t="s">
        <v>71</v>
      </c>
      <c r="BH1237" s="1" t="s">
        <v>71</v>
      </c>
    </row>
    <row r="1238" customFormat="false" ht="15" hidden="false" customHeight="false" outlineLevel="0" collapsed="false">
      <c r="A1238" s="1" t="s">
        <v>4205</v>
      </c>
      <c r="B1238" s="1" t="s">
        <v>4206</v>
      </c>
      <c r="C1238" s="1" t="s">
        <v>1162</v>
      </c>
      <c r="D1238" s="1" t="s">
        <v>4207</v>
      </c>
      <c r="E1238" s="1" t="s">
        <v>82</v>
      </c>
      <c r="F1238" s="1" t="s">
        <v>391</v>
      </c>
      <c r="G1238" s="1" t="s">
        <v>97</v>
      </c>
      <c r="H1238" s="1" t="s">
        <v>406</v>
      </c>
      <c r="K1238" s="1" t="s">
        <v>407</v>
      </c>
      <c r="L1238" s="1" t="s">
        <v>408</v>
      </c>
      <c r="M1238" s="1" t="s">
        <v>496</v>
      </c>
      <c r="N1238" s="1" t="s">
        <v>4208</v>
      </c>
      <c r="O1238" s="1" t="s">
        <v>4209</v>
      </c>
      <c r="P1238" s="1" t="s">
        <v>4210</v>
      </c>
      <c r="Z1238" s="1" t="s">
        <v>71</v>
      </c>
      <c r="AE1238" s="1" t="s">
        <v>4199</v>
      </c>
      <c r="AH1238" s="1" t="s">
        <v>73</v>
      </c>
      <c r="AK1238" s="1" t="s">
        <v>71</v>
      </c>
      <c r="AM1238" s="1" t="s">
        <v>71</v>
      </c>
      <c r="AN1238" s="1" t="s">
        <v>71</v>
      </c>
      <c r="AS1238" s="1" t="s">
        <v>71</v>
      </c>
      <c r="AX1238" s="1" t="s">
        <v>71</v>
      </c>
      <c r="BH1238" s="1" t="s">
        <v>71</v>
      </c>
    </row>
    <row r="1239" customFormat="false" ht="15" hidden="false" customHeight="false" outlineLevel="0" collapsed="false">
      <c r="A1239" s="1" t="s">
        <v>4211</v>
      </c>
      <c r="B1239" s="1" t="s">
        <v>4212</v>
      </c>
      <c r="C1239" s="1" t="s">
        <v>1162</v>
      </c>
      <c r="D1239" s="1" t="s">
        <v>4207</v>
      </c>
      <c r="E1239" s="1" t="s">
        <v>82</v>
      </c>
      <c r="F1239" s="1" t="s">
        <v>391</v>
      </c>
      <c r="G1239" s="1" t="s">
        <v>97</v>
      </c>
      <c r="H1239" s="1" t="s">
        <v>406</v>
      </c>
      <c r="K1239" s="1" t="s">
        <v>65</v>
      </c>
      <c r="L1239" s="1" t="s">
        <v>860</v>
      </c>
      <c r="M1239" s="1" t="s">
        <v>496</v>
      </c>
      <c r="N1239" s="1" t="s">
        <v>1049</v>
      </c>
      <c r="O1239" s="1" t="s">
        <v>400</v>
      </c>
      <c r="P1239" s="1" t="s">
        <v>4213</v>
      </c>
      <c r="Z1239" s="1" t="s">
        <v>71</v>
      </c>
      <c r="AE1239" s="1" t="s">
        <v>4199</v>
      </c>
      <c r="AH1239" s="1" t="s">
        <v>73</v>
      </c>
      <c r="AK1239" s="1" t="s">
        <v>71</v>
      </c>
      <c r="AM1239" s="1" t="s">
        <v>71</v>
      </c>
      <c r="AN1239" s="1" t="s">
        <v>71</v>
      </c>
      <c r="AS1239" s="1" t="s">
        <v>71</v>
      </c>
      <c r="AX1239" s="1" t="s">
        <v>71</v>
      </c>
      <c r="BH1239" s="1" t="s">
        <v>71</v>
      </c>
    </row>
    <row r="1240" customFormat="false" ht="15" hidden="false" customHeight="false" outlineLevel="0" collapsed="false">
      <c r="A1240" s="1" t="s">
        <v>4214</v>
      </c>
      <c r="B1240" s="1" t="s">
        <v>4215</v>
      </c>
      <c r="C1240" s="1" t="s">
        <v>1162</v>
      </c>
      <c r="D1240" s="1" t="s">
        <v>4207</v>
      </c>
      <c r="E1240" s="1" t="s">
        <v>82</v>
      </c>
      <c r="F1240" s="1" t="s">
        <v>391</v>
      </c>
      <c r="G1240" s="1" t="s">
        <v>97</v>
      </c>
      <c r="H1240" s="1" t="s">
        <v>406</v>
      </c>
      <c r="K1240" s="1" t="s">
        <v>65</v>
      </c>
      <c r="L1240" s="1" t="s">
        <v>860</v>
      </c>
      <c r="M1240" s="1" t="s">
        <v>496</v>
      </c>
      <c r="N1240" s="1" t="s">
        <v>4216</v>
      </c>
      <c r="O1240" s="1" t="s">
        <v>4030</v>
      </c>
      <c r="P1240" s="1" t="s">
        <v>4217</v>
      </c>
      <c r="U1240" s="1" t="s">
        <v>4214</v>
      </c>
      <c r="Z1240" s="1" t="s">
        <v>71</v>
      </c>
      <c r="AE1240" s="1" t="s">
        <v>4199</v>
      </c>
      <c r="AH1240" s="1" t="s">
        <v>73</v>
      </c>
      <c r="AK1240" s="1" t="s">
        <v>71</v>
      </c>
      <c r="AM1240" s="1" t="s">
        <v>71</v>
      </c>
      <c r="AN1240" s="1" t="s">
        <v>71</v>
      </c>
      <c r="AS1240" s="1" t="s">
        <v>71</v>
      </c>
      <c r="AX1240" s="1" t="s">
        <v>71</v>
      </c>
      <c r="BH1240" s="1" t="s">
        <v>71</v>
      </c>
    </row>
    <row r="1241" customFormat="false" ht="15" hidden="false" customHeight="false" outlineLevel="0" collapsed="false">
      <c r="A1241" s="1" t="s">
        <v>4218</v>
      </c>
      <c r="B1241" s="1" t="s">
        <v>4219</v>
      </c>
      <c r="C1241" s="1" t="s">
        <v>1162</v>
      </c>
      <c r="D1241" s="1" t="s">
        <v>4207</v>
      </c>
      <c r="E1241" s="1" t="s">
        <v>82</v>
      </c>
      <c r="F1241" s="1" t="s">
        <v>391</v>
      </c>
      <c r="G1241" s="1" t="s">
        <v>97</v>
      </c>
      <c r="H1241" s="1" t="s">
        <v>406</v>
      </c>
      <c r="K1241" s="1" t="s">
        <v>65</v>
      </c>
      <c r="L1241" s="1" t="s">
        <v>860</v>
      </c>
      <c r="M1241" s="1" t="s">
        <v>496</v>
      </c>
      <c r="N1241" s="1" t="s">
        <v>4220</v>
      </c>
      <c r="O1241" s="1" t="s">
        <v>4221</v>
      </c>
      <c r="P1241" s="1" t="s">
        <v>4222</v>
      </c>
      <c r="Z1241" s="1" t="s">
        <v>71</v>
      </c>
      <c r="AE1241" s="1" t="s">
        <v>4199</v>
      </c>
      <c r="AH1241" s="1" t="s">
        <v>73</v>
      </c>
      <c r="AK1241" s="1" t="s">
        <v>71</v>
      </c>
      <c r="AM1241" s="1" t="s">
        <v>71</v>
      </c>
      <c r="AN1241" s="1" t="s">
        <v>71</v>
      </c>
      <c r="AS1241" s="1" t="s">
        <v>71</v>
      </c>
      <c r="AX1241" s="1" t="s">
        <v>71</v>
      </c>
      <c r="BH1241" s="1" t="s">
        <v>71</v>
      </c>
    </row>
    <row r="1242" customFormat="false" ht="15" hidden="false" customHeight="false" outlineLevel="0" collapsed="false">
      <c r="A1242" s="1" t="s">
        <v>4223</v>
      </c>
      <c r="B1242" s="1" t="s">
        <v>4224</v>
      </c>
      <c r="C1242" s="1" t="s">
        <v>1162</v>
      </c>
      <c r="D1242" s="1" t="s">
        <v>4207</v>
      </c>
      <c r="E1242" s="1" t="s">
        <v>82</v>
      </c>
      <c r="F1242" s="1" t="s">
        <v>391</v>
      </c>
      <c r="G1242" s="1" t="s">
        <v>97</v>
      </c>
      <c r="H1242" s="1" t="s">
        <v>406</v>
      </c>
      <c r="K1242" s="1" t="s">
        <v>65</v>
      </c>
      <c r="L1242" s="1" t="s">
        <v>860</v>
      </c>
      <c r="M1242" s="1" t="s">
        <v>496</v>
      </c>
      <c r="N1242" s="1" t="s">
        <v>4225</v>
      </c>
      <c r="O1242" s="1" t="s">
        <v>447</v>
      </c>
      <c r="P1242" s="1" t="s">
        <v>4226</v>
      </c>
      <c r="Z1242" s="1" t="s">
        <v>71</v>
      </c>
      <c r="AE1242" s="1" t="s">
        <v>4199</v>
      </c>
      <c r="AH1242" s="1" t="s">
        <v>73</v>
      </c>
      <c r="AK1242" s="1" t="s">
        <v>71</v>
      </c>
      <c r="AM1242" s="1" t="s">
        <v>71</v>
      </c>
      <c r="AN1242" s="1" t="s">
        <v>71</v>
      </c>
      <c r="AS1242" s="1" t="s">
        <v>71</v>
      </c>
      <c r="AX1242" s="1" t="s">
        <v>71</v>
      </c>
      <c r="BH1242" s="1" t="s">
        <v>71</v>
      </c>
    </row>
    <row r="1243" customFormat="false" ht="15" hidden="false" customHeight="false" outlineLevel="0" collapsed="false">
      <c r="A1243" s="1" t="s">
        <v>4227</v>
      </c>
      <c r="B1243" s="1" t="s">
        <v>4228</v>
      </c>
      <c r="C1243" s="1" t="s">
        <v>1162</v>
      </c>
      <c r="D1243" s="1" t="s">
        <v>4207</v>
      </c>
      <c r="E1243" s="1" t="s">
        <v>82</v>
      </c>
      <c r="F1243" s="1" t="s">
        <v>391</v>
      </c>
      <c r="G1243" s="1" t="s">
        <v>97</v>
      </c>
      <c r="H1243" s="1" t="s">
        <v>406</v>
      </c>
      <c r="K1243" s="1" t="s">
        <v>65</v>
      </c>
      <c r="L1243" s="1" t="s">
        <v>860</v>
      </c>
      <c r="M1243" s="1" t="s">
        <v>496</v>
      </c>
      <c r="N1243" s="1" t="s">
        <v>4229</v>
      </c>
      <c r="O1243" s="1" t="s">
        <v>4230</v>
      </c>
      <c r="P1243" s="1" t="s">
        <v>4231</v>
      </c>
      <c r="Z1243" s="1" t="s">
        <v>71</v>
      </c>
      <c r="AE1243" s="1" t="s">
        <v>4199</v>
      </c>
      <c r="AH1243" s="1" t="s">
        <v>73</v>
      </c>
      <c r="AK1243" s="1" t="s">
        <v>71</v>
      </c>
      <c r="AM1243" s="1" t="s">
        <v>71</v>
      </c>
      <c r="AN1243" s="1" t="s">
        <v>71</v>
      </c>
      <c r="AS1243" s="1" t="s">
        <v>71</v>
      </c>
      <c r="AX1243" s="1" t="s">
        <v>71</v>
      </c>
      <c r="BH1243" s="1" t="s">
        <v>71</v>
      </c>
    </row>
    <row r="1244" customFormat="false" ht="15" hidden="false" customHeight="false" outlineLevel="0" collapsed="false">
      <c r="A1244" s="1" t="s">
        <v>4232</v>
      </c>
      <c r="B1244" s="1" t="s">
        <v>4233</v>
      </c>
      <c r="C1244" s="1" t="s">
        <v>1162</v>
      </c>
      <c r="D1244" s="1" t="s">
        <v>4207</v>
      </c>
      <c r="E1244" s="1" t="s">
        <v>82</v>
      </c>
      <c r="F1244" s="1" t="s">
        <v>391</v>
      </c>
      <c r="G1244" s="1" t="s">
        <v>97</v>
      </c>
      <c r="H1244" s="1" t="s">
        <v>406</v>
      </c>
      <c r="K1244" s="1" t="s">
        <v>65</v>
      </c>
      <c r="L1244" s="1" t="s">
        <v>860</v>
      </c>
      <c r="M1244" s="1" t="s">
        <v>496</v>
      </c>
      <c r="N1244" s="1" t="s">
        <v>4234</v>
      </c>
      <c r="O1244" s="1" t="s">
        <v>400</v>
      </c>
      <c r="P1244" s="1" t="s">
        <v>4235</v>
      </c>
      <c r="Z1244" s="1" t="s">
        <v>71</v>
      </c>
      <c r="AE1244" s="1" t="s">
        <v>4199</v>
      </c>
      <c r="AH1244" s="1" t="s">
        <v>73</v>
      </c>
      <c r="AK1244" s="1" t="s">
        <v>71</v>
      </c>
      <c r="AM1244" s="1" t="s">
        <v>71</v>
      </c>
      <c r="AN1244" s="1" t="s">
        <v>71</v>
      </c>
      <c r="AS1244" s="1" t="s">
        <v>71</v>
      </c>
      <c r="AX1244" s="1" t="s">
        <v>71</v>
      </c>
      <c r="BH1244" s="1" t="s">
        <v>71</v>
      </c>
    </row>
    <row r="1245" customFormat="false" ht="15" hidden="false" customHeight="false" outlineLevel="0" collapsed="false">
      <c r="A1245" s="1" t="s">
        <v>4236</v>
      </c>
      <c r="B1245" s="1" t="s">
        <v>4237</v>
      </c>
      <c r="C1245" s="1" t="s">
        <v>182</v>
      </c>
      <c r="D1245" s="1" t="s">
        <v>239</v>
      </c>
      <c r="E1245" s="1" t="s">
        <v>65</v>
      </c>
      <c r="F1245" s="1" t="s">
        <v>119</v>
      </c>
      <c r="G1245" s="1" t="s">
        <v>88</v>
      </c>
      <c r="H1245" s="1" t="s">
        <v>255</v>
      </c>
      <c r="K1245" s="1" t="s">
        <v>256</v>
      </c>
      <c r="L1245" s="1" t="s">
        <v>257</v>
      </c>
      <c r="M1245" s="1" t="s">
        <v>4238</v>
      </c>
      <c r="N1245" s="1" t="s">
        <v>259</v>
      </c>
      <c r="O1245" s="1" t="s">
        <v>260</v>
      </c>
      <c r="P1245" s="1" t="s">
        <v>3768</v>
      </c>
      <c r="U1245" s="1" t="s">
        <v>245</v>
      </c>
      <c r="Z1245" s="1" t="s">
        <v>71</v>
      </c>
      <c r="AE1245" s="1" t="s">
        <v>4239</v>
      </c>
      <c r="AH1245" s="1" t="s">
        <v>73</v>
      </c>
      <c r="AK1245" s="1" t="s">
        <v>71</v>
      </c>
      <c r="AM1245" s="1" t="s">
        <v>71</v>
      </c>
      <c r="AN1245" s="1" t="s">
        <v>71</v>
      </c>
      <c r="AS1245" s="1" t="s">
        <v>71</v>
      </c>
      <c r="AX1245" s="1" t="s">
        <v>71</v>
      </c>
      <c r="AY1245" s="1" t="s">
        <v>59</v>
      </c>
      <c r="AZ1245" s="1" t="s">
        <v>74</v>
      </c>
      <c r="BH1245" s="1" t="s">
        <v>71</v>
      </c>
    </row>
    <row r="1246" customFormat="false" ht="15" hidden="false" customHeight="false" outlineLevel="0" collapsed="false">
      <c r="A1246" s="1" t="s">
        <v>4240</v>
      </c>
      <c r="B1246" s="1" t="s">
        <v>4241</v>
      </c>
      <c r="C1246" s="1" t="s">
        <v>182</v>
      </c>
      <c r="D1246" s="1" t="s">
        <v>239</v>
      </c>
      <c r="E1246" s="1" t="s">
        <v>61</v>
      </c>
      <c r="F1246" s="1" t="s">
        <v>101</v>
      </c>
      <c r="G1246" s="1" t="s">
        <v>108</v>
      </c>
      <c r="H1246" s="1" t="s">
        <v>1495</v>
      </c>
      <c r="K1246" s="1" t="s">
        <v>180</v>
      </c>
      <c r="L1246" s="1" t="s">
        <v>1496</v>
      </c>
      <c r="M1246" s="1" t="s">
        <v>1497</v>
      </c>
      <c r="N1246" s="1" t="s">
        <v>1498</v>
      </c>
      <c r="O1246" s="1" t="s">
        <v>1499</v>
      </c>
      <c r="P1246" s="1" t="s">
        <v>3712</v>
      </c>
      <c r="U1246" s="1" t="s">
        <v>245</v>
      </c>
      <c r="Z1246" s="1" t="s">
        <v>71</v>
      </c>
      <c r="AA1246" s="1" t="s">
        <v>91</v>
      </c>
      <c r="AE1246" s="1" t="s">
        <v>4239</v>
      </c>
      <c r="AH1246" s="1" t="s">
        <v>73</v>
      </c>
      <c r="AK1246" s="1" t="s">
        <v>71</v>
      </c>
      <c r="AM1246" s="1" t="s">
        <v>71</v>
      </c>
      <c r="AN1246" s="1" t="s">
        <v>71</v>
      </c>
      <c r="AS1246" s="1" t="s">
        <v>71</v>
      </c>
      <c r="AX1246" s="1" t="s">
        <v>71</v>
      </c>
      <c r="BH1246" s="1" t="s">
        <v>71</v>
      </c>
    </row>
    <row r="1247" customFormat="false" ht="15" hidden="false" customHeight="false" outlineLevel="0" collapsed="false">
      <c r="A1247" s="1" t="s">
        <v>4242</v>
      </c>
      <c r="B1247" s="1" t="s">
        <v>4243</v>
      </c>
      <c r="C1247" s="1" t="s">
        <v>528</v>
      </c>
      <c r="D1247" s="1" t="s">
        <v>1274</v>
      </c>
      <c r="E1247" s="1" t="s">
        <v>82</v>
      </c>
      <c r="F1247" s="1" t="s">
        <v>391</v>
      </c>
      <c r="G1247" s="1" t="s">
        <v>443</v>
      </c>
      <c r="H1247" s="1" t="s">
        <v>444</v>
      </c>
      <c r="K1247" s="1" t="s">
        <v>61</v>
      </c>
      <c r="L1247" s="1" t="s">
        <v>445</v>
      </c>
      <c r="M1247" s="1" t="s">
        <v>496</v>
      </c>
      <c r="N1247" s="1" t="s">
        <v>4244</v>
      </c>
      <c r="O1247" s="1" t="s">
        <v>4114</v>
      </c>
      <c r="P1247" s="1" t="s">
        <v>4245</v>
      </c>
      <c r="Z1247" s="1" t="s">
        <v>71</v>
      </c>
      <c r="AE1247" s="1" t="s">
        <v>4239</v>
      </c>
      <c r="AH1247" s="1" t="s">
        <v>73</v>
      </c>
      <c r="AK1247" s="1" t="s">
        <v>71</v>
      </c>
      <c r="AM1247" s="1" t="s">
        <v>71</v>
      </c>
      <c r="AN1247" s="1" t="s">
        <v>71</v>
      </c>
      <c r="AS1247" s="1" t="s">
        <v>71</v>
      </c>
      <c r="AX1247" s="1" t="s">
        <v>71</v>
      </c>
      <c r="BH1247" s="1" t="s">
        <v>71</v>
      </c>
    </row>
    <row r="1248" customFormat="false" ht="15" hidden="false" customHeight="false" outlineLevel="0" collapsed="false">
      <c r="A1248" s="1" t="s">
        <v>4246</v>
      </c>
      <c r="B1248" s="1" t="s">
        <v>4247</v>
      </c>
      <c r="C1248" s="1" t="s">
        <v>528</v>
      </c>
      <c r="D1248" s="1" t="s">
        <v>1274</v>
      </c>
      <c r="E1248" s="1" t="s">
        <v>82</v>
      </c>
      <c r="F1248" s="1" t="s">
        <v>391</v>
      </c>
      <c r="G1248" s="1" t="s">
        <v>182</v>
      </c>
      <c r="H1248" s="1" t="s">
        <v>392</v>
      </c>
      <c r="K1248" s="1" t="s">
        <v>65</v>
      </c>
      <c r="L1248" s="1" t="s">
        <v>517</v>
      </c>
      <c r="M1248" s="1" t="s">
        <v>496</v>
      </c>
      <c r="N1248" s="1" t="s">
        <v>2587</v>
      </c>
      <c r="O1248" s="1" t="s">
        <v>400</v>
      </c>
      <c r="P1248" s="1" t="s">
        <v>3606</v>
      </c>
      <c r="Z1248" s="1" t="s">
        <v>71</v>
      </c>
      <c r="AE1248" s="1" t="s">
        <v>4239</v>
      </c>
      <c r="AH1248" s="1" t="s">
        <v>73</v>
      </c>
      <c r="AK1248" s="1" t="s">
        <v>71</v>
      </c>
      <c r="AM1248" s="1" t="s">
        <v>71</v>
      </c>
      <c r="AN1248" s="1" t="s">
        <v>71</v>
      </c>
      <c r="AS1248" s="1" t="s">
        <v>71</v>
      </c>
      <c r="AX1248" s="1" t="s">
        <v>71</v>
      </c>
      <c r="BH1248" s="1" t="s">
        <v>71</v>
      </c>
    </row>
    <row r="1249" customFormat="false" ht="15" hidden="false" customHeight="false" outlineLevel="0" collapsed="false">
      <c r="A1249" s="1" t="s">
        <v>4248</v>
      </c>
      <c r="B1249" s="1" t="s">
        <v>4249</v>
      </c>
      <c r="C1249" s="1" t="s">
        <v>528</v>
      </c>
      <c r="D1249" s="1" t="s">
        <v>1274</v>
      </c>
      <c r="E1249" s="1" t="s">
        <v>82</v>
      </c>
      <c r="F1249" s="1" t="s">
        <v>391</v>
      </c>
      <c r="G1249" s="1" t="s">
        <v>182</v>
      </c>
      <c r="H1249" s="1" t="s">
        <v>392</v>
      </c>
      <c r="K1249" s="1" t="s">
        <v>65</v>
      </c>
      <c r="L1249" s="1" t="s">
        <v>517</v>
      </c>
      <c r="M1249" s="1" t="s">
        <v>496</v>
      </c>
      <c r="N1249" s="1" t="s">
        <v>2587</v>
      </c>
      <c r="O1249" s="1" t="s">
        <v>400</v>
      </c>
      <c r="P1249" s="1" t="s">
        <v>3606</v>
      </c>
      <c r="Z1249" s="1" t="s">
        <v>71</v>
      </c>
      <c r="AE1249" s="1" t="s">
        <v>4239</v>
      </c>
      <c r="AH1249" s="1" t="s">
        <v>73</v>
      </c>
      <c r="AK1249" s="1" t="s">
        <v>71</v>
      </c>
      <c r="AM1249" s="1" t="s">
        <v>71</v>
      </c>
      <c r="AN1249" s="1" t="s">
        <v>71</v>
      </c>
      <c r="AS1249" s="1" t="s">
        <v>71</v>
      </c>
      <c r="AX1249" s="1" t="s">
        <v>71</v>
      </c>
      <c r="BH1249" s="1" t="s">
        <v>71</v>
      </c>
    </row>
    <row r="1250" customFormat="false" ht="15" hidden="false" customHeight="false" outlineLevel="0" collapsed="false">
      <c r="A1250" s="1" t="s">
        <v>4250</v>
      </c>
      <c r="B1250" s="1" t="s">
        <v>4251</v>
      </c>
      <c r="C1250" s="1" t="s">
        <v>3564</v>
      </c>
      <c r="D1250" s="1" t="s">
        <v>3565</v>
      </c>
      <c r="E1250" s="1" t="s">
        <v>82</v>
      </c>
      <c r="F1250" s="1" t="s">
        <v>391</v>
      </c>
      <c r="G1250" s="1" t="s">
        <v>213</v>
      </c>
      <c r="H1250" s="1" t="s">
        <v>477</v>
      </c>
      <c r="K1250" s="1" t="s">
        <v>478</v>
      </c>
      <c r="L1250" s="1" t="s">
        <v>479</v>
      </c>
      <c r="M1250" s="1" t="s">
        <v>465</v>
      </c>
      <c r="N1250" s="1" t="s">
        <v>2014</v>
      </c>
      <c r="O1250" s="1" t="s">
        <v>2015</v>
      </c>
      <c r="P1250" s="1" t="s">
        <v>3594</v>
      </c>
      <c r="Z1250" s="1" t="s">
        <v>71</v>
      </c>
      <c r="AE1250" s="1" t="s">
        <v>4252</v>
      </c>
      <c r="AH1250" s="1" t="s">
        <v>73</v>
      </c>
      <c r="AK1250" s="1" t="s">
        <v>71</v>
      </c>
      <c r="AM1250" s="1" t="s">
        <v>71</v>
      </c>
      <c r="AN1250" s="1" t="s">
        <v>71</v>
      </c>
      <c r="AS1250" s="1" t="s">
        <v>71</v>
      </c>
      <c r="AX1250" s="1" t="s">
        <v>71</v>
      </c>
      <c r="BH1250" s="1" t="s">
        <v>71</v>
      </c>
    </row>
    <row r="1251" customFormat="false" ht="15" hidden="false" customHeight="false" outlineLevel="0" collapsed="false">
      <c r="A1251" s="1" t="s">
        <v>4253</v>
      </c>
      <c r="B1251" s="1" t="s">
        <v>4254</v>
      </c>
      <c r="C1251" s="1" t="s">
        <v>3564</v>
      </c>
      <c r="D1251" s="1" t="s">
        <v>3565</v>
      </c>
      <c r="E1251" s="1" t="s">
        <v>82</v>
      </c>
      <c r="F1251" s="1" t="s">
        <v>391</v>
      </c>
      <c r="G1251" s="1" t="s">
        <v>213</v>
      </c>
      <c r="H1251" s="1" t="s">
        <v>477</v>
      </c>
      <c r="K1251" s="1" t="s">
        <v>478</v>
      </c>
      <c r="L1251" s="1" t="s">
        <v>479</v>
      </c>
      <c r="M1251" s="1" t="s">
        <v>465</v>
      </c>
      <c r="N1251" s="1" t="s">
        <v>4255</v>
      </c>
      <c r="O1251" s="1" t="s">
        <v>4256</v>
      </c>
      <c r="P1251" s="1" t="s">
        <v>4257</v>
      </c>
      <c r="Z1251" s="1" t="s">
        <v>71</v>
      </c>
      <c r="AE1251" s="1" t="s">
        <v>4252</v>
      </c>
      <c r="AH1251" s="1" t="s">
        <v>73</v>
      </c>
      <c r="AK1251" s="1" t="s">
        <v>71</v>
      </c>
      <c r="AM1251" s="1" t="s">
        <v>71</v>
      </c>
      <c r="AN1251" s="1" t="s">
        <v>71</v>
      </c>
      <c r="AS1251" s="1" t="s">
        <v>71</v>
      </c>
      <c r="AX1251" s="1" t="s">
        <v>71</v>
      </c>
      <c r="BH1251" s="1" t="s">
        <v>71</v>
      </c>
    </row>
    <row r="1252" customFormat="false" ht="15" hidden="false" customHeight="false" outlineLevel="0" collapsed="false">
      <c r="A1252" s="1" t="s">
        <v>4258</v>
      </c>
      <c r="B1252" s="1" t="s">
        <v>4259</v>
      </c>
      <c r="C1252" s="1" t="s">
        <v>3564</v>
      </c>
      <c r="D1252" s="1" t="s">
        <v>3565</v>
      </c>
      <c r="E1252" s="1" t="s">
        <v>82</v>
      </c>
      <c r="F1252" s="1" t="s">
        <v>391</v>
      </c>
      <c r="G1252" s="1" t="s">
        <v>213</v>
      </c>
      <c r="H1252" s="1" t="s">
        <v>477</v>
      </c>
      <c r="K1252" s="1" t="s">
        <v>478</v>
      </c>
      <c r="L1252" s="1" t="s">
        <v>479</v>
      </c>
      <c r="M1252" s="1" t="s">
        <v>806</v>
      </c>
      <c r="N1252" s="1" t="s">
        <v>2067</v>
      </c>
      <c r="O1252" s="1" t="s">
        <v>2068</v>
      </c>
      <c r="P1252" s="1" t="s">
        <v>3591</v>
      </c>
      <c r="Z1252" s="1" t="s">
        <v>71</v>
      </c>
      <c r="AE1252" s="1" t="s">
        <v>4252</v>
      </c>
      <c r="AH1252" s="1" t="s">
        <v>73</v>
      </c>
      <c r="AK1252" s="1" t="s">
        <v>71</v>
      </c>
      <c r="AM1252" s="1" t="s">
        <v>71</v>
      </c>
      <c r="AN1252" s="1" t="s">
        <v>71</v>
      </c>
      <c r="AS1252" s="1" t="s">
        <v>71</v>
      </c>
      <c r="AX1252" s="1" t="s">
        <v>71</v>
      </c>
      <c r="BH1252" s="1" t="s">
        <v>71</v>
      </c>
    </row>
    <row r="1253" customFormat="false" ht="15" hidden="false" customHeight="false" outlineLevel="0" collapsed="false">
      <c r="A1253" s="1" t="s">
        <v>4260</v>
      </c>
      <c r="B1253" s="1" t="s">
        <v>4261</v>
      </c>
      <c r="C1253" s="1" t="s">
        <v>3564</v>
      </c>
      <c r="D1253" s="1" t="s">
        <v>3565</v>
      </c>
      <c r="E1253" s="1" t="s">
        <v>82</v>
      </c>
      <c r="F1253" s="1" t="s">
        <v>391</v>
      </c>
      <c r="G1253" s="1" t="s">
        <v>213</v>
      </c>
      <c r="H1253" s="1" t="s">
        <v>477</v>
      </c>
      <c r="K1253" s="1" t="s">
        <v>478</v>
      </c>
      <c r="L1253" s="1" t="s">
        <v>479</v>
      </c>
      <c r="M1253" s="1" t="s">
        <v>465</v>
      </c>
      <c r="N1253" s="1" t="s">
        <v>851</v>
      </c>
      <c r="O1253" s="1" t="s">
        <v>400</v>
      </c>
      <c r="P1253" s="1" t="s">
        <v>3662</v>
      </c>
      <c r="Z1253" s="1" t="s">
        <v>71</v>
      </c>
      <c r="AE1253" s="1" t="s">
        <v>4252</v>
      </c>
      <c r="AH1253" s="1" t="s">
        <v>73</v>
      </c>
      <c r="AK1253" s="1" t="s">
        <v>71</v>
      </c>
      <c r="AM1253" s="1" t="s">
        <v>71</v>
      </c>
      <c r="AN1253" s="1" t="s">
        <v>71</v>
      </c>
      <c r="AS1253" s="1" t="s">
        <v>71</v>
      </c>
      <c r="AX1253" s="1" t="s">
        <v>71</v>
      </c>
      <c r="BH1253" s="1" t="s">
        <v>71</v>
      </c>
    </row>
    <row r="1254" customFormat="false" ht="15" hidden="false" customHeight="false" outlineLevel="0" collapsed="false">
      <c r="A1254" s="1" t="s">
        <v>4262</v>
      </c>
      <c r="B1254" s="1" t="s">
        <v>4263</v>
      </c>
      <c r="C1254" s="1" t="s">
        <v>3564</v>
      </c>
      <c r="D1254" s="1" t="s">
        <v>3565</v>
      </c>
      <c r="E1254" s="1" t="s">
        <v>82</v>
      </c>
      <c r="F1254" s="1" t="s">
        <v>391</v>
      </c>
      <c r="G1254" s="1" t="s">
        <v>213</v>
      </c>
      <c r="H1254" s="1" t="s">
        <v>477</v>
      </c>
      <c r="K1254" s="1" t="s">
        <v>478</v>
      </c>
      <c r="L1254" s="1" t="s">
        <v>479</v>
      </c>
      <c r="M1254" s="1" t="s">
        <v>806</v>
      </c>
      <c r="N1254" s="1" t="s">
        <v>4264</v>
      </c>
      <c r="O1254" s="1" t="s">
        <v>818</v>
      </c>
      <c r="P1254" s="1" t="s">
        <v>4265</v>
      </c>
      <c r="Z1254" s="1" t="s">
        <v>71</v>
      </c>
      <c r="AE1254" s="1" t="s">
        <v>4252</v>
      </c>
      <c r="AH1254" s="1" t="s">
        <v>73</v>
      </c>
      <c r="AK1254" s="1" t="s">
        <v>71</v>
      </c>
      <c r="AM1254" s="1" t="s">
        <v>71</v>
      </c>
      <c r="AN1254" s="1" t="s">
        <v>71</v>
      </c>
      <c r="AS1254" s="1" t="s">
        <v>71</v>
      </c>
      <c r="AX1254" s="1" t="s">
        <v>71</v>
      </c>
      <c r="BH1254" s="1" t="s">
        <v>71</v>
      </c>
    </row>
    <row r="1255" customFormat="false" ht="15" hidden="false" customHeight="false" outlineLevel="0" collapsed="false">
      <c r="A1255" s="1" t="s">
        <v>4266</v>
      </c>
      <c r="B1255" s="1" t="s">
        <v>4267</v>
      </c>
      <c r="C1255" s="1" t="s">
        <v>1166</v>
      </c>
      <c r="D1255" s="1" t="s">
        <v>4268</v>
      </c>
      <c r="E1255" s="1" t="s">
        <v>82</v>
      </c>
      <c r="F1255" s="1" t="s">
        <v>391</v>
      </c>
      <c r="G1255" s="1" t="s">
        <v>97</v>
      </c>
      <c r="H1255" s="1" t="s">
        <v>406</v>
      </c>
      <c r="K1255" s="1" t="s">
        <v>65</v>
      </c>
      <c r="L1255" s="1" t="s">
        <v>860</v>
      </c>
      <c r="M1255" s="1" t="s">
        <v>496</v>
      </c>
      <c r="N1255" s="1" t="s">
        <v>1098</v>
      </c>
      <c r="O1255" s="1" t="s">
        <v>400</v>
      </c>
      <c r="P1255" s="1" t="s">
        <v>4269</v>
      </c>
      <c r="Z1255" s="1" t="s">
        <v>71</v>
      </c>
      <c r="AE1255" s="1" t="s">
        <v>4252</v>
      </c>
      <c r="AH1255" s="1" t="s">
        <v>73</v>
      </c>
      <c r="AK1255" s="1" t="s">
        <v>71</v>
      </c>
      <c r="AM1255" s="1" t="s">
        <v>71</v>
      </c>
      <c r="AN1255" s="1" t="s">
        <v>71</v>
      </c>
      <c r="AS1255" s="1" t="s">
        <v>71</v>
      </c>
      <c r="AX1255" s="1" t="s">
        <v>71</v>
      </c>
      <c r="BH1255" s="1" t="s">
        <v>71</v>
      </c>
    </row>
    <row r="1256" customFormat="false" ht="15" hidden="false" customHeight="false" outlineLevel="0" collapsed="false">
      <c r="A1256" s="1" t="s">
        <v>4270</v>
      </c>
      <c r="B1256" s="1" t="s">
        <v>4271</v>
      </c>
      <c r="C1256" s="1" t="s">
        <v>1162</v>
      </c>
      <c r="D1256" s="1" t="s">
        <v>4207</v>
      </c>
      <c r="E1256" s="1" t="s">
        <v>82</v>
      </c>
      <c r="F1256" s="1" t="s">
        <v>391</v>
      </c>
      <c r="G1256" s="1" t="s">
        <v>443</v>
      </c>
      <c r="H1256" s="1" t="s">
        <v>444</v>
      </c>
      <c r="K1256" s="1" t="s">
        <v>61</v>
      </c>
      <c r="L1256" s="1" t="s">
        <v>445</v>
      </c>
      <c r="M1256" s="1" t="s">
        <v>2909</v>
      </c>
      <c r="N1256" s="1" t="s">
        <v>792</v>
      </c>
      <c r="O1256" s="1" t="s">
        <v>447</v>
      </c>
      <c r="P1256" s="1" t="s">
        <v>4272</v>
      </c>
      <c r="Z1256" s="1" t="s">
        <v>71</v>
      </c>
      <c r="AE1256" s="1" t="s">
        <v>4252</v>
      </c>
      <c r="AH1256" s="1" t="s">
        <v>73</v>
      </c>
      <c r="AK1256" s="1" t="s">
        <v>71</v>
      </c>
      <c r="AM1256" s="1" t="s">
        <v>71</v>
      </c>
      <c r="AN1256" s="1" t="s">
        <v>71</v>
      </c>
      <c r="AS1256" s="1" t="s">
        <v>71</v>
      </c>
      <c r="AX1256" s="1" t="s">
        <v>71</v>
      </c>
      <c r="BH1256" s="1" t="s">
        <v>71</v>
      </c>
    </row>
    <row r="1257" customFormat="false" ht="15" hidden="false" customHeight="false" outlineLevel="0" collapsed="false">
      <c r="A1257" s="1" t="s">
        <v>4273</v>
      </c>
      <c r="B1257" s="1" t="s">
        <v>4274</v>
      </c>
      <c r="C1257" s="1" t="s">
        <v>1162</v>
      </c>
      <c r="D1257" s="1" t="s">
        <v>4207</v>
      </c>
      <c r="E1257" s="1" t="s">
        <v>82</v>
      </c>
      <c r="F1257" s="1" t="s">
        <v>391</v>
      </c>
      <c r="G1257" s="1" t="s">
        <v>443</v>
      </c>
      <c r="H1257" s="1" t="s">
        <v>444</v>
      </c>
      <c r="K1257" s="1" t="s">
        <v>61</v>
      </c>
      <c r="L1257" s="1" t="s">
        <v>445</v>
      </c>
      <c r="M1257" s="1" t="s">
        <v>496</v>
      </c>
      <c r="N1257" s="1" t="s">
        <v>4275</v>
      </c>
      <c r="O1257" s="1" t="s">
        <v>4276</v>
      </c>
      <c r="P1257" s="1" t="s">
        <v>4277</v>
      </c>
      <c r="Z1257" s="1" t="s">
        <v>71</v>
      </c>
      <c r="AE1257" s="1" t="s">
        <v>4252</v>
      </c>
      <c r="AH1257" s="1" t="s">
        <v>73</v>
      </c>
      <c r="AK1257" s="1" t="s">
        <v>71</v>
      </c>
      <c r="AM1257" s="1" t="s">
        <v>71</v>
      </c>
      <c r="AN1257" s="1" t="s">
        <v>71</v>
      </c>
      <c r="AS1257" s="1" t="s">
        <v>71</v>
      </c>
      <c r="AX1257" s="1" t="s">
        <v>71</v>
      </c>
      <c r="BH1257" s="1" t="s">
        <v>71</v>
      </c>
    </row>
    <row r="1258" customFormat="false" ht="15" hidden="false" customHeight="false" outlineLevel="0" collapsed="false">
      <c r="A1258" s="1" t="s">
        <v>4278</v>
      </c>
      <c r="B1258" s="1" t="s">
        <v>4279</v>
      </c>
      <c r="C1258" s="1" t="s">
        <v>150</v>
      </c>
      <c r="D1258" s="1" t="s">
        <v>405</v>
      </c>
      <c r="E1258" s="1" t="s">
        <v>82</v>
      </c>
      <c r="F1258" s="1" t="s">
        <v>391</v>
      </c>
      <c r="G1258" s="1" t="s">
        <v>97</v>
      </c>
      <c r="H1258" s="1" t="s">
        <v>406</v>
      </c>
      <c r="K1258" s="1" t="s">
        <v>407</v>
      </c>
      <c r="L1258" s="1" t="s">
        <v>408</v>
      </c>
      <c r="M1258" s="1" t="s">
        <v>496</v>
      </c>
      <c r="N1258" s="1" t="s">
        <v>1873</v>
      </c>
      <c r="O1258" s="1" t="s">
        <v>1874</v>
      </c>
      <c r="P1258" s="1" t="s">
        <v>4280</v>
      </c>
      <c r="Z1258" s="1" t="s">
        <v>71</v>
      </c>
      <c r="AE1258" s="1" t="s">
        <v>4281</v>
      </c>
      <c r="AH1258" s="1" t="s">
        <v>73</v>
      </c>
      <c r="AK1258" s="1" t="s">
        <v>71</v>
      </c>
      <c r="AM1258" s="1" t="s">
        <v>71</v>
      </c>
      <c r="AN1258" s="1" t="s">
        <v>71</v>
      </c>
      <c r="AS1258" s="1" t="s">
        <v>71</v>
      </c>
      <c r="AX1258" s="1" t="s">
        <v>71</v>
      </c>
      <c r="BH1258" s="1" t="s">
        <v>71</v>
      </c>
    </row>
    <row r="1259" customFormat="false" ht="15" hidden="false" customHeight="false" outlineLevel="0" collapsed="false">
      <c r="A1259" s="1" t="s">
        <v>4282</v>
      </c>
      <c r="B1259" s="1" t="s">
        <v>4283</v>
      </c>
      <c r="C1259" s="1" t="s">
        <v>150</v>
      </c>
      <c r="D1259" s="1" t="s">
        <v>405</v>
      </c>
      <c r="E1259" s="1" t="s">
        <v>82</v>
      </c>
      <c r="F1259" s="1" t="s">
        <v>391</v>
      </c>
      <c r="G1259" s="1" t="s">
        <v>97</v>
      </c>
      <c r="H1259" s="1" t="s">
        <v>406</v>
      </c>
      <c r="K1259" s="1" t="s">
        <v>407</v>
      </c>
      <c r="L1259" s="1" t="s">
        <v>408</v>
      </c>
      <c r="M1259" s="1" t="s">
        <v>496</v>
      </c>
      <c r="N1259" s="1" t="s">
        <v>4284</v>
      </c>
      <c r="O1259" s="1" t="s">
        <v>4285</v>
      </c>
      <c r="P1259" s="1" t="s">
        <v>4286</v>
      </c>
      <c r="Z1259" s="1" t="s">
        <v>71</v>
      </c>
      <c r="AE1259" s="1" t="s">
        <v>4281</v>
      </c>
      <c r="AH1259" s="1" t="s">
        <v>73</v>
      </c>
      <c r="AK1259" s="1" t="s">
        <v>71</v>
      </c>
      <c r="AM1259" s="1" t="s">
        <v>71</v>
      </c>
      <c r="AN1259" s="1" t="s">
        <v>71</v>
      </c>
      <c r="AS1259" s="1" t="s">
        <v>71</v>
      </c>
      <c r="AX1259" s="1" t="s">
        <v>71</v>
      </c>
      <c r="BH1259" s="1" t="s">
        <v>71</v>
      </c>
    </row>
    <row r="1260" customFormat="false" ht="15" hidden="false" customHeight="false" outlineLevel="0" collapsed="false">
      <c r="A1260" s="1" t="s">
        <v>4287</v>
      </c>
      <c r="B1260" s="1" t="s">
        <v>4288</v>
      </c>
      <c r="C1260" s="1" t="s">
        <v>1038</v>
      </c>
      <c r="D1260" s="1" t="s">
        <v>3170</v>
      </c>
      <c r="E1260" s="1" t="s">
        <v>82</v>
      </c>
      <c r="F1260" s="1" t="s">
        <v>391</v>
      </c>
      <c r="G1260" s="1" t="s">
        <v>443</v>
      </c>
      <c r="H1260" s="1" t="s">
        <v>444</v>
      </c>
      <c r="K1260" s="1" t="s">
        <v>61</v>
      </c>
      <c r="L1260" s="1" t="s">
        <v>445</v>
      </c>
      <c r="M1260" s="1" t="s">
        <v>496</v>
      </c>
      <c r="N1260" s="1" t="s">
        <v>2691</v>
      </c>
      <c r="O1260" s="1" t="s">
        <v>400</v>
      </c>
      <c r="P1260" s="1" t="s">
        <v>3527</v>
      </c>
      <c r="Z1260" s="1" t="s">
        <v>71</v>
      </c>
      <c r="AE1260" s="1" t="s">
        <v>4281</v>
      </c>
      <c r="AH1260" s="1" t="s">
        <v>73</v>
      </c>
      <c r="AK1260" s="1" t="s">
        <v>71</v>
      </c>
      <c r="AM1260" s="1" t="s">
        <v>71</v>
      </c>
      <c r="AN1260" s="1" t="s">
        <v>71</v>
      </c>
      <c r="AS1260" s="1" t="s">
        <v>71</v>
      </c>
      <c r="AX1260" s="1" t="s">
        <v>71</v>
      </c>
      <c r="BH1260" s="1" t="s">
        <v>71</v>
      </c>
    </row>
    <row r="1261" customFormat="false" ht="15" hidden="false" customHeight="false" outlineLevel="0" collapsed="false">
      <c r="A1261" s="1" t="s">
        <v>4289</v>
      </c>
      <c r="B1261" s="1" t="s">
        <v>2339</v>
      </c>
      <c r="C1261" s="1" t="s">
        <v>1038</v>
      </c>
      <c r="D1261" s="1" t="s">
        <v>3170</v>
      </c>
      <c r="E1261" s="1" t="s">
        <v>82</v>
      </c>
      <c r="F1261" s="1" t="s">
        <v>391</v>
      </c>
      <c r="G1261" s="1" t="s">
        <v>443</v>
      </c>
      <c r="H1261" s="1" t="s">
        <v>444</v>
      </c>
      <c r="K1261" s="1" t="s">
        <v>61</v>
      </c>
      <c r="L1261" s="1" t="s">
        <v>445</v>
      </c>
      <c r="M1261" s="1" t="s">
        <v>496</v>
      </c>
      <c r="N1261" s="1" t="s">
        <v>2691</v>
      </c>
      <c r="O1261" s="1" t="s">
        <v>400</v>
      </c>
      <c r="P1261" s="1" t="s">
        <v>3527</v>
      </c>
      <c r="Z1261" s="1" t="s">
        <v>71</v>
      </c>
      <c r="AE1261" s="1" t="s">
        <v>4281</v>
      </c>
      <c r="AH1261" s="1" t="s">
        <v>73</v>
      </c>
      <c r="AK1261" s="1" t="s">
        <v>71</v>
      </c>
      <c r="AM1261" s="1" t="s">
        <v>71</v>
      </c>
      <c r="AN1261" s="1" t="s">
        <v>71</v>
      </c>
      <c r="AS1261" s="1" t="s">
        <v>71</v>
      </c>
      <c r="AX1261" s="1" t="s">
        <v>71</v>
      </c>
      <c r="BH1261" s="1" t="s">
        <v>71</v>
      </c>
    </row>
    <row r="1262" customFormat="false" ht="15" hidden="false" customHeight="false" outlineLevel="0" collapsed="false">
      <c r="A1262" s="1" t="s">
        <v>4290</v>
      </c>
      <c r="B1262" s="1" t="s">
        <v>4291</v>
      </c>
      <c r="C1262" s="1" t="s">
        <v>161</v>
      </c>
      <c r="D1262" s="1" t="s">
        <v>162</v>
      </c>
      <c r="E1262" s="1" t="s">
        <v>61</v>
      </c>
      <c r="F1262" s="1" t="s">
        <v>101</v>
      </c>
      <c r="G1262" s="1" t="s">
        <v>93</v>
      </c>
      <c r="H1262" s="1" t="s">
        <v>64</v>
      </c>
      <c r="K1262" s="1" t="s">
        <v>229</v>
      </c>
      <c r="L1262" s="1" t="s">
        <v>605</v>
      </c>
      <c r="M1262" s="1" t="s">
        <v>122</v>
      </c>
      <c r="N1262" s="1" t="s">
        <v>105</v>
      </c>
      <c r="O1262" s="1" t="s">
        <v>106</v>
      </c>
      <c r="P1262" s="1" t="s">
        <v>3539</v>
      </c>
      <c r="U1262" s="1" t="s">
        <v>4290</v>
      </c>
      <c r="Z1262" s="1" t="s">
        <v>71</v>
      </c>
      <c r="AE1262" s="1" t="s">
        <v>4281</v>
      </c>
      <c r="AH1262" s="1" t="s">
        <v>73</v>
      </c>
      <c r="AK1262" s="1" t="s">
        <v>71</v>
      </c>
      <c r="AM1262" s="1" t="s">
        <v>71</v>
      </c>
      <c r="AN1262" s="1" t="s">
        <v>71</v>
      </c>
      <c r="AS1262" s="1" t="s">
        <v>71</v>
      </c>
      <c r="AX1262" s="1" t="s">
        <v>71</v>
      </c>
      <c r="AY1262" s="1" t="s">
        <v>59</v>
      </c>
      <c r="AZ1262" s="1" t="s">
        <v>74</v>
      </c>
      <c r="BH1262" s="1" t="s">
        <v>71</v>
      </c>
    </row>
    <row r="1263" customFormat="false" ht="15" hidden="false" customHeight="false" outlineLevel="0" collapsed="false">
      <c r="A1263" s="1" t="s">
        <v>4292</v>
      </c>
      <c r="B1263" s="1" t="s">
        <v>4293</v>
      </c>
      <c r="C1263" s="1" t="s">
        <v>1038</v>
      </c>
      <c r="D1263" s="1" t="s">
        <v>3170</v>
      </c>
      <c r="E1263" s="1" t="s">
        <v>82</v>
      </c>
      <c r="F1263" s="1" t="s">
        <v>391</v>
      </c>
      <c r="G1263" s="1" t="s">
        <v>443</v>
      </c>
      <c r="H1263" s="1" t="s">
        <v>444</v>
      </c>
      <c r="K1263" s="1" t="s">
        <v>61</v>
      </c>
      <c r="L1263" s="1" t="s">
        <v>445</v>
      </c>
      <c r="M1263" s="1" t="s">
        <v>496</v>
      </c>
      <c r="N1263" s="1" t="s">
        <v>2796</v>
      </c>
      <c r="O1263" s="1" t="s">
        <v>2797</v>
      </c>
      <c r="P1263" s="1" t="s">
        <v>4294</v>
      </c>
      <c r="Z1263" s="1" t="s">
        <v>71</v>
      </c>
      <c r="AE1263" s="1" t="s">
        <v>4295</v>
      </c>
      <c r="AH1263" s="1" t="s">
        <v>73</v>
      </c>
      <c r="AK1263" s="1" t="s">
        <v>71</v>
      </c>
      <c r="AM1263" s="1" t="s">
        <v>71</v>
      </c>
      <c r="AN1263" s="1" t="s">
        <v>71</v>
      </c>
      <c r="AS1263" s="1" t="s">
        <v>71</v>
      </c>
      <c r="AX1263" s="1" t="s">
        <v>71</v>
      </c>
      <c r="BH1263" s="1" t="s">
        <v>71</v>
      </c>
    </row>
    <row r="1264" customFormat="false" ht="15" hidden="false" customHeight="false" outlineLevel="0" collapsed="false">
      <c r="A1264" s="1" t="s">
        <v>4296</v>
      </c>
      <c r="B1264" s="1" t="s">
        <v>4297</v>
      </c>
      <c r="C1264" s="1" t="s">
        <v>161</v>
      </c>
      <c r="D1264" s="1" t="s">
        <v>162</v>
      </c>
      <c r="E1264" s="1" t="s">
        <v>61</v>
      </c>
      <c r="F1264" s="1" t="s">
        <v>101</v>
      </c>
      <c r="G1264" s="1" t="s">
        <v>93</v>
      </c>
      <c r="H1264" s="1" t="s">
        <v>64</v>
      </c>
      <c r="K1264" s="1" t="s">
        <v>4298</v>
      </c>
      <c r="L1264" s="1" t="s">
        <v>4299</v>
      </c>
      <c r="M1264" s="1" t="s">
        <v>104</v>
      </c>
      <c r="N1264" s="1" t="s">
        <v>105</v>
      </c>
      <c r="O1264" s="1" t="s">
        <v>106</v>
      </c>
      <c r="P1264" s="1" t="s">
        <v>3539</v>
      </c>
      <c r="U1264" s="1" t="s">
        <v>4296</v>
      </c>
      <c r="Z1264" s="1" t="s">
        <v>71</v>
      </c>
      <c r="AE1264" s="1" t="s">
        <v>4300</v>
      </c>
      <c r="AH1264" s="1" t="s">
        <v>73</v>
      </c>
      <c r="AK1264" s="1" t="s">
        <v>71</v>
      </c>
      <c r="AM1264" s="1" t="s">
        <v>71</v>
      </c>
      <c r="AN1264" s="1" t="s">
        <v>71</v>
      </c>
      <c r="AS1264" s="1" t="s">
        <v>71</v>
      </c>
      <c r="AX1264" s="1" t="s">
        <v>71</v>
      </c>
      <c r="AY1264" s="1" t="s">
        <v>59</v>
      </c>
      <c r="AZ1264" s="1" t="s">
        <v>74</v>
      </c>
      <c r="BH1264" s="1" t="s">
        <v>71</v>
      </c>
    </row>
    <row r="1265" customFormat="false" ht="15" hidden="false" customHeight="false" outlineLevel="0" collapsed="false">
      <c r="A1265" s="1" t="s">
        <v>4301</v>
      </c>
      <c r="B1265" s="1" t="s">
        <v>4302</v>
      </c>
      <c r="C1265" s="1" t="s">
        <v>1170</v>
      </c>
      <c r="D1265" s="1" t="s">
        <v>4303</v>
      </c>
      <c r="E1265" s="1" t="s">
        <v>82</v>
      </c>
      <c r="F1265" s="1" t="s">
        <v>391</v>
      </c>
      <c r="G1265" s="1" t="s">
        <v>443</v>
      </c>
      <c r="H1265" s="1" t="s">
        <v>444</v>
      </c>
      <c r="K1265" s="1" t="s">
        <v>61</v>
      </c>
      <c r="L1265" s="1" t="s">
        <v>445</v>
      </c>
      <c r="M1265" s="1" t="s">
        <v>496</v>
      </c>
      <c r="N1265" s="1" t="s">
        <v>4304</v>
      </c>
      <c r="O1265" s="1" t="s">
        <v>4305</v>
      </c>
      <c r="P1265" s="1" t="s">
        <v>4306</v>
      </c>
      <c r="Z1265" s="1" t="s">
        <v>71</v>
      </c>
      <c r="AE1265" s="1" t="s">
        <v>4307</v>
      </c>
      <c r="AH1265" s="1" t="s">
        <v>73</v>
      </c>
      <c r="AK1265" s="1" t="s">
        <v>71</v>
      </c>
      <c r="AM1265" s="1" t="s">
        <v>71</v>
      </c>
      <c r="AN1265" s="1" t="s">
        <v>71</v>
      </c>
      <c r="AS1265" s="1" t="s">
        <v>71</v>
      </c>
      <c r="AX1265" s="1" t="s">
        <v>71</v>
      </c>
      <c r="BH1265" s="1" t="s">
        <v>71</v>
      </c>
    </row>
    <row r="1266" customFormat="false" ht="15" hidden="false" customHeight="false" outlineLevel="0" collapsed="false">
      <c r="A1266" s="1" t="s">
        <v>4308</v>
      </c>
      <c r="B1266" s="1" t="s">
        <v>4309</v>
      </c>
      <c r="C1266" s="1" t="s">
        <v>2416</v>
      </c>
      <c r="D1266" s="1" t="s">
        <v>2417</v>
      </c>
      <c r="E1266" s="1" t="s">
        <v>82</v>
      </c>
      <c r="F1266" s="1" t="s">
        <v>391</v>
      </c>
      <c r="G1266" s="1" t="s">
        <v>1356</v>
      </c>
      <c r="H1266" s="1" t="s">
        <v>1825</v>
      </c>
      <c r="K1266" s="1" t="s">
        <v>251</v>
      </c>
      <c r="L1266" s="1" t="s">
        <v>3580</v>
      </c>
      <c r="M1266" s="1" t="s">
        <v>496</v>
      </c>
      <c r="N1266" s="1" t="s">
        <v>3697</v>
      </c>
      <c r="O1266" s="1" t="s">
        <v>3698</v>
      </c>
      <c r="P1266" s="1" t="s">
        <v>3699</v>
      </c>
      <c r="Z1266" s="1" t="s">
        <v>71</v>
      </c>
      <c r="AE1266" s="1" t="s">
        <v>4307</v>
      </c>
      <c r="AH1266" s="1" t="s">
        <v>73</v>
      </c>
      <c r="AK1266" s="1" t="s">
        <v>71</v>
      </c>
      <c r="AM1266" s="1" t="s">
        <v>71</v>
      </c>
      <c r="AN1266" s="1" t="s">
        <v>71</v>
      </c>
      <c r="AS1266" s="1" t="s">
        <v>71</v>
      </c>
      <c r="AX1266" s="1" t="s">
        <v>71</v>
      </c>
      <c r="BH1266" s="1" t="s">
        <v>71</v>
      </c>
    </row>
    <row r="1267" customFormat="false" ht="15" hidden="false" customHeight="false" outlineLevel="0" collapsed="false">
      <c r="A1267" s="1" t="s">
        <v>4310</v>
      </c>
      <c r="B1267" s="1" t="s">
        <v>4311</v>
      </c>
      <c r="C1267" s="1" t="s">
        <v>448</v>
      </c>
      <c r="D1267" s="1" t="s">
        <v>4160</v>
      </c>
      <c r="E1267" s="1" t="s">
        <v>61</v>
      </c>
      <c r="F1267" s="1" t="s">
        <v>101</v>
      </c>
      <c r="G1267" s="1" t="s">
        <v>93</v>
      </c>
      <c r="H1267" s="1" t="s">
        <v>64</v>
      </c>
      <c r="K1267" s="1" t="s">
        <v>112</v>
      </c>
      <c r="L1267" s="1" t="s">
        <v>113</v>
      </c>
      <c r="M1267" s="1" t="s">
        <v>2572</v>
      </c>
      <c r="N1267" s="1" t="s">
        <v>105</v>
      </c>
      <c r="O1267" s="1" t="s">
        <v>106</v>
      </c>
      <c r="P1267" s="1" t="s">
        <v>3539</v>
      </c>
      <c r="U1267" s="1" t="s">
        <v>4310</v>
      </c>
      <c r="Z1267" s="1" t="s">
        <v>71</v>
      </c>
      <c r="AA1267" s="1" t="s">
        <v>91</v>
      </c>
      <c r="AE1267" s="1" t="s">
        <v>4312</v>
      </c>
      <c r="AH1267" s="1" t="s">
        <v>73</v>
      </c>
      <c r="AK1267" s="1" t="s">
        <v>71</v>
      </c>
      <c r="AM1267" s="1" t="s">
        <v>71</v>
      </c>
      <c r="AN1267" s="1" t="s">
        <v>71</v>
      </c>
      <c r="AS1267" s="1" t="s">
        <v>71</v>
      </c>
      <c r="AX1267" s="1" t="s">
        <v>71</v>
      </c>
      <c r="AY1267" s="1" t="s">
        <v>59</v>
      </c>
      <c r="AZ1267" s="1" t="s">
        <v>74</v>
      </c>
      <c r="BH1267" s="1" t="s">
        <v>71</v>
      </c>
    </row>
    <row r="1268" customFormat="false" ht="15" hidden="false" customHeight="false" outlineLevel="0" collapsed="false">
      <c r="A1268" s="1" t="s">
        <v>4313</v>
      </c>
      <c r="B1268" s="1" t="s">
        <v>4314</v>
      </c>
      <c r="C1268" s="1" t="s">
        <v>142</v>
      </c>
      <c r="D1268" s="1" t="s">
        <v>1102</v>
      </c>
      <c r="E1268" s="1" t="s">
        <v>82</v>
      </c>
      <c r="F1268" s="1" t="s">
        <v>391</v>
      </c>
      <c r="G1268" s="1" t="s">
        <v>443</v>
      </c>
      <c r="H1268" s="1" t="s">
        <v>444</v>
      </c>
      <c r="K1268" s="1" t="s">
        <v>61</v>
      </c>
      <c r="L1268" s="1" t="s">
        <v>445</v>
      </c>
      <c r="M1268" s="1" t="s">
        <v>496</v>
      </c>
      <c r="N1268" s="1" t="s">
        <v>905</v>
      </c>
      <c r="O1268" s="1" t="s">
        <v>906</v>
      </c>
      <c r="P1268" s="1" t="s">
        <v>4315</v>
      </c>
      <c r="Z1268" s="1" t="s">
        <v>71</v>
      </c>
      <c r="AE1268" s="1" t="s">
        <v>4316</v>
      </c>
      <c r="AH1268" s="1" t="s">
        <v>73</v>
      </c>
      <c r="AK1268" s="1" t="s">
        <v>71</v>
      </c>
      <c r="AM1268" s="1" t="s">
        <v>71</v>
      </c>
      <c r="AN1268" s="1" t="s">
        <v>71</v>
      </c>
      <c r="AS1268" s="1" t="s">
        <v>71</v>
      </c>
      <c r="AX1268" s="1" t="s">
        <v>71</v>
      </c>
      <c r="BH1268" s="1" t="s">
        <v>71</v>
      </c>
    </row>
    <row r="1269" customFormat="false" ht="15" hidden="false" customHeight="false" outlineLevel="0" collapsed="false">
      <c r="A1269" s="1" t="s">
        <v>4317</v>
      </c>
      <c r="B1269" s="1" t="s">
        <v>4318</v>
      </c>
      <c r="C1269" s="1" t="s">
        <v>142</v>
      </c>
      <c r="D1269" s="1" t="s">
        <v>1102</v>
      </c>
      <c r="E1269" s="1" t="s">
        <v>82</v>
      </c>
      <c r="F1269" s="1" t="s">
        <v>391</v>
      </c>
      <c r="G1269" s="1" t="s">
        <v>443</v>
      </c>
      <c r="H1269" s="1" t="s">
        <v>444</v>
      </c>
      <c r="K1269" s="1" t="s">
        <v>61</v>
      </c>
      <c r="L1269" s="1" t="s">
        <v>445</v>
      </c>
      <c r="M1269" s="1" t="s">
        <v>465</v>
      </c>
      <c r="N1269" s="1" t="s">
        <v>2584</v>
      </c>
      <c r="O1269" s="1" t="s">
        <v>400</v>
      </c>
      <c r="P1269" s="1" t="s">
        <v>4319</v>
      </c>
      <c r="Z1269" s="1" t="s">
        <v>71</v>
      </c>
      <c r="AE1269" s="1" t="s">
        <v>4316</v>
      </c>
      <c r="AH1269" s="1" t="s">
        <v>73</v>
      </c>
      <c r="AK1269" s="1" t="s">
        <v>71</v>
      </c>
      <c r="AM1269" s="1" t="s">
        <v>71</v>
      </c>
      <c r="AN1269" s="1" t="s">
        <v>71</v>
      </c>
      <c r="AS1269" s="1" t="s">
        <v>71</v>
      </c>
      <c r="AX1269" s="1" t="s">
        <v>71</v>
      </c>
      <c r="BH1269" s="1" t="s">
        <v>71</v>
      </c>
    </row>
    <row r="1270" customFormat="false" ht="15" hidden="false" customHeight="false" outlineLevel="0" collapsed="false">
      <c r="A1270" s="1" t="s">
        <v>4320</v>
      </c>
      <c r="B1270" s="1" t="s">
        <v>4321</v>
      </c>
      <c r="C1270" s="1" t="s">
        <v>657</v>
      </c>
      <c r="D1270" s="1" t="s">
        <v>658</v>
      </c>
      <c r="E1270" s="1" t="s">
        <v>82</v>
      </c>
      <c r="F1270" s="1" t="s">
        <v>391</v>
      </c>
      <c r="G1270" s="1" t="s">
        <v>213</v>
      </c>
      <c r="H1270" s="1" t="s">
        <v>477</v>
      </c>
      <c r="K1270" s="1" t="s">
        <v>478</v>
      </c>
      <c r="L1270" s="1" t="s">
        <v>479</v>
      </c>
      <c r="M1270" s="1" t="s">
        <v>496</v>
      </c>
      <c r="N1270" s="1" t="s">
        <v>489</v>
      </c>
      <c r="O1270" s="1" t="s">
        <v>490</v>
      </c>
      <c r="P1270" s="1" t="s">
        <v>4049</v>
      </c>
      <c r="Z1270" s="1" t="s">
        <v>71</v>
      </c>
      <c r="AE1270" s="1" t="s">
        <v>4322</v>
      </c>
      <c r="AH1270" s="1" t="s">
        <v>73</v>
      </c>
      <c r="AK1270" s="1" t="s">
        <v>71</v>
      </c>
      <c r="AM1270" s="1" t="s">
        <v>71</v>
      </c>
      <c r="AN1270" s="1" t="s">
        <v>71</v>
      </c>
      <c r="AS1270" s="1" t="s">
        <v>71</v>
      </c>
      <c r="AX1270" s="1" t="s">
        <v>71</v>
      </c>
      <c r="BH1270" s="1" t="s">
        <v>71</v>
      </c>
    </row>
    <row r="1271" customFormat="false" ht="15" hidden="false" customHeight="false" outlineLevel="0" collapsed="false">
      <c r="A1271" s="1" t="s">
        <v>4323</v>
      </c>
      <c r="B1271" s="1" t="s">
        <v>4324</v>
      </c>
      <c r="C1271" s="1" t="s">
        <v>992</v>
      </c>
      <c r="D1271" s="1" t="s">
        <v>3306</v>
      </c>
      <c r="E1271" s="1" t="s">
        <v>88</v>
      </c>
      <c r="F1271" s="1" t="s">
        <v>432</v>
      </c>
      <c r="G1271" s="1" t="s">
        <v>229</v>
      </c>
      <c r="H1271" s="1" t="s">
        <v>495</v>
      </c>
      <c r="K1271" s="1" t="s">
        <v>501</v>
      </c>
      <c r="L1271" s="1" t="s">
        <v>502</v>
      </c>
      <c r="M1271" s="1" t="s">
        <v>496</v>
      </c>
      <c r="N1271" s="1" t="s">
        <v>3581</v>
      </c>
      <c r="O1271" s="1" t="s">
        <v>400</v>
      </c>
      <c r="P1271" s="1" t="s">
        <v>3582</v>
      </c>
      <c r="Z1271" s="1" t="s">
        <v>71</v>
      </c>
      <c r="AE1271" s="1" t="s">
        <v>4322</v>
      </c>
      <c r="AH1271" s="1" t="s">
        <v>73</v>
      </c>
      <c r="AK1271" s="1" t="s">
        <v>71</v>
      </c>
      <c r="AM1271" s="1" t="s">
        <v>71</v>
      </c>
      <c r="AN1271" s="1" t="s">
        <v>71</v>
      </c>
      <c r="AS1271" s="1" t="s">
        <v>71</v>
      </c>
      <c r="AX1271" s="1" t="s">
        <v>71</v>
      </c>
      <c r="BH1271" s="1" t="s">
        <v>71</v>
      </c>
    </row>
    <row r="1272" customFormat="false" ht="15" hidden="false" customHeight="false" outlineLevel="0" collapsed="false">
      <c r="A1272" s="1" t="s">
        <v>4325</v>
      </c>
      <c r="B1272" s="1" t="s">
        <v>4326</v>
      </c>
      <c r="C1272" s="1" t="s">
        <v>1104</v>
      </c>
      <c r="D1272" s="1" t="s">
        <v>4034</v>
      </c>
      <c r="E1272" s="1" t="s">
        <v>82</v>
      </c>
      <c r="F1272" s="1" t="s">
        <v>391</v>
      </c>
      <c r="G1272" s="1" t="s">
        <v>443</v>
      </c>
      <c r="H1272" s="1" t="s">
        <v>444</v>
      </c>
      <c r="K1272" s="1" t="s">
        <v>582</v>
      </c>
      <c r="L1272" s="1" t="s">
        <v>860</v>
      </c>
      <c r="M1272" s="1" t="s">
        <v>496</v>
      </c>
      <c r="N1272" s="1" t="s">
        <v>2888</v>
      </c>
      <c r="O1272" s="1" t="s">
        <v>400</v>
      </c>
      <c r="P1272" s="1" t="s">
        <v>4327</v>
      </c>
      <c r="Z1272" s="1" t="s">
        <v>71</v>
      </c>
      <c r="AE1272" s="1" t="s">
        <v>4328</v>
      </c>
      <c r="AH1272" s="1" t="s">
        <v>73</v>
      </c>
      <c r="AK1272" s="1" t="s">
        <v>71</v>
      </c>
      <c r="AM1272" s="1" t="s">
        <v>71</v>
      </c>
      <c r="AN1272" s="1" t="s">
        <v>71</v>
      </c>
      <c r="AS1272" s="1" t="s">
        <v>71</v>
      </c>
      <c r="AX1272" s="1" t="s">
        <v>71</v>
      </c>
      <c r="BH1272" s="1" t="s">
        <v>71</v>
      </c>
    </row>
    <row r="1273" customFormat="false" ht="15" hidden="false" customHeight="false" outlineLevel="0" collapsed="false">
      <c r="A1273" s="1" t="s">
        <v>4329</v>
      </c>
      <c r="B1273" s="1" t="s">
        <v>4330</v>
      </c>
      <c r="C1273" s="1" t="s">
        <v>1104</v>
      </c>
      <c r="D1273" s="1" t="s">
        <v>4034</v>
      </c>
      <c r="E1273" s="1" t="s">
        <v>82</v>
      </c>
      <c r="F1273" s="1" t="s">
        <v>391</v>
      </c>
      <c r="G1273" s="1" t="s">
        <v>443</v>
      </c>
      <c r="H1273" s="1" t="s">
        <v>444</v>
      </c>
      <c r="K1273" s="1" t="s">
        <v>582</v>
      </c>
      <c r="L1273" s="1" t="s">
        <v>860</v>
      </c>
      <c r="M1273" s="1" t="s">
        <v>496</v>
      </c>
      <c r="N1273" s="1" t="s">
        <v>2786</v>
      </c>
      <c r="O1273" s="1" t="s">
        <v>2787</v>
      </c>
      <c r="P1273" s="1" t="s">
        <v>4331</v>
      </c>
      <c r="Z1273" s="1" t="s">
        <v>71</v>
      </c>
      <c r="AE1273" s="1" t="s">
        <v>4328</v>
      </c>
      <c r="AH1273" s="1" t="s">
        <v>73</v>
      </c>
      <c r="AK1273" s="1" t="s">
        <v>71</v>
      </c>
      <c r="AM1273" s="1" t="s">
        <v>71</v>
      </c>
      <c r="AN1273" s="1" t="s">
        <v>71</v>
      </c>
      <c r="AS1273" s="1" t="s">
        <v>71</v>
      </c>
      <c r="AX1273" s="1" t="s">
        <v>71</v>
      </c>
      <c r="BH1273" s="1" t="s">
        <v>71</v>
      </c>
    </row>
    <row r="1274" customFormat="false" ht="15" hidden="false" customHeight="false" outlineLevel="0" collapsed="false">
      <c r="A1274" s="1" t="s">
        <v>4332</v>
      </c>
      <c r="B1274" s="1" t="s">
        <v>4333</v>
      </c>
      <c r="C1274" s="1" t="s">
        <v>1104</v>
      </c>
      <c r="D1274" s="1" t="s">
        <v>4034</v>
      </c>
      <c r="E1274" s="1" t="s">
        <v>82</v>
      </c>
      <c r="F1274" s="1" t="s">
        <v>391</v>
      </c>
      <c r="G1274" s="1" t="s">
        <v>443</v>
      </c>
      <c r="H1274" s="1" t="s">
        <v>444</v>
      </c>
      <c r="K1274" s="1" t="s">
        <v>61</v>
      </c>
      <c r="L1274" s="1" t="s">
        <v>445</v>
      </c>
      <c r="M1274" s="1" t="s">
        <v>496</v>
      </c>
      <c r="N1274" s="1" t="s">
        <v>4334</v>
      </c>
      <c r="O1274" s="1" t="s">
        <v>4335</v>
      </c>
      <c r="P1274" s="1" t="s">
        <v>4336</v>
      </c>
      <c r="Z1274" s="1" t="s">
        <v>71</v>
      </c>
      <c r="AE1274" s="1" t="s">
        <v>4328</v>
      </c>
      <c r="AH1274" s="1" t="s">
        <v>73</v>
      </c>
      <c r="AK1274" s="1" t="s">
        <v>71</v>
      </c>
      <c r="AM1274" s="1" t="s">
        <v>71</v>
      </c>
      <c r="AN1274" s="1" t="s">
        <v>71</v>
      </c>
      <c r="AS1274" s="1" t="s">
        <v>71</v>
      </c>
      <c r="AX1274" s="1" t="s">
        <v>71</v>
      </c>
      <c r="BH1274" s="1" t="s">
        <v>71</v>
      </c>
    </row>
    <row r="1275" customFormat="false" ht="15" hidden="false" customHeight="false" outlineLevel="0" collapsed="false">
      <c r="A1275" s="1" t="s">
        <v>4337</v>
      </c>
      <c r="B1275" s="1" t="s">
        <v>4338</v>
      </c>
      <c r="C1275" s="1" t="s">
        <v>1104</v>
      </c>
      <c r="D1275" s="1" t="s">
        <v>4034</v>
      </c>
      <c r="E1275" s="1" t="s">
        <v>82</v>
      </c>
      <c r="F1275" s="1" t="s">
        <v>391</v>
      </c>
      <c r="G1275" s="1" t="s">
        <v>443</v>
      </c>
      <c r="H1275" s="1" t="s">
        <v>444</v>
      </c>
      <c r="K1275" s="1" t="s">
        <v>582</v>
      </c>
      <c r="L1275" s="1" t="s">
        <v>860</v>
      </c>
      <c r="M1275" s="1" t="s">
        <v>496</v>
      </c>
      <c r="N1275" s="1" t="s">
        <v>4339</v>
      </c>
      <c r="O1275" s="1" t="s">
        <v>4340</v>
      </c>
      <c r="P1275" s="1" t="s">
        <v>4341</v>
      </c>
      <c r="Z1275" s="1" t="s">
        <v>71</v>
      </c>
      <c r="AE1275" s="1" t="s">
        <v>4328</v>
      </c>
      <c r="AH1275" s="1" t="s">
        <v>73</v>
      </c>
      <c r="AK1275" s="1" t="s">
        <v>71</v>
      </c>
      <c r="AM1275" s="1" t="s">
        <v>71</v>
      </c>
      <c r="AN1275" s="1" t="s">
        <v>71</v>
      </c>
      <c r="AS1275" s="1" t="s">
        <v>71</v>
      </c>
      <c r="AX1275" s="1" t="s">
        <v>71</v>
      </c>
      <c r="BH1275" s="1" t="s">
        <v>71</v>
      </c>
    </row>
    <row r="1276" customFormat="false" ht="15" hidden="false" customHeight="false" outlineLevel="0" collapsed="false">
      <c r="A1276" s="1" t="s">
        <v>4342</v>
      </c>
      <c r="B1276" s="1" t="s">
        <v>4343</v>
      </c>
      <c r="C1276" s="1" t="s">
        <v>1104</v>
      </c>
      <c r="D1276" s="1" t="s">
        <v>4034</v>
      </c>
      <c r="E1276" s="1" t="s">
        <v>82</v>
      </c>
      <c r="F1276" s="1" t="s">
        <v>391</v>
      </c>
      <c r="G1276" s="1" t="s">
        <v>443</v>
      </c>
      <c r="H1276" s="1" t="s">
        <v>444</v>
      </c>
      <c r="K1276" s="1" t="s">
        <v>582</v>
      </c>
      <c r="L1276" s="1" t="s">
        <v>860</v>
      </c>
      <c r="M1276" s="1" t="s">
        <v>496</v>
      </c>
      <c r="N1276" s="1" t="s">
        <v>2888</v>
      </c>
      <c r="O1276" s="1" t="s">
        <v>400</v>
      </c>
      <c r="P1276" s="1" t="s">
        <v>4327</v>
      </c>
      <c r="Z1276" s="1" t="s">
        <v>71</v>
      </c>
      <c r="AE1276" s="1" t="s">
        <v>4328</v>
      </c>
      <c r="AH1276" s="1" t="s">
        <v>73</v>
      </c>
      <c r="AK1276" s="1" t="s">
        <v>71</v>
      </c>
      <c r="AM1276" s="1" t="s">
        <v>71</v>
      </c>
      <c r="AN1276" s="1" t="s">
        <v>71</v>
      </c>
      <c r="AS1276" s="1" t="s">
        <v>71</v>
      </c>
      <c r="AX1276" s="1" t="s">
        <v>71</v>
      </c>
      <c r="BH1276" s="1" t="s">
        <v>71</v>
      </c>
    </row>
    <row r="1277" customFormat="false" ht="15" hidden="false" customHeight="false" outlineLevel="0" collapsed="false">
      <c r="A1277" s="1" t="s">
        <v>4344</v>
      </c>
      <c r="B1277" s="1" t="s">
        <v>4345</v>
      </c>
      <c r="C1277" s="1" t="s">
        <v>1104</v>
      </c>
      <c r="D1277" s="1" t="s">
        <v>4034</v>
      </c>
      <c r="E1277" s="1" t="s">
        <v>82</v>
      </c>
      <c r="F1277" s="1" t="s">
        <v>391</v>
      </c>
      <c r="G1277" s="1" t="s">
        <v>443</v>
      </c>
      <c r="H1277" s="1" t="s">
        <v>444</v>
      </c>
      <c r="K1277" s="1" t="s">
        <v>61</v>
      </c>
      <c r="L1277" s="1" t="s">
        <v>445</v>
      </c>
      <c r="M1277" s="1" t="s">
        <v>496</v>
      </c>
      <c r="N1277" s="1" t="s">
        <v>842</v>
      </c>
      <c r="O1277" s="1" t="s">
        <v>400</v>
      </c>
      <c r="P1277" s="1" t="s">
        <v>3677</v>
      </c>
      <c r="Z1277" s="1" t="s">
        <v>71</v>
      </c>
      <c r="AE1277" s="1" t="s">
        <v>4346</v>
      </c>
      <c r="AH1277" s="1" t="s">
        <v>73</v>
      </c>
      <c r="AK1277" s="1" t="s">
        <v>71</v>
      </c>
      <c r="AM1277" s="1" t="s">
        <v>71</v>
      </c>
      <c r="AN1277" s="1" t="s">
        <v>71</v>
      </c>
      <c r="AS1277" s="1" t="s">
        <v>71</v>
      </c>
      <c r="AX1277" s="1" t="s">
        <v>71</v>
      </c>
      <c r="BH1277" s="1" t="s">
        <v>71</v>
      </c>
    </row>
    <row r="1278" customFormat="false" ht="15" hidden="false" customHeight="false" outlineLevel="0" collapsed="false">
      <c r="A1278" s="1" t="s">
        <v>4347</v>
      </c>
      <c r="B1278" s="1" t="s">
        <v>4348</v>
      </c>
      <c r="C1278" s="1" t="s">
        <v>1104</v>
      </c>
      <c r="D1278" s="1" t="s">
        <v>4034</v>
      </c>
      <c r="E1278" s="1" t="s">
        <v>82</v>
      </c>
      <c r="F1278" s="1" t="s">
        <v>391</v>
      </c>
      <c r="G1278" s="1" t="s">
        <v>443</v>
      </c>
      <c r="H1278" s="1" t="s">
        <v>444</v>
      </c>
      <c r="K1278" s="1" t="s">
        <v>61</v>
      </c>
      <c r="L1278" s="1" t="s">
        <v>445</v>
      </c>
      <c r="M1278" s="1" t="s">
        <v>496</v>
      </c>
      <c r="N1278" s="1" t="s">
        <v>865</v>
      </c>
      <c r="O1278" s="1" t="s">
        <v>400</v>
      </c>
      <c r="P1278" s="1" t="s">
        <v>4349</v>
      </c>
      <c r="Z1278" s="1" t="s">
        <v>71</v>
      </c>
      <c r="AE1278" s="1" t="s">
        <v>4346</v>
      </c>
      <c r="AH1278" s="1" t="s">
        <v>73</v>
      </c>
      <c r="AK1278" s="1" t="s">
        <v>71</v>
      </c>
      <c r="AM1278" s="1" t="s">
        <v>71</v>
      </c>
      <c r="AN1278" s="1" t="s">
        <v>71</v>
      </c>
      <c r="AS1278" s="1" t="s">
        <v>71</v>
      </c>
      <c r="AX1278" s="1" t="s">
        <v>71</v>
      </c>
      <c r="BH1278" s="1" t="s">
        <v>71</v>
      </c>
    </row>
    <row r="1279" customFormat="false" ht="15" hidden="false" customHeight="false" outlineLevel="0" collapsed="false">
      <c r="A1279" s="1" t="s">
        <v>4350</v>
      </c>
      <c r="B1279" s="1" t="s">
        <v>4351</v>
      </c>
      <c r="C1279" s="1" t="s">
        <v>1823</v>
      </c>
      <c r="D1279" s="1" t="s">
        <v>1824</v>
      </c>
      <c r="E1279" s="1" t="s">
        <v>82</v>
      </c>
      <c r="F1279" s="1" t="s">
        <v>391</v>
      </c>
      <c r="G1279" s="1" t="s">
        <v>1356</v>
      </c>
      <c r="H1279" s="1" t="s">
        <v>1825</v>
      </c>
      <c r="K1279" s="1" t="s">
        <v>1826</v>
      </c>
      <c r="L1279" s="1" t="s">
        <v>1827</v>
      </c>
      <c r="M1279" s="1" t="s">
        <v>496</v>
      </c>
      <c r="N1279" s="1" t="s">
        <v>4352</v>
      </c>
      <c r="O1279" s="1" t="s">
        <v>4353</v>
      </c>
      <c r="P1279" s="1" t="s">
        <v>4354</v>
      </c>
      <c r="Z1279" s="1" t="s">
        <v>71</v>
      </c>
      <c r="AE1279" s="1" t="s">
        <v>4355</v>
      </c>
      <c r="AH1279" s="1" t="s">
        <v>73</v>
      </c>
      <c r="AK1279" s="1" t="s">
        <v>71</v>
      </c>
      <c r="AM1279" s="1" t="s">
        <v>71</v>
      </c>
      <c r="AN1279" s="1" t="s">
        <v>71</v>
      </c>
      <c r="AS1279" s="1" t="s">
        <v>71</v>
      </c>
      <c r="AX1279" s="1" t="s">
        <v>71</v>
      </c>
      <c r="BH1279" s="1" t="s">
        <v>71</v>
      </c>
    </row>
    <row r="1280" customFormat="false" ht="15" hidden="false" customHeight="false" outlineLevel="0" collapsed="false">
      <c r="A1280" s="1" t="s">
        <v>4356</v>
      </c>
      <c r="B1280" s="1" t="s">
        <v>4357</v>
      </c>
      <c r="C1280" s="1" t="s">
        <v>1185</v>
      </c>
      <c r="D1280" s="1" t="s">
        <v>4358</v>
      </c>
      <c r="E1280" s="1" t="s">
        <v>82</v>
      </c>
      <c r="F1280" s="1" t="s">
        <v>391</v>
      </c>
      <c r="G1280" s="1" t="s">
        <v>443</v>
      </c>
      <c r="H1280" s="1" t="s">
        <v>444</v>
      </c>
      <c r="K1280" s="1" t="s">
        <v>582</v>
      </c>
      <c r="L1280" s="1" t="s">
        <v>860</v>
      </c>
      <c r="M1280" s="1" t="s">
        <v>496</v>
      </c>
      <c r="N1280" s="1" t="s">
        <v>4359</v>
      </c>
      <c r="O1280" s="1" t="s">
        <v>447</v>
      </c>
      <c r="P1280" s="1" t="s">
        <v>4360</v>
      </c>
      <c r="Z1280" s="1" t="s">
        <v>71</v>
      </c>
      <c r="AE1280" s="1" t="s">
        <v>4355</v>
      </c>
      <c r="AH1280" s="1" t="s">
        <v>73</v>
      </c>
      <c r="AK1280" s="1" t="s">
        <v>71</v>
      </c>
      <c r="AM1280" s="1" t="s">
        <v>71</v>
      </c>
      <c r="AN1280" s="1" t="s">
        <v>71</v>
      </c>
      <c r="AS1280" s="1" t="s">
        <v>71</v>
      </c>
      <c r="AX1280" s="1" t="s">
        <v>71</v>
      </c>
      <c r="BH1280" s="1" t="s">
        <v>71</v>
      </c>
    </row>
    <row r="1281" customFormat="false" ht="15" hidden="false" customHeight="false" outlineLevel="0" collapsed="false">
      <c r="A1281" s="1" t="s">
        <v>4361</v>
      </c>
      <c r="B1281" s="1" t="s">
        <v>4362</v>
      </c>
      <c r="C1281" s="1" t="s">
        <v>528</v>
      </c>
      <c r="D1281" s="1" t="s">
        <v>1274</v>
      </c>
      <c r="E1281" s="1" t="s">
        <v>82</v>
      </c>
      <c r="F1281" s="1" t="s">
        <v>391</v>
      </c>
      <c r="G1281" s="1" t="s">
        <v>443</v>
      </c>
      <c r="H1281" s="1" t="s">
        <v>444</v>
      </c>
      <c r="K1281" s="1" t="s">
        <v>618</v>
      </c>
      <c r="L1281" s="1" t="s">
        <v>619</v>
      </c>
      <c r="M1281" s="1" t="s">
        <v>692</v>
      </c>
      <c r="N1281" s="1" t="s">
        <v>3092</v>
      </c>
      <c r="O1281" s="1" t="s">
        <v>3093</v>
      </c>
      <c r="P1281" s="1" t="s">
        <v>4095</v>
      </c>
      <c r="Z1281" s="1" t="s">
        <v>71</v>
      </c>
      <c r="AE1281" s="1" t="s">
        <v>4363</v>
      </c>
      <c r="AH1281" s="1" t="s">
        <v>73</v>
      </c>
      <c r="AK1281" s="1" t="s">
        <v>71</v>
      </c>
      <c r="AM1281" s="1" t="s">
        <v>71</v>
      </c>
      <c r="AN1281" s="1" t="s">
        <v>71</v>
      </c>
      <c r="AS1281" s="1" t="s">
        <v>71</v>
      </c>
      <c r="AX1281" s="1" t="s">
        <v>71</v>
      </c>
      <c r="BH1281" s="1" t="s">
        <v>71</v>
      </c>
    </row>
    <row r="1282" customFormat="false" ht="15" hidden="false" customHeight="false" outlineLevel="0" collapsed="false">
      <c r="A1282" s="1" t="s">
        <v>4364</v>
      </c>
      <c r="B1282" s="1" t="s">
        <v>4365</v>
      </c>
      <c r="C1282" s="1" t="s">
        <v>706</v>
      </c>
      <c r="D1282" s="1" t="s">
        <v>707</v>
      </c>
      <c r="E1282" s="1" t="s">
        <v>82</v>
      </c>
      <c r="F1282" s="1" t="s">
        <v>391</v>
      </c>
      <c r="G1282" s="1" t="s">
        <v>213</v>
      </c>
      <c r="H1282" s="1" t="s">
        <v>477</v>
      </c>
      <c r="K1282" s="1" t="s">
        <v>478</v>
      </c>
      <c r="L1282" s="1" t="s">
        <v>479</v>
      </c>
      <c r="M1282" s="1" t="s">
        <v>496</v>
      </c>
      <c r="N1282" s="1" t="s">
        <v>961</v>
      </c>
      <c r="O1282" s="1" t="s">
        <v>962</v>
      </c>
      <c r="P1282" s="1" t="s">
        <v>4366</v>
      </c>
      <c r="Z1282" s="1" t="s">
        <v>71</v>
      </c>
      <c r="AE1282" s="1" t="s">
        <v>4363</v>
      </c>
      <c r="AH1282" s="1" t="s">
        <v>73</v>
      </c>
      <c r="AK1282" s="1" t="s">
        <v>71</v>
      </c>
      <c r="AM1282" s="1" t="s">
        <v>71</v>
      </c>
      <c r="AN1282" s="1" t="s">
        <v>71</v>
      </c>
      <c r="AS1282" s="1" t="s">
        <v>71</v>
      </c>
      <c r="AX1282" s="1" t="s">
        <v>71</v>
      </c>
      <c r="BH1282" s="1" t="s">
        <v>71</v>
      </c>
    </row>
    <row r="1283" customFormat="false" ht="15" hidden="false" customHeight="false" outlineLevel="0" collapsed="false">
      <c r="A1283" s="1" t="s">
        <v>4367</v>
      </c>
      <c r="B1283" s="1" t="s">
        <v>4368</v>
      </c>
      <c r="C1283" s="1" t="s">
        <v>1016</v>
      </c>
      <c r="D1283" s="1" t="s">
        <v>3542</v>
      </c>
      <c r="E1283" s="1" t="s">
        <v>65</v>
      </c>
      <c r="F1283" s="1" t="s">
        <v>119</v>
      </c>
      <c r="G1283" s="1" t="s">
        <v>65</v>
      </c>
      <c r="H1283" s="1" t="s">
        <v>64</v>
      </c>
      <c r="K1283" s="1" t="s">
        <v>177</v>
      </c>
      <c r="L1283" s="1" t="s">
        <v>178</v>
      </c>
      <c r="M1283" s="1" t="s">
        <v>592</v>
      </c>
      <c r="N1283" s="1" t="s">
        <v>123</v>
      </c>
      <c r="O1283" s="1" t="s">
        <v>124</v>
      </c>
      <c r="P1283" s="1" t="s">
        <v>4161</v>
      </c>
      <c r="U1283" s="1" t="s">
        <v>4367</v>
      </c>
      <c r="Z1283" s="1" t="s">
        <v>71</v>
      </c>
      <c r="AE1283" s="1" t="s">
        <v>4369</v>
      </c>
      <c r="AH1283" s="1" t="s">
        <v>73</v>
      </c>
      <c r="AK1283" s="1" t="s">
        <v>71</v>
      </c>
      <c r="AM1283" s="1" t="s">
        <v>71</v>
      </c>
      <c r="AN1283" s="1" t="s">
        <v>71</v>
      </c>
      <c r="AS1283" s="1" t="s">
        <v>71</v>
      </c>
      <c r="AX1283" s="1" t="s">
        <v>71</v>
      </c>
      <c r="AY1283" s="1" t="s">
        <v>59</v>
      </c>
      <c r="AZ1283" s="1" t="s">
        <v>74</v>
      </c>
      <c r="BH1283" s="1" t="s">
        <v>71</v>
      </c>
    </row>
    <row r="1284" customFormat="false" ht="15" hidden="false" customHeight="false" outlineLevel="0" collapsed="false">
      <c r="A1284" s="1" t="s">
        <v>4370</v>
      </c>
      <c r="B1284" s="1" t="s">
        <v>4371</v>
      </c>
      <c r="C1284" s="1" t="s">
        <v>1016</v>
      </c>
      <c r="D1284" s="1" t="s">
        <v>3542</v>
      </c>
      <c r="E1284" s="1" t="s">
        <v>65</v>
      </c>
      <c r="F1284" s="1" t="s">
        <v>119</v>
      </c>
      <c r="G1284" s="1" t="s">
        <v>65</v>
      </c>
      <c r="H1284" s="1" t="s">
        <v>64</v>
      </c>
      <c r="K1284" s="1" t="s">
        <v>182</v>
      </c>
      <c r="L1284" s="1" t="s">
        <v>183</v>
      </c>
      <c r="M1284" s="1" t="s">
        <v>104</v>
      </c>
      <c r="N1284" s="1" t="s">
        <v>123</v>
      </c>
      <c r="O1284" s="1" t="s">
        <v>124</v>
      </c>
      <c r="P1284" s="1" t="s">
        <v>4161</v>
      </c>
      <c r="U1284" s="1" t="s">
        <v>4370</v>
      </c>
      <c r="Z1284" s="1" t="s">
        <v>71</v>
      </c>
      <c r="AE1284" s="1" t="s">
        <v>4369</v>
      </c>
      <c r="AH1284" s="1" t="s">
        <v>73</v>
      </c>
      <c r="AK1284" s="1" t="s">
        <v>71</v>
      </c>
      <c r="AM1284" s="1" t="s">
        <v>71</v>
      </c>
      <c r="AN1284" s="1" t="s">
        <v>71</v>
      </c>
      <c r="AS1284" s="1" t="s">
        <v>71</v>
      </c>
      <c r="AX1284" s="1" t="s">
        <v>71</v>
      </c>
      <c r="AY1284" s="1" t="s">
        <v>59</v>
      </c>
      <c r="AZ1284" s="1" t="s">
        <v>74</v>
      </c>
      <c r="BH1284" s="1" t="s">
        <v>71</v>
      </c>
    </row>
    <row r="1285" customFormat="false" ht="15" hidden="false" customHeight="false" outlineLevel="0" collapsed="false">
      <c r="A1285" s="1" t="s">
        <v>4372</v>
      </c>
      <c r="B1285" s="1" t="s">
        <v>4373</v>
      </c>
      <c r="C1285" s="1" t="s">
        <v>150</v>
      </c>
      <c r="D1285" s="1" t="s">
        <v>405</v>
      </c>
      <c r="E1285" s="1" t="s">
        <v>82</v>
      </c>
      <c r="F1285" s="1" t="s">
        <v>391</v>
      </c>
      <c r="G1285" s="1" t="s">
        <v>97</v>
      </c>
      <c r="H1285" s="1" t="s">
        <v>406</v>
      </c>
      <c r="K1285" s="1" t="s">
        <v>453</v>
      </c>
      <c r="L1285" s="1" t="s">
        <v>454</v>
      </c>
      <c r="M1285" s="1" t="s">
        <v>496</v>
      </c>
      <c r="N1285" s="1" t="s">
        <v>2041</v>
      </c>
      <c r="O1285" s="1" t="s">
        <v>447</v>
      </c>
      <c r="P1285" s="1" t="s">
        <v>4374</v>
      </c>
      <c r="Z1285" s="1" t="s">
        <v>71</v>
      </c>
      <c r="AE1285" s="1" t="s">
        <v>4375</v>
      </c>
      <c r="AH1285" s="1" t="s">
        <v>73</v>
      </c>
      <c r="AK1285" s="1" t="s">
        <v>71</v>
      </c>
      <c r="AM1285" s="1" t="s">
        <v>71</v>
      </c>
      <c r="AN1285" s="1" t="s">
        <v>71</v>
      </c>
      <c r="AS1285" s="1" t="s">
        <v>71</v>
      </c>
      <c r="AX1285" s="1" t="s">
        <v>71</v>
      </c>
      <c r="BH1285" s="1" t="s">
        <v>71</v>
      </c>
    </row>
    <row r="1286" customFormat="false" ht="15" hidden="false" customHeight="false" outlineLevel="0" collapsed="false">
      <c r="A1286" s="1" t="s">
        <v>4376</v>
      </c>
      <c r="B1286" s="1" t="s">
        <v>4377</v>
      </c>
      <c r="C1286" s="1" t="s">
        <v>150</v>
      </c>
      <c r="D1286" s="1" t="s">
        <v>405</v>
      </c>
      <c r="E1286" s="1" t="s">
        <v>82</v>
      </c>
      <c r="F1286" s="1" t="s">
        <v>391</v>
      </c>
      <c r="G1286" s="1" t="s">
        <v>97</v>
      </c>
      <c r="H1286" s="1" t="s">
        <v>406</v>
      </c>
      <c r="K1286" s="1" t="s">
        <v>407</v>
      </c>
      <c r="L1286" s="1" t="s">
        <v>408</v>
      </c>
      <c r="M1286" s="1" t="s">
        <v>496</v>
      </c>
      <c r="N1286" s="1" t="s">
        <v>779</v>
      </c>
      <c r="O1286" s="1" t="s">
        <v>400</v>
      </c>
      <c r="P1286" s="1" t="s">
        <v>4378</v>
      </c>
      <c r="Z1286" s="1" t="s">
        <v>71</v>
      </c>
      <c r="AE1286" s="1" t="s">
        <v>4375</v>
      </c>
      <c r="AH1286" s="1" t="s">
        <v>73</v>
      </c>
      <c r="AK1286" s="1" t="s">
        <v>71</v>
      </c>
      <c r="AM1286" s="1" t="s">
        <v>71</v>
      </c>
      <c r="AN1286" s="1" t="s">
        <v>71</v>
      </c>
      <c r="AS1286" s="1" t="s">
        <v>71</v>
      </c>
      <c r="AX1286" s="1" t="s">
        <v>71</v>
      </c>
      <c r="BH1286" s="1" t="s">
        <v>71</v>
      </c>
    </row>
    <row r="1287" customFormat="false" ht="15" hidden="false" customHeight="false" outlineLevel="0" collapsed="false">
      <c r="A1287" s="1" t="s">
        <v>4379</v>
      </c>
      <c r="B1287" s="1" t="s">
        <v>4380</v>
      </c>
      <c r="C1287" s="1" t="s">
        <v>117</v>
      </c>
      <c r="D1287" s="1" t="s">
        <v>118</v>
      </c>
      <c r="E1287" s="1" t="s">
        <v>61</v>
      </c>
      <c r="F1287" s="1" t="s">
        <v>101</v>
      </c>
      <c r="G1287" s="1" t="s">
        <v>93</v>
      </c>
      <c r="H1287" s="1" t="s">
        <v>64</v>
      </c>
      <c r="K1287" s="1" t="s">
        <v>126</v>
      </c>
      <c r="L1287" s="1" t="s">
        <v>335</v>
      </c>
      <c r="M1287" s="1" t="s">
        <v>1555</v>
      </c>
      <c r="N1287" s="1" t="s">
        <v>105</v>
      </c>
      <c r="O1287" s="1" t="s">
        <v>106</v>
      </c>
      <c r="P1287" s="1" t="s">
        <v>3539</v>
      </c>
      <c r="U1287" s="1" t="s">
        <v>4379</v>
      </c>
      <c r="Z1287" s="1" t="s">
        <v>71</v>
      </c>
      <c r="AE1287" s="1" t="s">
        <v>4381</v>
      </c>
      <c r="AH1287" s="1" t="s">
        <v>73</v>
      </c>
      <c r="AK1287" s="1" t="s">
        <v>71</v>
      </c>
      <c r="AM1287" s="1" t="s">
        <v>71</v>
      </c>
      <c r="AN1287" s="1" t="s">
        <v>71</v>
      </c>
      <c r="AS1287" s="1" t="s">
        <v>71</v>
      </c>
      <c r="AX1287" s="1" t="s">
        <v>71</v>
      </c>
      <c r="AY1287" s="1" t="s">
        <v>59</v>
      </c>
      <c r="AZ1287" s="1" t="s">
        <v>74</v>
      </c>
      <c r="BH1287" s="1" t="s">
        <v>71</v>
      </c>
    </row>
    <row r="1288" customFormat="false" ht="15" hidden="false" customHeight="false" outlineLevel="0" collapsed="false">
      <c r="A1288" s="1" t="s">
        <v>4382</v>
      </c>
      <c r="B1288" s="1" t="s">
        <v>4383</v>
      </c>
      <c r="C1288" s="1" t="s">
        <v>1016</v>
      </c>
      <c r="D1288" s="1" t="s">
        <v>3542</v>
      </c>
      <c r="E1288" s="1" t="s">
        <v>61</v>
      </c>
      <c r="F1288" s="1" t="s">
        <v>101</v>
      </c>
      <c r="G1288" s="1" t="s">
        <v>93</v>
      </c>
      <c r="H1288" s="1" t="s">
        <v>64</v>
      </c>
      <c r="K1288" s="1" t="s">
        <v>229</v>
      </c>
      <c r="L1288" s="1" t="s">
        <v>605</v>
      </c>
      <c r="M1288" s="1" t="s">
        <v>122</v>
      </c>
      <c r="N1288" s="1" t="s">
        <v>105</v>
      </c>
      <c r="O1288" s="1" t="s">
        <v>106</v>
      </c>
      <c r="P1288" s="1" t="s">
        <v>3539</v>
      </c>
      <c r="U1288" s="1" t="s">
        <v>4382</v>
      </c>
      <c r="Z1288" s="1" t="s">
        <v>71</v>
      </c>
      <c r="AE1288" s="1" t="s">
        <v>4381</v>
      </c>
      <c r="AH1288" s="1" t="s">
        <v>73</v>
      </c>
      <c r="AK1288" s="1" t="s">
        <v>71</v>
      </c>
      <c r="AM1288" s="1" t="s">
        <v>71</v>
      </c>
      <c r="AN1288" s="1" t="s">
        <v>71</v>
      </c>
      <c r="AS1288" s="1" t="s">
        <v>71</v>
      </c>
      <c r="AX1288" s="1" t="s">
        <v>71</v>
      </c>
      <c r="AY1288" s="1" t="s">
        <v>59</v>
      </c>
      <c r="AZ1288" s="1" t="s">
        <v>74</v>
      </c>
      <c r="BH1288" s="1" t="s">
        <v>71</v>
      </c>
    </row>
    <row r="1289" customFormat="false" ht="15" hidden="false" customHeight="false" outlineLevel="0" collapsed="false">
      <c r="A1289" s="1" t="s">
        <v>4384</v>
      </c>
      <c r="B1289" s="1" t="s">
        <v>4385</v>
      </c>
      <c r="C1289" s="1" t="s">
        <v>1744</v>
      </c>
      <c r="D1289" s="1" t="s">
        <v>1745</v>
      </c>
      <c r="E1289" s="1" t="s">
        <v>82</v>
      </c>
      <c r="F1289" s="1" t="s">
        <v>391</v>
      </c>
      <c r="G1289" s="1" t="s">
        <v>213</v>
      </c>
      <c r="H1289" s="1" t="s">
        <v>477</v>
      </c>
      <c r="K1289" s="1" t="s">
        <v>1904</v>
      </c>
      <c r="L1289" s="1" t="s">
        <v>1905</v>
      </c>
      <c r="M1289" s="1" t="s">
        <v>465</v>
      </c>
      <c r="N1289" s="1" t="s">
        <v>2053</v>
      </c>
      <c r="O1289" s="1" t="s">
        <v>400</v>
      </c>
      <c r="P1289" s="1" t="s">
        <v>3972</v>
      </c>
      <c r="Z1289" s="1" t="s">
        <v>71</v>
      </c>
      <c r="AE1289" s="1" t="s">
        <v>4386</v>
      </c>
      <c r="AH1289" s="1" t="s">
        <v>73</v>
      </c>
      <c r="AK1289" s="1" t="s">
        <v>71</v>
      </c>
      <c r="AM1289" s="1" t="s">
        <v>71</v>
      </c>
      <c r="AN1289" s="1" t="s">
        <v>71</v>
      </c>
      <c r="AS1289" s="1" t="s">
        <v>71</v>
      </c>
      <c r="AX1289" s="1" t="s">
        <v>71</v>
      </c>
      <c r="BH1289" s="1" t="s">
        <v>71</v>
      </c>
    </row>
    <row r="1290" customFormat="false" ht="15" hidden="false" customHeight="false" outlineLevel="0" collapsed="false">
      <c r="A1290" s="1" t="s">
        <v>4387</v>
      </c>
      <c r="B1290" s="1" t="s">
        <v>4388</v>
      </c>
      <c r="C1290" s="1" t="s">
        <v>1090</v>
      </c>
      <c r="D1290" s="1" t="s">
        <v>3930</v>
      </c>
      <c r="E1290" s="1" t="s">
        <v>82</v>
      </c>
      <c r="F1290" s="1" t="s">
        <v>391</v>
      </c>
      <c r="G1290" s="1" t="s">
        <v>97</v>
      </c>
      <c r="H1290" s="1" t="s">
        <v>406</v>
      </c>
      <c r="K1290" s="1" t="s">
        <v>65</v>
      </c>
      <c r="L1290" s="1" t="s">
        <v>860</v>
      </c>
      <c r="M1290" s="1" t="s">
        <v>496</v>
      </c>
      <c r="N1290" s="1" t="s">
        <v>668</v>
      </c>
      <c r="O1290" s="1" t="s">
        <v>669</v>
      </c>
      <c r="P1290" s="1" t="s">
        <v>3931</v>
      </c>
      <c r="Z1290" s="1" t="s">
        <v>71</v>
      </c>
      <c r="AE1290" s="1" t="s">
        <v>4389</v>
      </c>
      <c r="AH1290" s="1" t="s">
        <v>73</v>
      </c>
      <c r="AK1290" s="1" t="s">
        <v>71</v>
      </c>
      <c r="AM1290" s="1" t="s">
        <v>71</v>
      </c>
      <c r="AN1290" s="1" t="s">
        <v>71</v>
      </c>
      <c r="AS1290" s="1" t="s">
        <v>71</v>
      </c>
      <c r="AX1290" s="1" t="s">
        <v>71</v>
      </c>
      <c r="BH1290" s="1" t="s">
        <v>71</v>
      </c>
    </row>
    <row r="1291" customFormat="false" ht="15" hidden="false" customHeight="false" outlineLevel="0" collapsed="false">
      <c r="A1291" s="1" t="s">
        <v>4390</v>
      </c>
      <c r="B1291" s="1" t="s">
        <v>4391</v>
      </c>
      <c r="C1291" s="1" t="s">
        <v>222</v>
      </c>
      <c r="D1291" s="1" t="s">
        <v>223</v>
      </c>
      <c r="E1291" s="1" t="s">
        <v>61</v>
      </c>
      <c r="F1291" s="1" t="s">
        <v>101</v>
      </c>
      <c r="G1291" s="1" t="s">
        <v>93</v>
      </c>
      <c r="H1291" s="1" t="s">
        <v>64</v>
      </c>
      <c r="K1291" s="1" t="s">
        <v>126</v>
      </c>
      <c r="L1291" s="1" t="s">
        <v>335</v>
      </c>
      <c r="M1291" s="1" t="s">
        <v>828</v>
      </c>
      <c r="N1291" s="1" t="s">
        <v>105</v>
      </c>
      <c r="O1291" s="1" t="s">
        <v>106</v>
      </c>
      <c r="P1291" s="1" t="s">
        <v>3539</v>
      </c>
      <c r="U1291" s="1" t="s">
        <v>4390</v>
      </c>
      <c r="Z1291" s="1" t="s">
        <v>71</v>
      </c>
      <c r="AE1291" s="1" t="s">
        <v>4392</v>
      </c>
      <c r="AH1291" s="1" t="s">
        <v>73</v>
      </c>
      <c r="AK1291" s="1" t="s">
        <v>71</v>
      </c>
      <c r="AM1291" s="1" t="s">
        <v>71</v>
      </c>
      <c r="AN1291" s="1" t="s">
        <v>71</v>
      </c>
      <c r="AS1291" s="1" t="s">
        <v>71</v>
      </c>
      <c r="AX1291" s="1" t="s">
        <v>71</v>
      </c>
      <c r="AY1291" s="1" t="s">
        <v>59</v>
      </c>
      <c r="AZ1291" s="1" t="s">
        <v>74</v>
      </c>
      <c r="BH1291" s="1" t="s">
        <v>71</v>
      </c>
    </row>
    <row r="1292" customFormat="false" ht="15" hidden="false" customHeight="false" outlineLevel="0" collapsed="false">
      <c r="A1292" s="1" t="s">
        <v>4393</v>
      </c>
      <c r="B1292" s="1" t="s">
        <v>4394</v>
      </c>
      <c r="C1292" s="1" t="s">
        <v>161</v>
      </c>
      <c r="D1292" s="1" t="s">
        <v>162</v>
      </c>
      <c r="E1292" s="1" t="s">
        <v>61</v>
      </c>
      <c r="F1292" s="1" t="s">
        <v>101</v>
      </c>
      <c r="G1292" s="1" t="s">
        <v>93</v>
      </c>
      <c r="H1292" s="1" t="s">
        <v>64</v>
      </c>
      <c r="K1292" s="1" t="s">
        <v>302</v>
      </c>
      <c r="L1292" s="1" t="s">
        <v>303</v>
      </c>
      <c r="M1292" s="1" t="s">
        <v>310</v>
      </c>
      <c r="N1292" s="1" t="s">
        <v>105</v>
      </c>
      <c r="O1292" s="1" t="s">
        <v>106</v>
      </c>
      <c r="P1292" s="1" t="s">
        <v>3539</v>
      </c>
      <c r="U1292" s="1" t="s">
        <v>4393</v>
      </c>
      <c r="Z1292" s="1" t="s">
        <v>71</v>
      </c>
      <c r="AE1292" s="1" t="s">
        <v>4395</v>
      </c>
      <c r="AH1292" s="1" t="s">
        <v>73</v>
      </c>
      <c r="AK1292" s="1" t="s">
        <v>71</v>
      </c>
      <c r="AM1292" s="1" t="s">
        <v>71</v>
      </c>
      <c r="AN1292" s="1" t="s">
        <v>71</v>
      </c>
      <c r="AS1292" s="1" t="s">
        <v>71</v>
      </c>
      <c r="AX1292" s="1" t="s">
        <v>71</v>
      </c>
      <c r="AY1292" s="1" t="s">
        <v>59</v>
      </c>
      <c r="AZ1292" s="1" t="s">
        <v>74</v>
      </c>
      <c r="BH1292" s="1" t="s">
        <v>71</v>
      </c>
    </row>
    <row r="1293" customFormat="false" ht="15" hidden="false" customHeight="false" outlineLevel="0" collapsed="false">
      <c r="A1293" s="1" t="s">
        <v>4396</v>
      </c>
      <c r="B1293" s="1" t="s">
        <v>4397</v>
      </c>
      <c r="C1293" s="1" t="s">
        <v>161</v>
      </c>
      <c r="D1293" s="1" t="s">
        <v>162</v>
      </c>
      <c r="E1293" s="1" t="s">
        <v>65</v>
      </c>
      <c r="F1293" s="1" t="s">
        <v>119</v>
      </c>
      <c r="G1293" s="1" t="s">
        <v>65</v>
      </c>
      <c r="H1293" s="1" t="s">
        <v>64</v>
      </c>
      <c r="K1293" s="1" t="s">
        <v>120</v>
      </c>
      <c r="L1293" s="1" t="s">
        <v>121</v>
      </c>
      <c r="M1293" s="1" t="s">
        <v>1555</v>
      </c>
      <c r="N1293" s="1" t="s">
        <v>123</v>
      </c>
      <c r="O1293" s="1" t="s">
        <v>124</v>
      </c>
      <c r="P1293" s="1" t="s">
        <v>4161</v>
      </c>
      <c r="U1293" s="1" t="s">
        <v>4396</v>
      </c>
      <c r="Z1293" s="1" t="s">
        <v>71</v>
      </c>
      <c r="AA1293" s="1" t="s">
        <v>91</v>
      </c>
      <c r="AE1293" s="1" t="s">
        <v>4398</v>
      </c>
      <c r="AH1293" s="1" t="s">
        <v>73</v>
      </c>
      <c r="AK1293" s="1" t="s">
        <v>71</v>
      </c>
      <c r="AM1293" s="1" t="s">
        <v>71</v>
      </c>
      <c r="AN1293" s="1" t="s">
        <v>71</v>
      </c>
      <c r="AS1293" s="1" t="s">
        <v>71</v>
      </c>
      <c r="AX1293" s="1" t="s">
        <v>71</v>
      </c>
      <c r="AY1293" s="1" t="s">
        <v>59</v>
      </c>
      <c r="AZ1293" s="1" t="s">
        <v>74</v>
      </c>
      <c r="BH1293" s="1" t="s">
        <v>71</v>
      </c>
    </row>
    <row r="1294" customFormat="false" ht="15" hidden="false" customHeight="false" outlineLevel="0" collapsed="false">
      <c r="A1294" s="1" t="s">
        <v>4399</v>
      </c>
      <c r="B1294" s="1" t="s">
        <v>4400</v>
      </c>
      <c r="C1294" s="1" t="s">
        <v>271</v>
      </c>
      <c r="D1294" s="1" t="s">
        <v>1097</v>
      </c>
      <c r="E1294" s="1" t="s">
        <v>82</v>
      </c>
      <c r="F1294" s="1" t="s">
        <v>391</v>
      </c>
      <c r="G1294" s="1" t="s">
        <v>443</v>
      </c>
      <c r="H1294" s="1" t="s">
        <v>444</v>
      </c>
      <c r="K1294" s="1" t="s">
        <v>582</v>
      </c>
      <c r="L1294" s="1" t="s">
        <v>860</v>
      </c>
      <c r="M1294" s="1" t="s">
        <v>465</v>
      </c>
      <c r="N1294" s="1" t="s">
        <v>2639</v>
      </c>
      <c r="O1294" s="1" t="s">
        <v>447</v>
      </c>
      <c r="P1294" s="1" t="s">
        <v>4401</v>
      </c>
      <c r="Z1294" s="1" t="s">
        <v>71</v>
      </c>
      <c r="AE1294" s="1" t="s">
        <v>4402</v>
      </c>
      <c r="AH1294" s="1" t="s">
        <v>73</v>
      </c>
      <c r="AK1294" s="1" t="s">
        <v>71</v>
      </c>
      <c r="AM1294" s="1" t="s">
        <v>71</v>
      </c>
      <c r="AN1294" s="1" t="s">
        <v>71</v>
      </c>
      <c r="AS1294" s="1" t="s">
        <v>71</v>
      </c>
      <c r="AX1294" s="1" t="s">
        <v>71</v>
      </c>
      <c r="BH1294" s="1" t="s">
        <v>71</v>
      </c>
    </row>
    <row r="1295" customFormat="false" ht="15" hidden="false" customHeight="false" outlineLevel="0" collapsed="false">
      <c r="A1295" s="1" t="s">
        <v>4403</v>
      </c>
      <c r="B1295" s="1" t="s">
        <v>4404</v>
      </c>
      <c r="C1295" s="1" t="s">
        <v>1183</v>
      </c>
      <c r="D1295" s="1" t="s">
        <v>4405</v>
      </c>
      <c r="E1295" s="1" t="s">
        <v>82</v>
      </c>
      <c r="F1295" s="1" t="s">
        <v>391</v>
      </c>
      <c r="G1295" s="1" t="s">
        <v>97</v>
      </c>
      <c r="H1295" s="1" t="s">
        <v>406</v>
      </c>
      <c r="K1295" s="1" t="s">
        <v>836</v>
      </c>
      <c r="L1295" s="1" t="s">
        <v>837</v>
      </c>
      <c r="M1295" s="1" t="s">
        <v>496</v>
      </c>
      <c r="N1295" s="1" t="s">
        <v>3906</v>
      </c>
      <c r="O1295" s="1" t="s">
        <v>447</v>
      </c>
      <c r="P1295" s="1" t="s">
        <v>3907</v>
      </c>
      <c r="Z1295" s="1" t="s">
        <v>71</v>
      </c>
      <c r="AE1295" s="1" t="s">
        <v>4402</v>
      </c>
      <c r="AH1295" s="1" t="s">
        <v>73</v>
      </c>
      <c r="AK1295" s="1" t="s">
        <v>71</v>
      </c>
      <c r="AM1295" s="1" t="s">
        <v>71</v>
      </c>
      <c r="AN1295" s="1" t="s">
        <v>71</v>
      </c>
      <c r="AS1295" s="1" t="s">
        <v>71</v>
      </c>
      <c r="AX1295" s="1" t="s">
        <v>71</v>
      </c>
      <c r="BH1295" s="1" t="s">
        <v>71</v>
      </c>
    </row>
    <row r="1296" customFormat="false" ht="15" hidden="false" customHeight="false" outlineLevel="0" collapsed="false">
      <c r="A1296" s="1" t="s">
        <v>4406</v>
      </c>
      <c r="B1296" s="1" t="s">
        <v>4407</v>
      </c>
      <c r="C1296" s="1" t="s">
        <v>1217</v>
      </c>
      <c r="D1296" s="1" t="s">
        <v>4408</v>
      </c>
      <c r="E1296" s="1" t="s">
        <v>82</v>
      </c>
      <c r="F1296" s="1" t="s">
        <v>391</v>
      </c>
      <c r="G1296" s="1" t="s">
        <v>97</v>
      </c>
      <c r="H1296" s="1" t="s">
        <v>406</v>
      </c>
      <c r="K1296" s="1" t="s">
        <v>65</v>
      </c>
      <c r="L1296" s="1" t="s">
        <v>860</v>
      </c>
      <c r="M1296" s="1" t="s">
        <v>550</v>
      </c>
      <c r="N1296" s="1" t="s">
        <v>4409</v>
      </c>
      <c r="O1296" s="1" t="s">
        <v>400</v>
      </c>
      <c r="P1296" s="1" t="s">
        <v>4410</v>
      </c>
      <c r="Z1296" s="1" t="s">
        <v>71</v>
      </c>
      <c r="AE1296" s="1" t="s">
        <v>4411</v>
      </c>
      <c r="AH1296" s="1" t="s">
        <v>73</v>
      </c>
      <c r="AK1296" s="1" t="s">
        <v>71</v>
      </c>
      <c r="AM1296" s="1" t="s">
        <v>71</v>
      </c>
      <c r="AN1296" s="1" t="s">
        <v>71</v>
      </c>
      <c r="AS1296" s="1" t="s">
        <v>71</v>
      </c>
      <c r="AX1296" s="1" t="s">
        <v>71</v>
      </c>
      <c r="BH1296" s="1" t="s">
        <v>71</v>
      </c>
    </row>
    <row r="1297" customFormat="false" ht="15" hidden="false" customHeight="false" outlineLevel="0" collapsed="false">
      <c r="A1297" s="1" t="s">
        <v>4412</v>
      </c>
      <c r="B1297" s="1" t="s">
        <v>4413</v>
      </c>
      <c r="C1297" s="1" t="s">
        <v>1217</v>
      </c>
      <c r="D1297" s="1" t="s">
        <v>4408</v>
      </c>
      <c r="E1297" s="1" t="s">
        <v>82</v>
      </c>
      <c r="F1297" s="1" t="s">
        <v>391</v>
      </c>
      <c r="G1297" s="1" t="s">
        <v>97</v>
      </c>
      <c r="H1297" s="1" t="s">
        <v>406</v>
      </c>
      <c r="K1297" s="1" t="s">
        <v>65</v>
      </c>
      <c r="L1297" s="1" t="s">
        <v>860</v>
      </c>
      <c r="M1297" s="1" t="s">
        <v>496</v>
      </c>
      <c r="N1297" s="1" t="s">
        <v>1631</v>
      </c>
      <c r="O1297" s="1" t="s">
        <v>400</v>
      </c>
      <c r="P1297" s="1" t="s">
        <v>4414</v>
      </c>
      <c r="Z1297" s="1" t="s">
        <v>71</v>
      </c>
      <c r="AE1297" s="1" t="s">
        <v>4411</v>
      </c>
      <c r="AH1297" s="1" t="s">
        <v>73</v>
      </c>
      <c r="AK1297" s="1" t="s">
        <v>71</v>
      </c>
      <c r="AM1297" s="1" t="s">
        <v>71</v>
      </c>
      <c r="AN1297" s="1" t="s">
        <v>71</v>
      </c>
      <c r="AS1297" s="1" t="s">
        <v>71</v>
      </c>
      <c r="AX1297" s="1" t="s">
        <v>71</v>
      </c>
      <c r="BH1297" s="1" t="s">
        <v>71</v>
      </c>
    </row>
    <row r="1298" customFormat="false" ht="15" hidden="false" customHeight="false" outlineLevel="0" collapsed="false">
      <c r="A1298" s="1" t="s">
        <v>4415</v>
      </c>
      <c r="B1298" s="1" t="s">
        <v>4416</v>
      </c>
      <c r="C1298" s="1" t="s">
        <v>1217</v>
      </c>
      <c r="D1298" s="1" t="s">
        <v>4408</v>
      </c>
      <c r="E1298" s="1" t="s">
        <v>82</v>
      </c>
      <c r="F1298" s="1" t="s">
        <v>391</v>
      </c>
      <c r="G1298" s="1" t="s">
        <v>97</v>
      </c>
      <c r="H1298" s="1" t="s">
        <v>406</v>
      </c>
      <c r="K1298" s="1" t="s">
        <v>65</v>
      </c>
      <c r="L1298" s="1" t="s">
        <v>860</v>
      </c>
      <c r="M1298" s="1" t="s">
        <v>496</v>
      </c>
      <c r="N1298" s="1" t="s">
        <v>4417</v>
      </c>
      <c r="O1298" s="1" t="s">
        <v>4418</v>
      </c>
      <c r="P1298" s="1" t="s">
        <v>4419</v>
      </c>
      <c r="Z1298" s="1" t="s">
        <v>71</v>
      </c>
      <c r="AE1298" s="1" t="s">
        <v>4411</v>
      </c>
      <c r="AH1298" s="1" t="s">
        <v>73</v>
      </c>
      <c r="AK1298" s="1" t="s">
        <v>71</v>
      </c>
      <c r="AM1298" s="1" t="s">
        <v>71</v>
      </c>
      <c r="AN1298" s="1" t="s">
        <v>71</v>
      </c>
      <c r="AS1298" s="1" t="s">
        <v>71</v>
      </c>
      <c r="AX1298" s="1" t="s">
        <v>71</v>
      </c>
      <c r="BH1298" s="1" t="s">
        <v>71</v>
      </c>
    </row>
    <row r="1299" customFormat="false" ht="15" hidden="false" customHeight="false" outlineLevel="0" collapsed="false">
      <c r="A1299" s="1" t="s">
        <v>4420</v>
      </c>
      <c r="B1299" s="1" t="s">
        <v>4421</v>
      </c>
      <c r="C1299" s="1" t="s">
        <v>150</v>
      </c>
      <c r="D1299" s="1" t="s">
        <v>405</v>
      </c>
      <c r="E1299" s="1" t="s">
        <v>82</v>
      </c>
      <c r="F1299" s="1" t="s">
        <v>391</v>
      </c>
      <c r="G1299" s="1" t="s">
        <v>97</v>
      </c>
      <c r="H1299" s="1" t="s">
        <v>406</v>
      </c>
      <c r="K1299" s="1" t="s">
        <v>407</v>
      </c>
      <c r="L1299" s="1" t="s">
        <v>408</v>
      </c>
      <c r="M1299" s="1" t="s">
        <v>496</v>
      </c>
      <c r="N1299" s="1" t="s">
        <v>3906</v>
      </c>
      <c r="O1299" s="1" t="s">
        <v>447</v>
      </c>
      <c r="P1299" s="1" t="s">
        <v>3907</v>
      </c>
      <c r="Z1299" s="1" t="s">
        <v>71</v>
      </c>
      <c r="AE1299" s="1" t="s">
        <v>4411</v>
      </c>
      <c r="AH1299" s="1" t="s">
        <v>73</v>
      </c>
      <c r="AK1299" s="1" t="s">
        <v>71</v>
      </c>
      <c r="AM1299" s="1" t="s">
        <v>71</v>
      </c>
      <c r="AN1299" s="1" t="s">
        <v>71</v>
      </c>
      <c r="AS1299" s="1" t="s">
        <v>71</v>
      </c>
      <c r="AX1299" s="1" t="s">
        <v>71</v>
      </c>
      <c r="BH1299" s="1" t="s">
        <v>71</v>
      </c>
    </row>
    <row r="1300" customFormat="false" ht="15" hidden="false" customHeight="false" outlineLevel="0" collapsed="false">
      <c r="A1300" s="1" t="s">
        <v>4422</v>
      </c>
      <c r="B1300" s="1" t="s">
        <v>4423</v>
      </c>
      <c r="C1300" s="1" t="s">
        <v>1221</v>
      </c>
      <c r="D1300" s="1" t="s">
        <v>2466</v>
      </c>
      <c r="E1300" s="1" t="s">
        <v>82</v>
      </c>
      <c r="F1300" s="1" t="s">
        <v>391</v>
      </c>
      <c r="G1300" s="1" t="s">
        <v>213</v>
      </c>
      <c r="H1300" s="1" t="s">
        <v>477</v>
      </c>
      <c r="K1300" s="1" t="s">
        <v>478</v>
      </c>
      <c r="L1300" s="1" t="s">
        <v>479</v>
      </c>
      <c r="M1300" s="1" t="s">
        <v>465</v>
      </c>
      <c r="N1300" s="1" t="s">
        <v>4424</v>
      </c>
      <c r="O1300" s="1" t="s">
        <v>4425</v>
      </c>
      <c r="P1300" s="1" t="s">
        <v>4426</v>
      </c>
      <c r="Z1300" s="1" t="s">
        <v>71</v>
      </c>
      <c r="AE1300" s="1" t="s">
        <v>4411</v>
      </c>
      <c r="AH1300" s="1" t="s">
        <v>73</v>
      </c>
      <c r="AK1300" s="1" t="s">
        <v>71</v>
      </c>
      <c r="AM1300" s="1" t="s">
        <v>71</v>
      </c>
      <c r="AN1300" s="1" t="s">
        <v>71</v>
      </c>
      <c r="AS1300" s="1" t="s">
        <v>71</v>
      </c>
      <c r="AX1300" s="1" t="s">
        <v>71</v>
      </c>
      <c r="BH1300" s="1" t="s">
        <v>71</v>
      </c>
    </row>
    <row r="1301" customFormat="false" ht="15" hidden="false" customHeight="false" outlineLevel="0" collapsed="false">
      <c r="A1301" s="1" t="s">
        <v>4427</v>
      </c>
      <c r="B1301" s="1" t="s">
        <v>4428</v>
      </c>
      <c r="C1301" s="1" t="s">
        <v>1221</v>
      </c>
      <c r="D1301" s="1" t="s">
        <v>2466</v>
      </c>
      <c r="E1301" s="1" t="s">
        <v>82</v>
      </c>
      <c r="F1301" s="1" t="s">
        <v>391</v>
      </c>
      <c r="G1301" s="1" t="s">
        <v>213</v>
      </c>
      <c r="H1301" s="1" t="s">
        <v>477</v>
      </c>
      <c r="K1301" s="1" t="s">
        <v>478</v>
      </c>
      <c r="L1301" s="1" t="s">
        <v>479</v>
      </c>
      <c r="M1301" s="1" t="s">
        <v>465</v>
      </c>
      <c r="N1301" s="1" t="s">
        <v>4429</v>
      </c>
      <c r="O1301" s="1" t="s">
        <v>1778</v>
      </c>
      <c r="P1301" s="1" t="s">
        <v>4430</v>
      </c>
      <c r="Z1301" s="1" t="s">
        <v>71</v>
      </c>
      <c r="AE1301" s="1" t="s">
        <v>4411</v>
      </c>
      <c r="AH1301" s="1" t="s">
        <v>73</v>
      </c>
      <c r="AK1301" s="1" t="s">
        <v>71</v>
      </c>
      <c r="AM1301" s="1" t="s">
        <v>71</v>
      </c>
      <c r="AN1301" s="1" t="s">
        <v>71</v>
      </c>
      <c r="AS1301" s="1" t="s">
        <v>71</v>
      </c>
      <c r="AX1301" s="1" t="s">
        <v>71</v>
      </c>
      <c r="BH1301" s="1" t="s">
        <v>71</v>
      </c>
    </row>
    <row r="1302" customFormat="false" ht="15" hidden="false" customHeight="false" outlineLevel="0" collapsed="false">
      <c r="A1302" s="1" t="s">
        <v>4431</v>
      </c>
      <c r="B1302" s="1" t="s">
        <v>4432</v>
      </c>
      <c r="C1302" s="1" t="s">
        <v>1070</v>
      </c>
      <c r="D1302" s="1" t="s">
        <v>3765</v>
      </c>
      <c r="E1302" s="1" t="s">
        <v>61</v>
      </c>
      <c r="F1302" s="1" t="s">
        <v>101</v>
      </c>
      <c r="G1302" s="1" t="s">
        <v>148</v>
      </c>
      <c r="H1302" s="1" t="s">
        <v>231</v>
      </c>
      <c r="K1302" s="1" t="s">
        <v>168</v>
      </c>
      <c r="L1302" s="1" t="s">
        <v>1423</v>
      </c>
      <c r="M1302" s="1" t="s">
        <v>242</v>
      </c>
      <c r="N1302" s="1" t="s">
        <v>243</v>
      </c>
      <c r="O1302" s="1" t="s">
        <v>244</v>
      </c>
      <c r="P1302" s="1" t="s">
        <v>3503</v>
      </c>
      <c r="U1302" s="1" t="s">
        <v>4431</v>
      </c>
      <c r="Z1302" s="1" t="s">
        <v>71</v>
      </c>
      <c r="AE1302" s="1" t="s">
        <v>4433</v>
      </c>
      <c r="AH1302" s="1" t="s">
        <v>73</v>
      </c>
      <c r="AK1302" s="1" t="s">
        <v>71</v>
      </c>
      <c r="AM1302" s="1" t="s">
        <v>71</v>
      </c>
      <c r="AN1302" s="1" t="s">
        <v>71</v>
      </c>
      <c r="AS1302" s="1" t="s">
        <v>71</v>
      </c>
      <c r="AX1302" s="1" t="s">
        <v>71</v>
      </c>
      <c r="AY1302" s="1" t="s">
        <v>59</v>
      </c>
      <c r="AZ1302" s="1" t="s">
        <v>74</v>
      </c>
      <c r="BH1302" s="1" t="s">
        <v>71</v>
      </c>
    </row>
    <row r="1303" customFormat="false" ht="15" hidden="false" customHeight="false" outlineLevel="0" collapsed="false">
      <c r="A1303" s="1" t="s">
        <v>4434</v>
      </c>
      <c r="B1303" s="1" t="s">
        <v>4435</v>
      </c>
      <c r="C1303" s="1" t="s">
        <v>4436</v>
      </c>
      <c r="D1303" s="1" t="s">
        <v>3085</v>
      </c>
      <c r="E1303" s="1" t="s">
        <v>82</v>
      </c>
      <c r="F1303" s="1" t="s">
        <v>391</v>
      </c>
      <c r="G1303" s="1" t="s">
        <v>443</v>
      </c>
      <c r="H1303" s="1" t="s">
        <v>444</v>
      </c>
      <c r="K1303" s="1" t="s">
        <v>618</v>
      </c>
      <c r="L1303" s="1" t="s">
        <v>619</v>
      </c>
      <c r="M1303" s="1" t="s">
        <v>496</v>
      </c>
      <c r="N1303" s="1" t="s">
        <v>1682</v>
      </c>
      <c r="O1303" s="1" t="s">
        <v>1001</v>
      </c>
      <c r="P1303" s="1" t="s">
        <v>3472</v>
      </c>
      <c r="Z1303" s="1" t="s">
        <v>71</v>
      </c>
      <c r="AE1303" s="1" t="s">
        <v>4437</v>
      </c>
      <c r="AH1303" s="1" t="s">
        <v>73</v>
      </c>
      <c r="AK1303" s="1" t="s">
        <v>71</v>
      </c>
      <c r="AM1303" s="1" t="s">
        <v>71</v>
      </c>
      <c r="AN1303" s="1" t="s">
        <v>71</v>
      </c>
      <c r="AS1303" s="1" t="s">
        <v>71</v>
      </c>
      <c r="AX1303" s="1" t="s">
        <v>71</v>
      </c>
      <c r="BH1303" s="1" t="s">
        <v>71</v>
      </c>
    </row>
    <row r="1304" customFormat="false" ht="15" hidden="false" customHeight="false" outlineLevel="0" collapsed="false">
      <c r="A1304" s="1" t="s">
        <v>4438</v>
      </c>
      <c r="B1304" s="1" t="s">
        <v>4439</v>
      </c>
      <c r="C1304" s="1" t="s">
        <v>4436</v>
      </c>
      <c r="D1304" s="1" t="s">
        <v>3085</v>
      </c>
      <c r="E1304" s="1" t="s">
        <v>82</v>
      </c>
      <c r="F1304" s="1" t="s">
        <v>391</v>
      </c>
      <c r="G1304" s="1" t="s">
        <v>443</v>
      </c>
      <c r="H1304" s="1" t="s">
        <v>444</v>
      </c>
      <c r="K1304" s="1" t="s">
        <v>618</v>
      </c>
      <c r="L1304" s="1" t="s">
        <v>619</v>
      </c>
      <c r="M1304" s="1" t="s">
        <v>496</v>
      </c>
      <c r="N1304" s="1" t="s">
        <v>3146</v>
      </c>
      <c r="O1304" s="1" t="s">
        <v>1001</v>
      </c>
      <c r="P1304" s="1" t="s">
        <v>4440</v>
      </c>
      <c r="Z1304" s="1" t="s">
        <v>71</v>
      </c>
      <c r="AE1304" s="1" t="s">
        <v>4437</v>
      </c>
      <c r="AH1304" s="1" t="s">
        <v>73</v>
      </c>
      <c r="AK1304" s="1" t="s">
        <v>71</v>
      </c>
      <c r="AM1304" s="1" t="s">
        <v>71</v>
      </c>
      <c r="AN1304" s="1" t="s">
        <v>71</v>
      </c>
      <c r="AS1304" s="1" t="s">
        <v>71</v>
      </c>
      <c r="AX1304" s="1" t="s">
        <v>71</v>
      </c>
      <c r="BH1304" s="1" t="s">
        <v>71</v>
      </c>
    </row>
    <row r="1305" customFormat="false" ht="15" hidden="false" customHeight="false" outlineLevel="0" collapsed="false">
      <c r="A1305" s="1" t="s">
        <v>4441</v>
      </c>
      <c r="B1305" s="1" t="s">
        <v>4442</v>
      </c>
      <c r="C1305" s="1" t="s">
        <v>1238</v>
      </c>
      <c r="D1305" s="1" t="s">
        <v>4443</v>
      </c>
      <c r="E1305" s="1" t="s">
        <v>82</v>
      </c>
      <c r="F1305" s="1" t="s">
        <v>391</v>
      </c>
      <c r="G1305" s="1" t="s">
        <v>443</v>
      </c>
      <c r="H1305" s="1" t="s">
        <v>444</v>
      </c>
      <c r="K1305" s="1" t="s">
        <v>61</v>
      </c>
      <c r="L1305" s="1" t="s">
        <v>445</v>
      </c>
      <c r="M1305" s="1" t="s">
        <v>496</v>
      </c>
      <c r="N1305" s="1" t="s">
        <v>2311</v>
      </c>
      <c r="O1305" s="1" t="s">
        <v>2312</v>
      </c>
      <c r="P1305" s="1" t="s">
        <v>3824</v>
      </c>
      <c r="Z1305" s="1" t="s">
        <v>71</v>
      </c>
      <c r="AE1305" s="1" t="s">
        <v>4437</v>
      </c>
      <c r="AH1305" s="1" t="s">
        <v>73</v>
      </c>
      <c r="AK1305" s="1" t="s">
        <v>71</v>
      </c>
      <c r="AM1305" s="1" t="s">
        <v>71</v>
      </c>
      <c r="AN1305" s="1" t="s">
        <v>71</v>
      </c>
      <c r="AS1305" s="1" t="s">
        <v>71</v>
      </c>
      <c r="AX1305" s="1" t="s">
        <v>71</v>
      </c>
      <c r="BH1305" s="1" t="s">
        <v>71</v>
      </c>
    </row>
    <row r="1306" customFormat="false" ht="15" hidden="false" customHeight="false" outlineLevel="0" collapsed="false">
      <c r="A1306" s="1" t="s">
        <v>4444</v>
      </c>
      <c r="B1306" s="1" t="s">
        <v>4445</v>
      </c>
      <c r="C1306" s="1" t="s">
        <v>182</v>
      </c>
      <c r="D1306" s="1" t="s">
        <v>239</v>
      </c>
      <c r="E1306" s="1" t="s">
        <v>61</v>
      </c>
      <c r="F1306" s="1" t="s">
        <v>101</v>
      </c>
      <c r="G1306" s="1" t="s">
        <v>148</v>
      </c>
      <c r="H1306" s="1" t="s">
        <v>231</v>
      </c>
      <c r="K1306" s="1" t="s">
        <v>240</v>
      </c>
      <c r="L1306" s="1" t="s">
        <v>241</v>
      </c>
      <c r="M1306" s="1" t="s">
        <v>828</v>
      </c>
      <c r="N1306" s="1" t="s">
        <v>243</v>
      </c>
      <c r="O1306" s="1" t="s">
        <v>244</v>
      </c>
      <c r="P1306" s="1" t="s">
        <v>3503</v>
      </c>
      <c r="U1306" s="1" t="s">
        <v>4444</v>
      </c>
      <c r="Z1306" s="1" t="s">
        <v>71</v>
      </c>
      <c r="AE1306" s="1" t="s">
        <v>4446</v>
      </c>
      <c r="AH1306" s="1" t="s">
        <v>73</v>
      </c>
      <c r="AK1306" s="1" t="s">
        <v>71</v>
      </c>
      <c r="AM1306" s="1" t="s">
        <v>71</v>
      </c>
      <c r="AN1306" s="1" t="s">
        <v>71</v>
      </c>
      <c r="AS1306" s="1" t="s">
        <v>71</v>
      </c>
      <c r="AX1306" s="1" t="s">
        <v>71</v>
      </c>
      <c r="AY1306" s="1" t="s">
        <v>59</v>
      </c>
      <c r="AZ1306" s="1" t="s">
        <v>74</v>
      </c>
      <c r="BH1306" s="1" t="s">
        <v>71</v>
      </c>
    </row>
    <row r="1307" customFormat="false" ht="15" hidden="false" customHeight="false" outlineLevel="0" collapsed="false">
      <c r="A1307" s="1" t="s">
        <v>4447</v>
      </c>
      <c r="B1307" s="1" t="s">
        <v>4448</v>
      </c>
      <c r="C1307" s="1" t="s">
        <v>934</v>
      </c>
      <c r="D1307" s="1" t="s">
        <v>3891</v>
      </c>
      <c r="E1307" s="1" t="s">
        <v>82</v>
      </c>
      <c r="F1307" s="1" t="s">
        <v>391</v>
      </c>
      <c r="G1307" s="1" t="s">
        <v>443</v>
      </c>
      <c r="H1307" s="1" t="s">
        <v>444</v>
      </c>
      <c r="K1307" s="1" t="s">
        <v>618</v>
      </c>
      <c r="L1307" s="1" t="s">
        <v>619</v>
      </c>
      <c r="M1307" s="1" t="s">
        <v>2020</v>
      </c>
      <c r="N1307" s="1" t="s">
        <v>4449</v>
      </c>
      <c r="O1307" s="1" t="s">
        <v>4450</v>
      </c>
      <c r="P1307" s="1" t="s">
        <v>4451</v>
      </c>
      <c r="Z1307" s="1" t="s">
        <v>71</v>
      </c>
      <c r="AE1307" s="1" t="s">
        <v>4452</v>
      </c>
      <c r="AH1307" s="1" t="s">
        <v>73</v>
      </c>
      <c r="AK1307" s="1" t="s">
        <v>71</v>
      </c>
      <c r="AM1307" s="1" t="s">
        <v>71</v>
      </c>
      <c r="AN1307" s="1" t="s">
        <v>71</v>
      </c>
      <c r="AS1307" s="1" t="s">
        <v>71</v>
      </c>
      <c r="AX1307" s="1" t="s">
        <v>71</v>
      </c>
      <c r="BH1307" s="1" t="s">
        <v>71</v>
      </c>
    </row>
    <row r="1308" customFormat="false" ht="15" hidden="false" customHeight="false" outlineLevel="0" collapsed="false">
      <c r="A1308" s="1" t="s">
        <v>4453</v>
      </c>
      <c r="B1308" s="1" t="s">
        <v>4454</v>
      </c>
      <c r="C1308" s="1" t="s">
        <v>955</v>
      </c>
      <c r="D1308" s="1" t="s">
        <v>3085</v>
      </c>
      <c r="E1308" s="1" t="s">
        <v>82</v>
      </c>
      <c r="F1308" s="1" t="s">
        <v>391</v>
      </c>
      <c r="G1308" s="1" t="s">
        <v>443</v>
      </c>
      <c r="H1308" s="1" t="s">
        <v>444</v>
      </c>
      <c r="K1308" s="1" t="s">
        <v>618</v>
      </c>
      <c r="L1308" s="1" t="s">
        <v>619</v>
      </c>
      <c r="M1308" s="1" t="s">
        <v>496</v>
      </c>
      <c r="N1308" s="1" t="s">
        <v>1682</v>
      </c>
      <c r="O1308" s="1" t="s">
        <v>1001</v>
      </c>
      <c r="P1308" s="1" t="s">
        <v>3472</v>
      </c>
      <c r="Z1308" s="1" t="s">
        <v>71</v>
      </c>
      <c r="AE1308" s="1" t="s">
        <v>4452</v>
      </c>
      <c r="AH1308" s="1" t="s">
        <v>73</v>
      </c>
      <c r="AK1308" s="1" t="s">
        <v>71</v>
      </c>
      <c r="AM1308" s="1" t="s">
        <v>71</v>
      </c>
      <c r="AN1308" s="1" t="s">
        <v>71</v>
      </c>
      <c r="AS1308" s="1" t="s">
        <v>71</v>
      </c>
      <c r="AX1308" s="1" t="s">
        <v>71</v>
      </c>
      <c r="BH1308" s="1" t="s">
        <v>71</v>
      </c>
    </row>
    <row r="1309" customFormat="false" ht="15" hidden="false" customHeight="false" outlineLevel="0" collapsed="false">
      <c r="A1309" s="1" t="s">
        <v>4455</v>
      </c>
      <c r="B1309" s="1" t="s">
        <v>103</v>
      </c>
      <c r="C1309" s="1" t="s">
        <v>1158</v>
      </c>
      <c r="D1309" s="1" t="s">
        <v>4456</v>
      </c>
      <c r="E1309" s="1" t="s">
        <v>82</v>
      </c>
      <c r="F1309" s="1" t="s">
        <v>391</v>
      </c>
      <c r="G1309" s="1" t="s">
        <v>213</v>
      </c>
      <c r="H1309" s="1" t="s">
        <v>477</v>
      </c>
      <c r="K1309" s="1" t="s">
        <v>478</v>
      </c>
      <c r="L1309" s="1" t="s">
        <v>479</v>
      </c>
      <c r="M1309" s="1" t="s">
        <v>496</v>
      </c>
      <c r="N1309" s="1" t="s">
        <v>483</v>
      </c>
      <c r="O1309" s="1" t="s">
        <v>400</v>
      </c>
      <c r="P1309" s="1" t="s">
        <v>3959</v>
      </c>
      <c r="Z1309" s="1" t="s">
        <v>71</v>
      </c>
      <c r="AE1309" s="1" t="s">
        <v>4457</v>
      </c>
      <c r="AH1309" s="1" t="s">
        <v>73</v>
      </c>
      <c r="AK1309" s="1" t="s">
        <v>71</v>
      </c>
      <c r="AM1309" s="1" t="s">
        <v>71</v>
      </c>
      <c r="AN1309" s="1" t="s">
        <v>71</v>
      </c>
      <c r="AS1309" s="1" t="s">
        <v>71</v>
      </c>
      <c r="AX1309" s="1" t="s">
        <v>71</v>
      </c>
      <c r="BH1309" s="1" t="s">
        <v>71</v>
      </c>
    </row>
    <row r="1310" customFormat="false" ht="15" hidden="false" customHeight="false" outlineLevel="0" collapsed="false">
      <c r="A1310" s="1" t="s">
        <v>4458</v>
      </c>
      <c r="B1310" s="1" t="s">
        <v>4459</v>
      </c>
      <c r="C1310" s="1" t="s">
        <v>1158</v>
      </c>
      <c r="D1310" s="1" t="s">
        <v>4456</v>
      </c>
      <c r="E1310" s="1" t="s">
        <v>82</v>
      </c>
      <c r="F1310" s="1" t="s">
        <v>391</v>
      </c>
      <c r="G1310" s="1" t="s">
        <v>213</v>
      </c>
      <c r="H1310" s="1" t="s">
        <v>477</v>
      </c>
      <c r="K1310" s="1" t="s">
        <v>478</v>
      </c>
      <c r="L1310" s="1" t="s">
        <v>479</v>
      </c>
      <c r="M1310" s="1" t="s">
        <v>496</v>
      </c>
      <c r="N1310" s="1" t="s">
        <v>483</v>
      </c>
      <c r="O1310" s="1" t="s">
        <v>400</v>
      </c>
      <c r="P1310" s="1" t="s">
        <v>3959</v>
      </c>
      <c r="Z1310" s="1" t="s">
        <v>71</v>
      </c>
      <c r="AE1310" s="1" t="s">
        <v>4457</v>
      </c>
      <c r="AH1310" s="1" t="s">
        <v>73</v>
      </c>
      <c r="AK1310" s="1" t="s">
        <v>71</v>
      </c>
      <c r="AM1310" s="1" t="s">
        <v>71</v>
      </c>
      <c r="AN1310" s="1" t="s">
        <v>71</v>
      </c>
      <c r="AS1310" s="1" t="s">
        <v>71</v>
      </c>
      <c r="AX1310" s="1" t="s">
        <v>71</v>
      </c>
      <c r="BH1310" s="1" t="s">
        <v>71</v>
      </c>
    </row>
    <row r="1311" customFormat="false" ht="15" hidden="false" customHeight="false" outlineLevel="0" collapsed="false">
      <c r="A1311" s="1" t="s">
        <v>4460</v>
      </c>
      <c r="B1311" s="1" t="s">
        <v>4461</v>
      </c>
      <c r="C1311" s="1" t="s">
        <v>1200</v>
      </c>
      <c r="D1311" s="1" t="s">
        <v>3535</v>
      </c>
      <c r="E1311" s="1" t="s">
        <v>61</v>
      </c>
      <c r="F1311" s="1" t="s">
        <v>101</v>
      </c>
      <c r="G1311" s="1" t="s">
        <v>93</v>
      </c>
      <c r="H1311" s="1" t="s">
        <v>64</v>
      </c>
      <c r="K1311" s="1" t="s">
        <v>163</v>
      </c>
      <c r="L1311" s="1" t="s">
        <v>164</v>
      </c>
      <c r="M1311" s="1" t="s">
        <v>104</v>
      </c>
      <c r="N1311" s="1" t="s">
        <v>166</v>
      </c>
      <c r="O1311" s="1" t="s">
        <v>167</v>
      </c>
      <c r="P1311" s="1" t="s">
        <v>4462</v>
      </c>
      <c r="U1311" s="1" t="s">
        <v>4460</v>
      </c>
      <c r="Z1311" s="1" t="s">
        <v>71</v>
      </c>
      <c r="AE1311" s="1" t="s">
        <v>4457</v>
      </c>
      <c r="AH1311" s="1" t="s">
        <v>73</v>
      </c>
      <c r="AK1311" s="1" t="s">
        <v>71</v>
      </c>
      <c r="AM1311" s="1" t="s">
        <v>71</v>
      </c>
      <c r="AN1311" s="1" t="s">
        <v>71</v>
      </c>
      <c r="AS1311" s="1" t="s">
        <v>71</v>
      </c>
      <c r="AX1311" s="1" t="s">
        <v>71</v>
      </c>
      <c r="AY1311" s="1" t="s">
        <v>59</v>
      </c>
      <c r="AZ1311" s="1" t="s">
        <v>74</v>
      </c>
      <c r="BH1311" s="1" t="s">
        <v>71</v>
      </c>
    </row>
    <row r="1312" customFormat="false" ht="15" hidden="false" customHeight="false" outlineLevel="0" collapsed="false">
      <c r="A1312" s="1" t="s">
        <v>4463</v>
      </c>
      <c r="B1312" s="1" t="s">
        <v>4464</v>
      </c>
      <c r="C1312" s="1" t="s">
        <v>1251</v>
      </c>
      <c r="D1312" s="1" t="s">
        <v>4465</v>
      </c>
      <c r="E1312" s="1" t="s">
        <v>82</v>
      </c>
      <c r="F1312" s="1" t="s">
        <v>391</v>
      </c>
      <c r="G1312" s="1" t="s">
        <v>443</v>
      </c>
      <c r="H1312" s="1" t="s">
        <v>444</v>
      </c>
      <c r="K1312" s="1" t="s">
        <v>618</v>
      </c>
      <c r="L1312" s="1" t="s">
        <v>619</v>
      </c>
      <c r="M1312" s="1" t="s">
        <v>496</v>
      </c>
      <c r="N1312" s="1" t="s">
        <v>3742</v>
      </c>
      <c r="O1312" s="1" t="s">
        <v>400</v>
      </c>
      <c r="P1312" s="1" t="s">
        <v>3743</v>
      </c>
      <c r="Z1312" s="1" t="s">
        <v>71</v>
      </c>
      <c r="AE1312" s="1" t="s">
        <v>4457</v>
      </c>
      <c r="AH1312" s="1" t="s">
        <v>73</v>
      </c>
      <c r="AK1312" s="1" t="s">
        <v>71</v>
      </c>
      <c r="AM1312" s="1" t="s">
        <v>71</v>
      </c>
      <c r="AN1312" s="1" t="s">
        <v>71</v>
      </c>
      <c r="AS1312" s="1" t="s">
        <v>71</v>
      </c>
      <c r="AX1312" s="1" t="s">
        <v>71</v>
      </c>
      <c r="BH1312" s="1" t="s">
        <v>71</v>
      </c>
    </row>
    <row r="1313" customFormat="false" ht="15" hidden="false" customHeight="false" outlineLevel="0" collapsed="false">
      <c r="A1313" s="1" t="s">
        <v>4466</v>
      </c>
      <c r="B1313" s="1" t="s">
        <v>4467</v>
      </c>
      <c r="C1313" s="1" t="s">
        <v>1245</v>
      </c>
      <c r="D1313" s="1" t="s">
        <v>4468</v>
      </c>
      <c r="E1313" s="1" t="s">
        <v>82</v>
      </c>
      <c r="F1313" s="1" t="s">
        <v>391</v>
      </c>
      <c r="G1313" s="1" t="s">
        <v>97</v>
      </c>
      <c r="H1313" s="1" t="s">
        <v>406</v>
      </c>
      <c r="K1313" s="1" t="s">
        <v>65</v>
      </c>
      <c r="L1313" s="1" t="s">
        <v>860</v>
      </c>
      <c r="M1313" s="1" t="s">
        <v>806</v>
      </c>
      <c r="N1313" s="1" t="s">
        <v>4469</v>
      </c>
      <c r="O1313" s="1" t="s">
        <v>400</v>
      </c>
      <c r="P1313" s="1" t="s">
        <v>4470</v>
      </c>
      <c r="Z1313" s="1" t="s">
        <v>71</v>
      </c>
      <c r="AE1313" s="1" t="s">
        <v>4457</v>
      </c>
      <c r="AH1313" s="1" t="s">
        <v>73</v>
      </c>
      <c r="AK1313" s="1" t="s">
        <v>71</v>
      </c>
      <c r="AM1313" s="1" t="s">
        <v>71</v>
      </c>
      <c r="AN1313" s="1" t="s">
        <v>71</v>
      </c>
      <c r="AS1313" s="1" t="s">
        <v>71</v>
      </c>
      <c r="AX1313" s="1" t="s">
        <v>71</v>
      </c>
      <c r="BH1313" s="1" t="s">
        <v>71</v>
      </c>
    </row>
    <row r="1314" customFormat="false" ht="15" hidden="false" customHeight="false" outlineLevel="0" collapsed="false">
      <c r="A1314" s="1" t="s">
        <v>4471</v>
      </c>
      <c r="B1314" s="1" t="s">
        <v>4472</v>
      </c>
      <c r="C1314" s="1" t="s">
        <v>834</v>
      </c>
      <c r="D1314" s="1" t="s">
        <v>2721</v>
      </c>
      <c r="E1314" s="1" t="s">
        <v>82</v>
      </c>
      <c r="F1314" s="1" t="s">
        <v>391</v>
      </c>
      <c r="G1314" s="1" t="s">
        <v>443</v>
      </c>
      <c r="H1314" s="1" t="s">
        <v>444</v>
      </c>
      <c r="K1314" s="1" t="s">
        <v>61</v>
      </c>
      <c r="L1314" s="1" t="s">
        <v>445</v>
      </c>
      <c r="M1314" s="1" t="s">
        <v>496</v>
      </c>
      <c r="N1314" s="1" t="s">
        <v>2888</v>
      </c>
      <c r="O1314" s="1" t="s">
        <v>400</v>
      </c>
      <c r="P1314" s="1" t="s">
        <v>4327</v>
      </c>
      <c r="Z1314" s="1" t="s">
        <v>71</v>
      </c>
      <c r="AE1314" s="1" t="s">
        <v>4473</v>
      </c>
      <c r="AH1314" s="1" t="s">
        <v>73</v>
      </c>
      <c r="AK1314" s="1" t="s">
        <v>71</v>
      </c>
      <c r="AM1314" s="1" t="s">
        <v>71</v>
      </c>
      <c r="AN1314" s="1" t="s">
        <v>71</v>
      </c>
      <c r="AS1314" s="1" t="s">
        <v>71</v>
      </c>
      <c r="AX1314" s="1" t="s">
        <v>71</v>
      </c>
      <c r="BH1314" s="1" t="s">
        <v>71</v>
      </c>
    </row>
    <row r="1315" customFormat="false" ht="15" hidden="false" customHeight="false" outlineLevel="0" collapsed="false">
      <c r="A1315" s="1" t="s">
        <v>4474</v>
      </c>
      <c r="B1315" s="1" t="s">
        <v>4475</v>
      </c>
      <c r="C1315" s="1" t="s">
        <v>834</v>
      </c>
      <c r="D1315" s="1" t="s">
        <v>2721</v>
      </c>
      <c r="E1315" s="1" t="s">
        <v>82</v>
      </c>
      <c r="F1315" s="1" t="s">
        <v>391</v>
      </c>
      <c r="G1315" s="1" t="s">
        <v>443</v>
      </c>
      <c r="H1315" s="1" t="s">
        <v>444</v>
      </c>
      <c r="K1315" s="1" t="s">
        <v>61</v>
      </c>
      <c r="L1315" s="1" t="s">
        <v>445</v>
      </c>
      <c r="M1315" s="1" t="s">
        <v>496</v>
      </c>
      <c r="N1315" s="1" t="s">
        <v>842</v>
      </c>
      <c r="O1315" s="1" t="s">
        <v>400</v>
      </c>
      <c r="P1315" s="1" t="s">
        <v>3677</v>
      </c>
      <c r="Z1315" s="1" t="s">
        <v>71</v>
      </c>
      <c r="AE1315" s="1" t="s">
        <v>4476</v>
      </c>
      <c r="AH1315" s="1" t="s">
        <v>73</v>
      </c>
      <c r="AK1315" s="1" t="s">
        <v>71</v>
      </c>
      <c r="AM1315" s="1" t="s">
        <v>71</v>
      </c>
      <c r="AN1315" s="1" t="s">
        <v>71</v>
      </c>
      <c r="AS1315" s="1" t="s">
        <v>71</v>
      </c>
      <c r="AX1315" s="1" t="s">
        <v>71</v>
      </c>
      <c r="BH1315" s="1" t="s">
        <v>71</v>
      </c>
    </row>
    <row r="1316" customFormat="false" ht="15" hidden="false" customHeight="false" outlineLevel="0" collapsed="false">
      <c r="A1316" s="1" t="s">
        <v>4477</v>
      </c>
      <c r="B1316" s="1" t="s">
        <v>4478</v>
      </c>
      <c r="C1316" s="1" t="s">
        <v>389</v>
      </c>
      <c r="D1316" s="1" t="s">
        <v>390</v>
      </c>
      <c r="E1316" s="1" t="s">
        <v>82</v>
      </c>
      <c r="F1316" s="1" t="s">
        <v>391</v>
      </c>
      <c r="G1316" s="1" t="s">
        <v>443</v>
      </c>
      <c r="H1316" s="1" t="s">
        <v>444</v>
      </c>
      <c r="K1316" s="1" t="s">
        <v>618</v>
      </c>
      <c r="L1316" s="1" t="s">
        <v>619</v>
      </c>
      <c r="M1316" s="1" t="s">
        <v>496</v>
      </c>
      <c r="N1316" s="1" t="s">
        <v>3225</v>
      </c>
      <c r="O1316" s="1" t="s">
        <v>3226</v>
      </c>
      <c r="P1316" s="1" t="s">
        <v>4479</v>
      </c>
      <c r="Z1316" s="1" t="s">
        <v>71</v>
      </c>
      <c r="AE1316" s="1" t="s">
        <v>4476</v>
      </c>
      <c r="AH1316" s="1" t="s">
        <v>73</v>
      </c>
      <c r="AK1316" s="1" t="s">
        <v>71</v>
      </c>
      <c r="AM1316" s="1" t="s">
        <v>71</v>
      </c>
      <c r="AN1316" s="1" t="s">
        <v>71</v>
      </c>
      <c r="AS1316" s="1" t="s">
        <v>71</v>
      </c>
      <c r="AX1316" s="1" t="s">
        <v>71</v>
      </c>
      <c r="BH1316" s="1" t="s">
        <v>71</v>
      </c>
    </row>
    <row r="1317" customFormat="false" ht="15" hidden="false" customHeight="false" outlineLevel="0" collapsed="false">
      <c r="A1317" s="1" t="s">
        <v>4480</v>
      </c>
      <c r="B1317" s="1" t="s">
        <v>4481</v>
      </c>
      <c r="C1317" s="1" t="s">
        <v>969</v>
      </c>
      <c r="D1317" s="1" t="s">
        <v>3352</v>
      </c>
      <c r="E1317" s="1" t="s">
        <v>82</v>
      </c>
      <c r="F1317" s="1" t="s">
        <v>391</v>
      </c>
      <c r="G1317" s="1" t="s">
        <v>443</v>
      </c>
      <c r="H1317" s="1" t="s">
        <v>444</v>
      </c>
      <c r="K1317" s="1" t="s">
        <v>61</v>
      </c>
      <c r="L1317" s="1" t="s">
        <v>445</v>
      </c>
      <c r="M1317" s="1" t="s">
        <v>3353</v>
      </c>
      <c r="N1317" s="1" t="s">
        <v>3354</v>
      </c>
      <c r="O1317" s="1" t="s">
        <v>400</v>
      </c>
      <c r="P1317" s="1" t="s">
        <v>3497</v>
      </c>
      <c r="Z1317" s="1" t="s">
        <v>71</v>
      </c>
      <c r="AE1317" s="1" t="s">
        <v>4476</v>
      </c>
      <c r="AH1317" s="1" t="s">
        <v>73</v>
      </c>
      <c r="AK1317" s="1" t="s">
        <v>71</v>
      </c>
      <c r="AM1317" s="1" t="s">
        <v>71</v>
      </c>
      <c r="AN1317" s="1" t="s">
        <v>71</v>
      </c>
      <c r="AS1317" s="1" t="s">
        <v>71</v>
      </c>
      <c r="AX1317" s="1" t="s">
        <v>71</v>
      </c>
      <c r="BH1317" s="1" t="s">
        <v>71</v>
      </c>
    </row>
    <row r="1318" customFormat="false" ht="15" hidden="false" customHeight="false" outlineLevel="0" collapsed="false">
      <c r="A1318" s="1" t="s">
        <v>4482</v>
      </c>
      <c r="B1318" s="1" t="s">
        <v>4483</v>
      </c>
      <c r="C1318" s="1" t="s">
        <v>161</v>
      </c>
      <c r="D1318" s="1" t="s">
        <v>162</v>
      </c>
      <c r="E1318" s="1" t="s">
        <v>61</v>
      </c>
      <c r="F1318" s="1" t="s">
        <v>101</v>
      </c>
      <c r="G1318" s="1" t="s">
        <v>93</v>
      </c>
      <c r="H1318" s="1" t="s">
        <v>64</v>
      </c>
      <c r="K1318" s="1" t="s">
        <v>126</v>
      </c>
      <c r="L1318" s="1" t="s">
        <v>335</v>
      </c>
      <c r="M1318" s="1" t="s">
        <v>104</v>
      </c>
      <c r="N1318" s="1" t="s">
        <v>105</v>
      </c>
      <c r="O1318" s="1" t="s">
        <v>106</v>
      </c>
      <c r="P1318" s="1" t="s">
        <v>3539</v>
      </c>
      <c r="U1318" s="1" t="s">
        <v>4482</v>
      </c>
      <c r="Z1318" s="1" t="s">
        <v>71</v>
      </c>
      <c r="AE1318" s="1" t="s">
        <v>4476</v>
      </c>
      <c r="AH1318" s="1" t="s">
        <v>73</v>
      </c>
      <c r="AK1318" s="1" t="s">
        <v>71</v>
      </c>
      <c r="AM1318" s="1" t="s">
        <v>71</v>
      </c>
      <c r="AN1318" s="1" t="s">
        <v>71</v>
      </c>
      <c r="AS1318" s="1" t="s">
        <v>71</v>
      </c>
      <c r="AX1318" s="1" t="s">
        <v>71</v>
      </c>
      <c r="AY1318" s="1" t="s">
        <v>59</v>
      </c>
      <c r="AZ1318" s="1" t="s">
        <v>74</v>
      </c>
      <c r="BH1318" s="1" t="s">
        <v>71</v>
      </c>
    </row>
    <row r="1319" customFormat="false" ht="15" hidden="false" customHeight="false" outlineLevel="0" collapsed="false">
      <c r="A1319" s="1" t="s">
        <v>4484</v>
      </c>
      <c r="B1319" s="1" t="s">
        <v>4485</v>
      </c>
      <c r="C1319" s="1" t="s">
        <v>1258</v>
      </c>
      <c r="D1319" s="1" t="s">
        <v>4486</v>
      </c>
      <c r="E1319" s="1" t="s">
        <v>82</v>
      </c>
      <c r="F1319" s="1" t="s">
        <v>391</v>
      </c>
      <c r="G1319" s="1" t="s">
        <v>443</v>
      </c>
      <c r="H1319" s="1" t="s">
        <v>444</v>
      </c>
      <c r="K1319" s="1" t="s">
        <v>988</v>
      </c>
      <c r="L1319" s="1" t="s">
        <v>989</v>
      </c>
      <c r="M1319" s="1" t="s">
        <v>692</v>
      </c>
      <c r="N1319" s="1" t="s">
        <v>792</v>
      </c>
      <c r="O1319" s="1" t="s">
        <v>447</v>
      </c>
      <c r="P1319" s="1" t="s">
        <v>4272</v>
      </c>
      <c r="Z1319" s="1" t="s">
        <v>71</v>
      </c>
      <c r="AE1319" s="1" t="s">
        <v>4487</v>
      </c>
      <c r="AH1319" s="1" t="s">
        <v>73</v>
      </c>
      <c r="AK1319" s="1" t="s">
        <v>71</v>
      </c>
      <c r="AM1319" s="1" t="s">
        <v>71</v>
      </c>
      <c r="AN1319" s="1" t="s">
        <v>71</v>
      </c>
      <c r="AS1319" s="1" t="s">
        <v>71</v>
      </c>
      <c r="AX1319" s="1" t="s">
        <v>71</v>
      </c>
      <c r="BH1319" s="1" t="s">
        <v>71</v>
      </c>
    </row>
    <row r="1320" customFormat="false" ht="15" hidden="false" customHeight="false" outlineLevel="0" collapsed="false">
      <c r="A1320" s="1" t="s">
        <v>4488</v>
      </c>
      <c r="B1320" s="1" t="s">
        <v>4489</v>
      </c>
      <c r="C1320" s="1" t="s">
        <v>1264</v>
      </c>
      <c r="D1320" s="1" t="s">
        <v>4490</v>
      </c>
      <c r="E1320" s="1" t="s">
        <v>82</v>
      </c>
      <c r="F1320" s="1" t="s">
        <v>391</v>
      </c>
      <c r="G1320" s="1" t="s">
        <v>1356</v>
      </c>
      <c r="H1320" s="1" t="s">
        <v>1825</v>
      </c>
      <c r="K1320" s="1" t="s">
        <v>251</v>
      </c>
      <c r="L1320" s="1" t="s">
        <v>3580</v>
      </c>
      <c r="M1320" s="1" t="s">
        <v>496</v>
      </c>
      <c r="N1320" s="1" t="s">
        <v>1768</v>
      </c>
      <c r="O1320" s="1" t="s">
        <v>400</v>
      </c>
      <c r="P1320" s="1" t="s">
        <v>4491</v>
      </c>
      <c r="Z1320" s="1" t="s">
        <v>71</v>
      </c>
      <c r="AE1320" s="1" t="s">
        <v>4492</v>
      </c>
      <c r="AH1320" s="1" t="s">
        <v>73</v>
      </c>
      <c r="AK1320" s="1" t="s">
        <v>71</v>
      </c>
      <c r="AM1320" s="1" t="s">
        <v>71</v>
      </c>
      <c r="AN1320" s="1" t="s">
        <v>71</v>
      </c>
      <c r="AS1320" s="1" t="s">
        <v>71</v>
      </c>
      <c r="AX1320" s="1" t="s">
        <v>71</v>
      </c>
      <c r="BH1320" s="1" t="s">
        <v>71</v>
      </c>
    </row>
    <row r="1321" customFormat="false" ht="15" hidden="false" customHeight="false" outlineLevel="0" collapsed="false">
      <c r="A1321" s="1" t="s">
        <v>4493</v>
      </c>
      <c r="B1321" s="1" t="s">
        <v>4494</v>
      </c>
      <c r="C1321" s="1" t="s">
        <v>1264</v>
      </c>
      <c r="D1321" s="1" t="s">
        <v>4490</v>
      </c>
      <c r="E1321" s="1" t="s">
        <v>82</v>
      </c>
      <c r="F1321" s="1" t="s">
        <v>391</v>
      </c>
      <c r="G1321" s="1" t="s">
        <v>1356</v>
      </c>
      <c r="H1321" s="1" t="s">
        <v>1825</v>
      </c>
      <c r="K1321" s="1" t="s">
        <v>251</v>
      </c>
      <c r="L1321" s="1" t="s">
        <v>3580</v>
      </c>
      <c r="M1321" s="1" t="s">
        <v>496</v>
      </c>
      <c r="N1321" s="1" t="s">
        <v>1768</v>
      </c>
      <c r="O1321" s="1" t="s">
        <v>400</v>
      </c>
      <c r="P1321" s="1" t="s">
        <v>4491</v>
      </c>
      <c r="Z1321" s="1" t="s">
        <v>71</v>
      </c>
      <c r="AE1321" s="1" t="s">
        <v>4492</v>
      </c>
      <c r="AH1321" s="1" t="s">
        <v>73</v>
      </c>
      <c r="AK1321" s="1" t="s">
        <v>71</v>
      </c>
      <c r="AM1321" s="1" t="s">
        <v>71</v>
      </c>
      <c r="AN1321" s="1" t="s">
        <v>71</v>
      </c>
      <c r="AS1321" s="1" t="s">
        <v>71</v>
      </c>
      <c r="AX1321" s="1" t="s">
        <v>71</v>
      </c>
      <c r="BH1321" s="1" t="s">
        <v>71</v>
      </c>
    </row>
    <row r="1322" customFormat="false" ht="15" hidden="false" customHeight="false" outlineLevel="0" collapsed="false">
      <c r="A1322" s="1" t="s">
        <v>4495</v>
      </c>
      <c r="B1322" s="1" t="s">
        <v>4496</v>
      </c>
      <c r="C1322" s="1" t="s">
        <v>1104</v>
      </c>
      <c r="D1322" s="1" t="s">
        <v>4034</v>
      </c>
      <c r="E1322" s="1" t="s">
        <v>82</v>
      </c>
      <c r="F1322" s="1" t="s">
        <v>391</v>
      </c>
      <c r="G1322" s="1" t="s">
        <v>443</v>
      </c>
      <c r="H1322" s="1" t="s">
        <v>444</v>
      </c>
      <c r="K1322" s="1" t="s">
        <v>61</v>
      </c>
      <c r="L1322" s="1" t="s">
        <v>445</v>
      </c>
      <c r="M1322" s="1" t="s">
        <v>496</v>
      </c>
      <c r="N1322" s="1" t="s">
        <v>4497</v>
      </c>
      <c r="O1322" s="1" t="s">
        <v>4498</v>
      </c>
      <c r="P1322" s="1" t="s">
        <v>4499</v>
      </c>
      <c r="Z1322" s="1" t="s">
        <v>71</v>
      </c>
      <c r="AE1322" s="1" t="s">
        <v>4492</v>
      </c>
      <c r="AH1322" s="1" t="s">
        <v>73</v>
      </c>
      <c r="AK1322" s="1" t="s">
        <v>71</v>
      </c>
      <c r="AM1322" s="1" t="s">
        <v>71</v>
      </c>
      <c r="AN1322" s="1" t="s">
        <v>71</v>
      </c>
      <c r="AS1322" s="1" t="s">
        <v>71</v>
      </c>
      <c r="AX1322" s="1" t="s">
        <v>71</v>
      </c>
      <c r="BH1322" s="1" t="s">
        <v>71</v>
      </c>
    </row>
    <row r="1323" customFormat="false" ht="15" hidden="false" customHeight="false" outlineLevel="0" collapsed="false">
      <c r="A1323" s="1" t="s">
        <v>4500</v>
      </c>
      <c r="B1323" s="1" t="s">
        <v>4501</v>
      </c>
      <c r="C1323" s="1" t="s">
        <v>1100</v>
      </c>
      <c r="D1323" s="1" t="s">
        <v>4009</v>
      </c>
      <c r="E1323" s="1" t="s">
        <v>82</v>
      </c>
      <c r="F1323" s="1" t="s">
        <v>391</v>
      </c>
      <c r="G1323" s="1" t="s">
        <v>443</v>
      </c>
      <c r="H1323" s="1" t="s">
        <v>444</v>
      </c>
      <c r="K1323" s="1" t="s">
        <v>61</v>
      </c>
      <c r="L1323" s="1" t="s">
        <v>445</v>
      </c>
      <c r="M1323" s="1" t="s">
        <v>496</v>
      </c>
      <c r="N1323" s="1" t="s">
        <v>3429</v>
      </c>
      <c r="O1323" s="1" t="s">
        <v>447</v>
      </c>
      <c r="P1323" s="1" t="s">
        <v>3684</v>
      </c>
      <c r="Z1323" s="1" t="s">
        <v>71</v>
      </c>
      <c r="AE1323" s="1" t="s">
        <v>4502</v>
      </c>
      <c r="AH1323" s="1" t="s">
        <v>73</v>
      </c>
      <c r="AK1323" s="1" t="s">
        <v>71</v>
      </c>
      <c r="AM1323" s="1" t="s">
        <v>71</v>
      </c>
      <c r="AN1323" s="1" t="s">
        <v>71</v>
      </c>
      <c r="AS1323" s="1" t="s">
        <v>71</v>
      </c>
      <c r="AX1323" s="1" t="s">
        <v>71</v>
      </c>
      <c r="BH1323" s="1" t="s">
        <v>71</v>
      </c>
    </row>
    <row r="1324" customFormat="false" ht="15" hidden="false" customHeight="false" outlineLevel="0" collapsed="false">
      <c r="A1324" s="1" t="s">
        <v>4503</v>
      </c>
      <c r="B1324" s="1" t="s">
        <v>4504</v>
      </c>
      <c r="C1324" s="1" t="s">
        <v>834</v>
      </c>
      <c r="D1324" s="1" t="s">
        <v>2721</v>
      </c>
      <c r="E1324" s="1" t="s">
        <v>82</v>
      </c>
      <c r="F1324" s="1" t="s">
        <v>391</v>
      </c>
      <c r="G1324" s="1" t="s">
        <v>443</v>
      </c>
      <c r="H1324" s="1" t="s">
        <v>444</v>
      </c>
      <c r="K1324" s="1" t="s">
        <v>618</v>
      </c>
      <c r="L1324" s="1" t="s">
        <v>619</v>
      </c>
      <c r="M1324" s="1" t="s">
        <v>496</v>
      </c>
      <c r="N1324" s="1" t="s">
        <v>3746</v>
      </c>
      <c r="O1324" s="1" t="s">
        <v>3747</v>
      </c>
      <c r="P1324" s="1" t="s">
        <v>3748</v>
      </c>
      <c r="Z1324" s="1" t="s">
        <v>71</v>
      </c>
      <c r="AE1324" s="1" t="s">
        <v>4502</v>
      </c>
      <c r="AH1324" s="1" t="s">
        <v>73</v>
      </c>
      <c r="AK1324" s="1" t="s">
        <v>71</v>
      </c>
      <c r="AM1324" s="1" t="s">
        <v>71</v>
      </c>
      <c r="AN1324" s="1" t="s">
        <v>71</v>
      </c>
      <c r="AS1324" s="1" t="s">
        <v>71</v>
      </c>
      <c r="AX1324" s="1" t="s">
        <v>71</v>
      </c>
      <c r="BH1324" s="1" t="s">
        <v>71</v>
      </c>
    </row>
    <row r="1325" customFormat="false" ht="15" hidden="false" customHeight="false" outlineLevel="0" collapsed="false">
      <c r="A1325" s="1" t="s">
        <v>4505</v>
      </c>
      <c r="B1325" s="1" t="s">
        <v>4506</v>
      </c>
      <c r="C1325" s="1" t="s">
        <v>834</v>
      </c>
      <c r="D1325" s="1" t="s">
        <v>2721</v>
      </c>
      <c r="E1325" s="1" t="s">
        <v>82</v>
      </c>
      <c r="F1325" s="1" t="s">
        <v>391</v>
      </c>
      <c r="G1325" s="1" t="s">
        <v>443</v>
      </c>
      <c r="H1325" s="1" t="s">
        <v>444</v>
      </c>
      <c r="K1325" s="1" t="s">
        <v>61</v>
      </c>
      <c r="L1325" s="1" t="s">
        <v>445</v>
      </c>
      <c r="M1325" s="1" t="s">
        <v>692</v>
      </c>
      <c r="N1325" s="1" t="s">
        <v>3746</v>
      </c>
      <c r="O1325" s="1" t="s">
        <v>3747</v>
      </c>
      <c r="P1325" s="1" t="s">
        <v>3748</v>
      </c>
      <c r="Z1325" s="1" t="s">
        <v>71</v>
      </c>
      <c r="AE1325" s="1" t="s">
        <v>4502</v>
      </c>
      <c r="AH1325" s="1" t="s">
        <v>73</v>
      </c>
      <c r="AK1325" s="1" t="s">
        <v>71</v>
      </c>
      <c r="AM1325" s="1" t="s">
        <v>71</v>
      </c>
      <c r="AN1325" s="1" t="s">
        <v>71</v>
      </c>
      <c r="AS1325" s="1" t="s">
        <v>71</v>
      </c>
      <c r="AX1325" s="1" t="s">
        <v>71</v>
      </c>
      <c r="BH1325" s="1" t="s">
        <v>71</v>
      </c>
    </row>
    <row r="1326" customFormat="false" ht="15" hidden="false" customHeight="false" outlineLevel="0" collapsed="false">
      <c r="A1326" s="1" t="s">
        <v>4507</v>
      </c>
      <c r="B1326" s="1" t="s">
        <v>4508</v>
      </c>
      <c r="C1326" s="1" t="s">
        <v>389</v>
      </c>
      <c r="D1326" s="1" t="s">
        <v>390</v>
      </c>
      <c r="E1326" s="1" t="s">
        <v>82</v>
      </c>
      <c r="F1326" s="1" t="s">
        <v>391</v>
      </c>
      <c r="G1326" s="1" t="s">
        <v>443</v>
      </c>
      <c r="H1326" s="1" t="s">
        <v>444</v>
      </c>
      <c r="K1326" s="1" t="s">
        <v>618</v>
      </c>
      <c r="L1326" s="1" t="s">
        <v>619</v>
      </c>
      <c r="M1326" s="1" t="s">
        <v>496</v>
      </c>
      <c r="N1326" s="1" t="s">
        <v>1768</v>
      </c>
      <c r="O1326" s="1" t="s">
        <v>400</v>
      </c>
      <c r="P1326" s="1" t="s">
        <v>4491</v>
      </c>
      <c r="Z1326" s="1" t="s">
        <v>71</v>
      </c>
      <c r="AE1326" s="1" t="s">
        <v>4509</v>
      </c>
      <c r="AH1326" s="1" t="s">
        <v>73</v>
      </c>
      <c r="AK1326" s="1" t="s">
        <v>71</v>
      </c>
      <c r="AM1326" s="1" t="s">
        <v>71</v>
      </c>
      <c r="AN1326" s="1" t="s">
        <v>71</v>
      </c>
      <c r="AS1326" s="1" t="s">
        <v>71</v>
      </c>
      <c r="AX1326" s="1" t="s">
        <v>71</v>
      </c>
      <c r="BH1326" s="1" t="s">
        <v>71</v>
      </c>
    </row>
    <row r="1327" customFormat="false" ht="15" hidden="false" customHeight="false" outlineLevel="0" collapsed="false">
      <c r="A1327" s="1" t="s">
        <v>4510</v>
      </c>
      <c r="B1327" s="1" t="s">
        <v>4511</v>
      </c>
      <c r="C1327" s="1" t="s">
        <v>2107</v>
      </c>
      <c r="D1327" s="1" t="s">
        <v>2108</v>
      </c>
      <c r="E1327" s="1" t="s">
        <v>82</v>
      </c>
      <c r="F1327" s="1" t="s">
        <v>391</v>
      </c>
      <c r="G1327" s="1" t="s">
        <v>443</v>
      </c>
      <c r="H1327" s="1" t="s">
        <v>444</v>
      </c>
      <c r="K1327" s="1" t="s">
        <v>61</v>
      </c>
      <c r="L1327" s="1" t="s">
        <v>445</v>
      </c>
      <c r="M1327" s="1" t="s">
        <v>496</v>
      </c>
      <c r="N1327" s="1" t="s">
        <v>4512</v>
      </c>
      <c r="O1327" s="1" t="s">
        <v>4513</v>
      </c>
      <c r="P1327" s="1" t="s">
        <v>4514</v>
      </c>
      <c r="Z1327" s="1" t="s">
        <v>71</v>
      </c>
      <c r="AE1327" s="1" t="s">
        <v>4509</v>
      </c>
      <c r="AH1327" s="1" t="s">
        <v>73</v>
      </c>
      <c r="AK1327" s="1" t="s">
        <v>71</v>
      </c>
      <c r="AM1327" s="1" t="s">
        <v>71</v>
      </c>
      <c r="AN1327" s="1" t="s">
        <v>71</v>
      </c>
      <c r="AS1327" s="1" t="s">
        <v>71</v>
      </c>
      <c r="AX1327" s="1" t="s">
        <v>71</v>
      </c>
      <c r="BH1327" s="1" t="s">
        <v>71</v>
      </c>
    </row>
    <row r="1328" customFormat="false" ht="15" hidden="false" customHeight="false" outlineLevel="0" collapsed="false">
      <c r="A1328" s="1" t="s">
        <v>4515</v>
      </c>
      <c r="B1328" s="1" t="s">
        <v>4516</v>
      </c>
      <c r="C1328" s="1" t="s">
        <v>1272</v>
      </c>
      <c r="D1328" s="1" t="s">
        <v>4517</v>
      </c>
      <c r="E1328" s="1" t="s">
        <v>82</v>
      </c>
      <c r="F1328" s="1" t="s">
        <v>391</v>
      </c>
      <c r="G1328" s="1" t="s">
        <v>97</v>
      </c>
      <c r="H1328" s="1" t="s">
        <v>406</v>
      </c>
      <c r="K1328" s="1" t="s">
        <v>65</v>
      </c>
      <c r="L1328" s="1" t="s">
        <v>860</v>
      </c>
      <c r="M1328" s="1" t="s">
        <v>496</v>
      </c>
      <c r="N1328" s="1" t="s">
        <v>2852</v>
      </c>
      <c r="O1328" s="1" t="s">
        <v>2853</v>
      </c>
      <c r="P1328" s="1" t="s">
        <v>4518</v>
      </c>
      <c r="Z1328" s="1" t="s">
        <v>71</v>
      </c>
      <c r="AE1328" s="1" t="s">
        <v>4519</v>
      </c>
      <c r="AH1328" s="1" t="s">
        <v>73</v>
      </c>
      <c r="AK1328" s="1" t="s">
        <v>71</v>
      </c>
      <c r="AM1328" s="1" t="s">
        <v>71</v>
      </c>
      <c r="AN1328" s="1" t="s">
        <v>71</v>
      </c>
      <c r="AS1328" s="1" t="s">
        <v>71</v>
      </c>
      <c r="AX1328" s="1" t="s">
        <v>71</v>
      </c>
      <c r="BH1328" s="1" t="s">
        <v>71</v>
      </c>
    </row>
    <row r="1329" customFormat="false" ht="15" hidden="false" customHeight="false" outlineLevel="0" collapsed="false">
      <c r="A1329" s="1" t="s">
        <v>4520</v>
      </c>
      <c r="B1329" s="1" t="s">
        <v>4521</v>
      </c>
      <c r="C1329" s="1" t="s">
        <v>150</v>
      </c>
      <c r="D1329" s="1" t="s">
        <v>405</v>
      </c>
      <c r="E1329" s="1" t="s">
        <v>82</v>
      </c>
      <c r="F1329" s="1" t="s">
        <v>391</v>
      </c>
      <c r="G1329" s="1" t="s">
        <v>97</v>
      </c>
      <c r="H1329" s="1" t="s">
        <v>406</v>
      </c>
      <c r="K1329" s="1" t="s">
        <v>453</v>
      </c>
      <c r="L1329" s="1" t="s">
        <v>454</v>
      </c>
      <c r="M1329" s="1" t="s">
        <v>496</v>
      </c>
      <c r="N1329" s="1" t="s">
        <v>4522</v>
      </c>
      <c r="O1329" s="1" t="s">
        <v>400</v>
      </c>
      <c r="P1329" s="1" t="s">
        <v>4523</v>
      </c>
      <c r="Z1329" s="1" t="s">
        <v>71</v>
      </c>
      <c r="AE1329" s="1" t="s">
        <v>4524</v>
      </c>
      <c r="AH1329" s="1" t="s">
        <v>73</v>
      </c>
      <c r="AK1329" s="1" t="s">
        <v>71</v>
      </c>
      <c r="AM1329" s="1" t="s">
        <v>71</v>
      </c>
      <c r="AN1329" s="1" t="s">
        <v>71</v>
      </c>
      <c r="AS1329" s="1" t="s">
        <v>71</v>
      </c>
      <c r="AX1329" s="1" t="s">
        <v>71</v>
      </c>
      <c r="BH1329" s="1" t="s">
        <v>71</v>
      </c>
    </row>
    <row r="1330" customFormat="false" ht="15" hidden="false" customHeight="false" outlineLevel="0" collapsed="false">
      <c r="A1330" s="1" t="s">
        <v>4525</v>
      </c>
      <c r="B1330" s="1" t="s">
        <v>4526</v>
      </c>
      <c r="C1330" s="1" t="s">
        <v>150</v>
      </c>
      <c r="D1330" s="1" t="s">
        <v>405</v>
      </c>
      <c r="E1330" s="1" t="s">
        <v>82</v>
      </c>
      <c r="F1330" s="1" t="s">
        <v>391</v>
      </c>
      <c r="G1330" s="1" t="s">
        <v>97</v>
      </c>
      <c r="H1330" s="1" t="s">
        <v>406</v>
      </c>
      <c r="K1330" s="1" t="s">
        <v>453</v>
      </c>
      <c r="L1330" s="1" t="s">
        <v>454</v>
      </c>
      <c r="M1330" s="1" t="s">
        <v>496</v>
      </c>
      <c r="N1330" s="1" t="s">
        <v>4527</v>
      </c>
      <c r="O1330" s="1" t="s">
        <v>4528</v>
      </c>
      <c r="P1330" s="1" t="s">
        <v>4529</v>
      </c>
      <c r="Z1330" s="1" t="s">
        <v>71</v>
      </c>
      <c r="AE1330" s="1" t="s">
        <v>4524</v>
      </c>
      <c r="AH1330" s="1" t="s">
        <v>73</v>
      </c>
      <c r="AK1330" s="1" t="s">
        <v>71</v>
      </c>
      <c r="AM1330" s="1" t="s">
        <v>71</v>
      </c>
      <c r="AN1330" s="1" t="s">
        <v>71</v>
      </c>
      <c r="AS1330" s="1" t="s">
        <v>71</v>
      </c>
      <c r="AX1330" s="1" t="s">
        <v>71</v>
      </c>
      <c r="BH1330" s="1" t="s">
        <v>71</v>
      </c>
    </row>
    <row r="1331" customFormat="false" ht="15" hidden="false" customHeight="false" outlineLevel="0" collapsed="false">
      <c r="A1331" s="1" t="s">
        <v>4530</v>
      </c>
      <c r="B1331" s="1" t="s">
        <v>4531</v>
      </c>
      <c r="C1331" s="1" t="s">
        <v>150</v>
      </c>
      <c r="D1331" s="1" t="s">
        <v>405</v>
      </c>
      <c r="E1331" s="1" t="s">
        <v>82</v>
      </c>
      <c r="F1331" s="1" t="s">
        <v>391</v>
      </c>
      <c r="G1331" s="1" t="s">
        <v>97</v>
      </c>
      <c r="H1331" s="1" t="s">
        <v>406</v>
      </c>
      <c r="K1331" s="1" t="s">
        <v>407</v>
      </c>
      <c r="L1331" s="1" t="s">
        <v>408</v>
      </c>
      <c r="M1331" s="1" t="s">
        <v>496</v>
      </c>
      <c r="N1331" s="1" t="s">
        <v>4532</v>
      </c>
      <c r="O1331" s="1" t="s">
        <v>4533</v>
      </c>
      <c r="P1331" s="1" t="s">
        <v>4534</v>
      </c>
      <c r="Z1331" s="1" t="s">
        <v>71</v>
      </c>
      <c r="AE1331" s="1" t="s">
        <v>4524</v>
      </c>
      <c r="AH1331" s="1" t="s">
        <v>73</v>
      </c>
      <c r="AK1331" s="1" t="s">
        <v>71</v>
      </c>
      <c r="AM1331" s="1" t="s">
        <v>71</v>
      </c>
      <c r="AN1331" s="1" t="s">
        <v>71</v>
      </c>
      <c r="AS1331" s="1" t="s">
        <v>71</v>
      </c>
      <c r="AX1331" s="1" t="s">
        <v>71</v>
      </c>
      <c r="BH1331" s="1" t="s">
        <v>71</v>
      </c>
    </row>
    <row r="1332" customFormat="false" ht="15" hidden="false" customHeight="false" outlineLevel="0" collapsed="false">
      <c r="A1332" s="1" t="s">
        <v>4535</v>
      </c>
      <c r="B1332" s="1" t="s">
        <v>4536</v>
      </c>
      <c r="C1332" s="1" t="s">
        <v>150</v>
      </c>
      <c r="D1332" s="1" t="s">
        <v>405</v>
      </c>
      <c r="E1332" s="1" t="s">
        <v>82</v>
      </c>
      <c r="F1332" s="1" t="s">
        <v>391</v>
      </c>
      <c r="G1332" s="1" t="s">
        <v>97</v>
      </c>
      <c r="H1332" s="1" t="s">
        <v>406</v>
      </c>
      <c r="K1332" s="1" t="s">
        <v>453</v>
      </c>
      <c r="L1332" s="1" t="s">
        <v>454</v>
      </c>
      <c r="M1332" s="1" t="s">
        <v>496</v>
      </c>
      <c r="N1332" s="1" t="s">
        <v>3429</v>
      </c>
      <c r="O1332" s="1" t="s">
        <v>447</v>
      </c>
      <c r="P1332" s="1" t="s">
        <v>3684</v>
      </c>
      <c r="Z1332" s="1" t="s">
        <v>71</v>
      </c>
      <c r="AE1332" s="1" t="s">
        <v>4524</v>
      </c>
      <c r="AH1332" s="1" t="s">
        <v>73</v>
      </c>
      <c r="AK1332" s="1" t="s">
        <v>71</v>
      </c>
      <c r="AM1332" s="1" t="s">
        <v>71</v>
      </c>
      <c r="AN1332" s="1" t="s">
        <v>71</v>
      </c>
      <c r="AS1332" s="1" t="s">
        <v>71</v>
      </c>
      <c r="AX1332" s="1" t="s">
        <v>71</v>
      </c>
      <c r="BH1332" s="1" t="s">
        <v>71</v>
      </c>
    </row>
    <row r="1333" customFormat="false" ht="15" hidden="false" customHeight="false" outlineLevel="0" collapsed="false">
      <c r="A1333" s="1" t="s">
        <v>4537</v>
      </c>
      <c r="B1333" s="1" t="s">
        <v>4538</v>
      </c>
      <c r="C1333" s="1" t="s">
        <v>1285</v>
      </c>
      <c r="D1333" s="1" t="s">
        <v>4539</v>
      </c>
      <c r="E1333" s="1" t="s">
        <v>82</v>
      </c>
      <c r="F1333" s="1" t="s">
        <v>391</v>
      </c>
      <c r="G1333" s="1" t="s">
        <v>443</v>
      </c>
      <c r="H1333" s="1" t="s">
        <v>444</v>
      </c>
      <c r="K1333" s="1" t="s">
        <v>61</v>
      </c>
      <c r="L1333" s="1" t="s">
        <v>445</v>
      </c>
      <c r="M1333" s="1" t="s">
        <v>496</v>
      </c>
      <c r="N1333" s="1" t="s">
        <v>3948</v>
      </c>
      <c r="O1333" s="1" t="s">
        <v>2407</v>
      </c>
      <c r="P1333" s="1" t="s">
        <v>3949</v>
      </c>
      <c r="Z1333" s="1" t="s">
        <v>71</v>
      </c>
      <c r="AE1333" s="1" t="s">
        <v>4540</v>
      </c>
      <c r="AH1333" s="1" t="s">
        <v>73</v>
      </c>
      <c r="AK1333" s="1" t="s">
        <v>71</v>
      </c>
      <c r="AM1333" s="1" t="s">
        <v>71</v>
      </c>
      <c r="AN1333" s="1" t="s">
        <v>71</v>
      </c>
      <c r="AS1333" s="1" t="s">
        <v>71</v>
      </c>
      <c r="AX1333" s="1" t="s">
        <v>71</v>
      </c>
      <c r="BH1333" s="1" t="s">
        <v>71</v>
      </c>
    </row>
    <row r="1334" customFormat="false" ht="15" hidden="false" customHeight="false" outlineLevel="0" collapsed="false">
      <c r="A1334" s="1" t="s">
        <v>4541</v>
      </c>
      <c r="B1334" s="1" t="s">
        <v>4542</v>
      </c>
      <c r="C1334" s="1" t="s">
        <v>1278</v>
      </c>
      <c r="D1334" s="1" t="s">
        <v>4543</v>
      </c>
      <c r="E1334" s="1" t="s">
        <v>82</v>
      </c>
      <c r="F1334" s="1" t="s">
        <v>391</v>
      </c>
      <c r="G1334" s="1" t="s">
        <v>97</v>
      </c>
      <c r="H1334" s="1" t="s">
        <v>406</v>
      </c>
      <c r="K1334" s="1" t="s">
        <v>65</v>
      </c>
      <c r="L1334" s="1" t="s">
        <v>860</v>
      </c>
      <c r="M1334" s="1" t="s">
        <v>496</v>
      </c>
      <c r="N1334" s="1" t="s">
        <v>4544</v>
      </c>
      <c r="O1334" s="1" t="s">
        <v>400</v>
      </c>
      <c r="P1334" s="1" t="s">
        <v>4545</v>
      </c>
      <c r="Z1334" s="1" t="s">
        <v>71</v>
      </c>
      <c r="AE1334" s="1" t="s">
        <v>4540</v>
      </c>
      <c r="AH1334" s="1" t="s">
        <v>73</v>
      </c>
      <c r="AK1334" s="1" t="s">
        <v>71</v>
      </c>
      <c r="AM1334" s="1" t="s">
        <v>71</v>
      </c>
      <c r="AN1334" s="1" t="s">
        <v>71</v>
      </c>
      <c r="AS1334" s="1" t="s">
        <v>71</v>
      </c>
      <c r="AX1334" s="1" t="s">
        <v>71</v>
      </c>
      <c r="BH1334" s="1" t="s">
        <v>71</v>
      </c>
    </row>
    <row r="1335" customFormat="false" ht="15" hidden="false" customHeight="false" outlineLevel="0" collapsed="false">
      <c r="A1335" s="1" t="s">
        <v>4546</v>
      </c>
      <c r="B1335" s="1" t="s">
        <v>4547</v>
      </c>
      <c r="C1335" s="1" t="s">
        <v>1070</v>
      </c>
      <c r="D1335" s="1" t="s">
        <v>3765</v>
      </c>
      <c r="E1335" s="1" t="s">
        <v>61</v>
      </c>
      <c r="F1335" s="1" t="s">
        <v>101</v>
      </c>
      <c r="G1335" s="1" t="s">
        <v>148</v>
      </c>
      <c r="H1335" s="1" t="s">
        <v>231</v>
      </c>
      <c r="K1335" s="1" t="s">
        <v>1419</v>
      </c>
      <c r="L1335" s="1" t="s">
        <v>1420</v>
      </c>
      <c r="M1335" s="1" t="s">
        <v>296</v>
      </c>
      <c r="N1335" s="1" t="s">
        <v>243</v>
      </c>
      <c r="O1335" s="1" t="s">
        <v>244</v>
      </c>
      <c r="P1335" s="1" t="s">
        <v>3503</v>
      </c>
      <c r="U1335" s="1" t="s">
        <v>4546</v>
      </c>
      <c r="Z1335" s="1" t="s">
        <v>71</v>
      </c>
      <c r="AE1335" s="1" t="s">
        <v>4548</v>
      </c>
      <c r="AH1335" s="1" t="s">
        <v>73</v>
      </c>
      <c r="AK1335" s="1" t="s">
        <v>71</v>
      </c>
      <c r="AM1335" s="1" t="s">
        <v>71</v>
      </c>
      <c r="AN1335" s="1" t="s">
        <v>71</v>
      </c>
      <c r="AS1335" s="1" t="s">
        <v>71</v>
      </c>
      <c r="AX1335" s="1" t="s">
        <v>71</v>
      </c>
      <c r="AY1335" s="1" t="s">
        <v>59</v>
      </c>
      <c r="AZ1335" s="1" t="s">
        <v>74</v>
      </c>
      <c r="BH1335" s="1" t="s">
        <v>71</v>
      </c>
    </row>
    <row r="1336" customFormat="false" ht="15" hidden="false" customHeight="false" outlineLevel="0" collapsed="false">
      <c r="A1336" s="1" t="s">
        <v>4549</v>
      </c>
      <c r="B1336" s="1" t="s">
        <v>4550</v>
      </c>
      <c r="C1336" s="1" t="s">
        <v>520</v>
      </c>
      <c r="D1336" s="1" t="s">
        <v>1678</v>
      </c>
      <c r="E1336" s="1" t="s">
        <v>82</v>
      </c>
      <c r="F1336" s="1" t="s">
        <v>391</v>
      </c>
      <c r="G1336" s="1" t="s">
        <v>443</v>
      </c>
      <c r="H1336" s="1" t="s">
        <v>444</v>
      </c>
      <c r="K1336" s="1" t="s">
        <v>618</v>
      </c>
      <c r="L1336" s="1" t="s">
        <v>619</v>
      </c>
      <c r="M1336" s="1" t="s">
        <v>496</v>
      </c>
      <c r="N1336" s="1" t="s">
        <v>3296</v>
      </c>
      <c r="O1336" s="1" t="s">
        <v>447</v>
      </c>
      <c r="P1336" s="1" t="s">
        <v>3729</v>
      </c>
      <c r="Z1336" s="1" t="s">
        <v>71</v>
      </c>
      <c r="AE1336" s="1" t="s">
        <v>4548</v>
      </c>
      <c r="AH1336" s="1" t="s">
        <v>73</v>
      </c>
      <c r="AK1336" s="1" t="s">
        <v>71</v>
      </c>
      <c r="AM1336" s="1" t="s">
        <v>71</v>
      </c>
      <c r="AN1336" s="1" t="s">
        <v>71</v>
      </c>
      <c r="AS1336" s="1" t="s">
        <v>71</v>
      </c>
      <c r="AX1336" s="1" t="s">
        <v>71</v>
      </c>
      <c r="BH1336" s="1" t="s">
        <v>71</v>
      </c>
    </row>
    <row r="1337" customFormat="false" ht="15" hidden="false" customHeight="false" outlineLevel="0" collapsed="false">
      <c r="A1337" s="1" t="s">
        <v>4551</v>
      </c>
      <c r="B1337" s="1" t="s">
        <v>4552</v>
      </c>
      <c r="C1337" s="1" t="s">
        <v>742</v>
      </c>
      <c r="D1337" s="1" t="s">
        <v>1977</v>
      </c>
      <c r="E1337" s="1" t="s">
        <v>82</v>
      </c>
      <c r="F1337" s="1" t="s">
        <v>391</v>
      </c>
      <c r="G1337" s="1" t="s">
        <v>443</v>
      </c>
      <c r="H1337" s="1" t="s">
        <v>444</v>
      </c>
      <c r="K1337" s="1" t="s">
        <v>582</v>
      </c>
      <c r="L1337" s="1" t="s">
        <v>860</v>
      </c>
      <c r="M1337" s="1" t="s">
        <v>1681</v>
      </c>
      <c r="N1337" s="1" t="s">
        <v>792</v>
      </c>
      <c r="O1337" s="1" t="s">
        <v>447</v>
      </c>
      <c r="P1337" s="1" t="s">
        <v>4272</v>
      </c>
      <c r="Z1337" s="1" t="s">
        <v>71</v>
      </c>
      <c r="AE1337" s="1" t="s">
        <v>4553</v>
      </c>
      <c r="AH1337" s="1" t="s">
        <v>73</v>
      </c>
      <c r="AK1337" s="1" t="s">
        <v>71</v>
      </c>
      <c r="AM1337" s="1" t="s">
        <v>71</v>
      </c>
      <c r="AN1337" s="1" t="s">
        <v>71</v>
      </c>
      <c r="AS1337" s="1" t="s">
        <v>71</v>
      </c>
      <c r="AX1337" s="1" t="s">
        <v>71</v>
      </c>
      <c r="BH1337" s="1" t="s">
        <v>71</v>
      </c>
    </row>
    <row r="1338" customFormat="false" ht="15" hidden="false" customHeight="false" outlineLevel="0" collapsed="false">
      <c r="A1338" s="1" t="s">
        <v>4554</v>
      </c>
      <c r="B1338" s="1" t="s">
        <v>4555</v>
      </c>
      <c r="C1338" s="1" t="s">
        <v>1294</v>
      </c>
      <c r="D1338" s="1" t="s">
        <v>2439</v>
      </c>
      <c r="E1338" s="1" t="s">
        <v>82</v>
      </c>
      <c r="F1338" s="1" t="s">
        <v>391</v>
      </c>
      <c r="G1338" s="1" t="s">
        <v>443</v>
      </c>
      <c r="H1338" s="1" t="s">
        <v>444</v>
      </c>
      <c r="K1338" s="1" t="s">
        <v>61</v>
      </c>
      <c r="L1338" s="1" t="s">
        <v>445</v>
      </c>
      <c r="M1338" s="1" t="s">
        <v>1681</v>
      </c>
      <c r="N1338" s="1" t="s">
        <v>3146</v>
      </c>
      <c r="O1338" s="1" t="s">
        <v>1001</v>
      </c>
      <c r="P1338" s="1" t="s">
        <v>4440</v>
      </c>
      <c r="Z1338" s="1" t="s">
        <v>71</v>
      </c>
      <c r="AE1338" s="1" t="s">
        <v>4553</v>
      </c>
      <c r="AH1338" s="1" t="s">
        <v>73</v>
      </c>
      <c r="AK1338" s="1" t="s">
        <v>71</v>
      </c>
      <c r="AM1338" s="1" t="s">
        <v>71</v>
      </c>
      <c r="AN1338" s="1" t="s">
        <v>71</v>
      </c>
      <c r="AS1338" s="1" t="s">
        <v>71</v>
      </c>
      <c r="AX1338" s="1" t="s">
        <v>71</v>
      </c>
      <c r="BH1338" s="1" t="s">
        <v>71</v>
      </c>
    </row>
    <row r="1339" customFormat="false" ht="15" hidden="false" customHeight="false" outlineLevel="0" collapsed="false">
      <c r="A1339" s="1" t="s">
        <v>4556</v>
      </c>
      <c r="B1339" s="1" t="s">
        <v>4557</v>
      </c>
      <c r="C1339" s="1" t="s">
        <v>1268</v>
      </c>
      <c r="D1339" s="1" t="s">
        <v>4558</v>
      </c>
      <c r="E1339" s="1" t="s">
        <v>82</v>
      </c>
      <c r="F1339" s="1" t="s">
        <v>391</v>
      </c>
      <c r="G1339" s="1" t="s">
        <v>97</v>
      </c>
      <c r="H1339" s="1" t="s">
        <v>406</v>
      </c>
      <c r="K1339" s="1" t="s">
        <v>65</v>
      </c>
      <c r="L1339" s="1" t="s">
        <v>860</v>
      </c>
      <c r="M1339" s="1" t="s">
        <v>496</v>
      </c>
      <c r="N1339" s="1" t="s">
        <v>792</v>
      </c>
      <c r="O1339" s="1" t="s">
        <v>447</v>
      </c>
      <c r="P1339" s="1" t="s">
        <v>4272</v>
      </c>
      <c r="Z1339" s="1" t="s">
        <v>71</v>
      </c>
      <c r="AE1339" s="1" t="s">
        <v>4553</v>
      </c>
      <c r="AH1339" s="1" t="s">
        <v>73</v>
      </c>
      <c r="AK1339" s="1" t="s">
        <v>71</v>
      </c>
      <c r="AM1339" s="1" t="s">
        <v>71</v>
      </c>
      <c r="AN1339" s="1" t="s">
        <v>71</v>
      </c>
      <c r="AS1339" s="1" t="s">
        <v>71</v>
      </c>
      <c r="AX1339" s="1" t="s">
        <v>71</v>
      </c>
      <c r="BH1339" s="1" t="s">
        <v>71</v>
      </c>
    </row>
    <row r="1340" customFormat="false" ht="15" hidden="false" customHeight="false" outlineLevel="0" collapsed="false">
      <c r="A1340" s="1" t="s">
        <v>4559</v>
      </c>
      <c r="B1340" s="1" t="s">
        <v>4560</v>
      </c>
      <c r="C1340" s="1" t="s">
        <v>1298</v>
      </c>
      <c r="D1340" s="1" t="s">
        <v>4561</v>
      </c>
      <c r="E1340" s="1" t="s">
        <v>82</v>
      </c>
      <c r="F1340" s="1" t="s">
        <v>391</v>
      </c>
      <c r="G1340" s="1" t="s">
        <v>443</v>
      </c>
      <c r="H1340" s="1" t="s">
        <v>444</v>
      </c>
      <c r="K1340" s="1" t="s">
        <v>618</v>
      </c>
      <c r="L1340" s="1" t="s">
        <v>619</v>
      </c>
      <c r="M1340" s="1" t="s">
        <v>496</v>
      </c>
      <c r="N1340" s="1" t="s">
        <v>4562</v>
      </c>
      <c r="O1340" s="1" t="s">
        <v>4563</v>
      </c>
      <c r="P1340" s="1" t="s">
        <v>4564</v>
      </c>
      <c r="Z1340" s="1" t="s">
        <v>71</v>
      </c>
      <c r="AE1340" s="1" t="s">
        <v>4565</v>
      </c>
      <c r="AH1340" s="1" t="s">
        <v>73</v>
      </c>
      <c r="AK1340" s="1" t="s">
        <v>71</v>
      </c>
      <c r="AM1340" s="1" t="s">
        <v>71</v>
      </c>
      <c r="AN1340" s="1" t="s">
        <v>71</v>
      </c>
      <c r="AS1340" s="1" t="s">
        <v>71</v>
      </c>
      <c r="AX1340" s="1" t="s">
        <v>71</v>
      </c>
      <c r="BH1340" s="1" t="s">
        <v>71</v>
      </c>
    </row>
    <row r="1341" customFormat="false" ht="15" hidden="false" customHeight="false" outlineLevel="0" collapsed="false">
      <c r="A1341" s="1" t="s">
        <v>4566</v>
      </c>
      <c r="B1341" s="1" t="s">
        <v>4567</v>
      </c>
      <c r="C1341" s="1" t="s">
        <v>1298</v>
      </c>
      <c r="D1341" s="1" t="s">
        <v>4561</v>
      </c>
      <c r="E1341" s="1" t="s">
        <v>82</v>
      </c>
      <c r="F1341" s="1" t="s">
        <v>391</v>
      </c>
      <c r="G1341" s="1" t="s">
        <v>443</v>
      </c>
      <c r="H1341" s="1" t="s">
        <v>444</v>
      </c>
      <c r="K1341" s="1" t="s">
        <v>61</v>
      </c>
      <c r="L1341" s="1" t="s">
        <v>445</v>
      </c>
      <c r="M1341" s="1" t="s">
        <v>496</v>
      </c>
      <c r="N1341" s="1" t="s">
        <v>4562</v>
      </c>
      <c r="O1341" s="1" t="s">
        <v>4563</v>
      </c>
      <c r="P1341" s="1" t="s">
        <v>4564</v>
      </c>
      <c r="Z1341" s="1" t="s">
        <v>71</v>
      </c>
      <c r="AE1341" s="1" t="s">
        <v>4565</v>
      </c>
      <c r="AH1341" s="1" t="s">
        <v>73</v>
      </c>
      <c r="AK1341" s="1" t="s">
        <v>71</v>
      </c>
      <c r="AM1341" s="1" t="s">
        <v>71</v>
      </c>
      <c r="AN1341" s="1" t="s">
        <v>71</v>
      </c>
      <c r="AS1341" s="1" t="s">
        <v>71</v>
      </c>
      <c r="AX1341" s="1" t="s">
        <v>71</v>
      </c>
      <c r="BH1341" s="1" t="s">
        <v>71</v>
      </c>
    </row>
    <row r="1342" customFormat="false" ht="15" hidden="false" customHeight="false" outlineLevel="0" collapsed="false">
      <c r="A1342" s="1" t="s">
        <v>4568</v>
      </c>
      <c r="B1342" s="1" t="s">
        <v>4569</v>
      </c>
      <c r="C1342" s="1" t="s">
        <v>1298</v>
      </c>
      <c r="D1342" s="1" t="s">
        <v>4561</v>
      </c>
      <c r="E1342" s="1" t="s">
        <v>82</v>
      </c>
      <c r="F1342" s="1" t="s">
        <v>391</v>
      </c>
      <c r="G1342" s="1" t="s">
        <v>443</v>
      </c>
      <c r="H1342" s="1" t="s">
        <v>444</v>
      </c>
      <c r="K1342" s="1" t="s">
        <v>61</v>
      </c>
      <c r="L1342" s="1" t="s">
        <v>445</v>
      </c>
      <c r="M1342" s="1" t="s">
        <v>496</v>
      </c>
      <c r="N1342" s="1" t="s">
        <v>4570</v>
      </c>
      <c r="O1342" s="1" t="s">
        <v>400</v>
      </c>
      <c r="P1342" s="1" t="s">
        <v>4571</v>
      </c>
      <c r="Z1342" s="1" t="s">
        <v>71</v>
      </c>
      <c r="AE1342" s="1" t="s">
        <v>4565</v>
      </c>
      <c r="AH1342" s="1" t="s">
        <v>73</v>
      </c>
      <c r="AK1342" s="1" t="s">
        <v>71</v>
      </c>
      <c r="AM1342" s="1" t="s">
        <v>71</v>
      </c>
      <c r="AN1342" s="1" t="s">
        <v>71</v>
      </c>
      <c r="AS1342" s="1" t="s">
        <v>71</v>
      </c>
      <c r="AX1342" s="1" t="s">
        <v>71</v>
      </c>
      <c r="BH1342" s="1" t="s">
        <v>71</v>
      </c>
    </row>
    <row r="1343" customFormat="false" ht="15" hidden="false" customHeight="false" outlineLevel="0" collapsed="false">
      <c r="A1343" s="1" t="s">
        <v>4572</v>
      </c>
      <c r="B1343" s="1" t="s">
        <v>4573</v>
      </c>
      <c r="C1343" s="1" t="s">
        <v>1298</v>
      </c>
      <c r="D1343" s="1" t="s">
        <v>4561</v>
      </c>
      <c r="E1343" s="1" t="s">
        <v>82</v>
      </c>
      <c r="F1343" s="1" t="s">
        <v>391</v>
      </c>
      <c r="G1343" s="1" t="s">
        <v>443</v>
      </c>
      <c r="H1343" s="1" t="s">
        <v>444</v>
      </c>
      <c r="K1343" s="1" t="s">
        <v>61</v>
      </c>
      <c r="L1343" s="1" t="s">
        <v>445</v>
      </c>
      <c r="M1343" s="1" t="s">
        <v>496</v>
      </c>
      <c r="N1343" s="1" t="s">
        <v>3429</v>
      </c>
      <c r="O1343" s="1" t="s">
        <v>447</v>
      </c>
      <c r="P1343" s="1" t="s">
        <v>3684</v>
      </c>
      <c r="Z1343" s="1" t="s">
        <v>71</v>
      </c>
      <c r="AE1343" s="1" t="s">
        <v>4565</v>
      </c>
      <c r="AH1343" s="1" t="s">
        <v>73</v>
      </c>
      <c r="AK1343" s="1" t="s">
        <v>71</v>
      </c>
      <c r="AM1343" s="1" t="s">
        <v>71</v>
      </c>
      <c r="AN1343" s="1" t="s">
        <v>71</v>
      </c>
      <c r="AS1343" s="1" t="s">
        <v>71</v>
      </c>
      <c r="AX1343" s="1" t="s">
        <v>71</v>
      </c>
      <c r="BH1343" s="1" t="s">
        <v>71</v>
      </c>
    </row>
    <row r="1344" customFormat="false" ht="15" hidden="false" customHeight="false" outlineLevel="0" collapsed="false">
      <c r="A1344" s="1" t="s">
        <v>4574</v>
      </c>
      <c r="B1344" s="1" t="s">
        <v>4575</v>
      </c>
      <c r="C1344" s="1" t="s">
        <v>1298</v>
      </c>
      <c r="D1344" s="1" t="s">
        <v>4561</v>
      </c>
      <c r="E1344" s="1" t="s">
        <v>82</v>
      </c>
      <c r="F1344" s="1" t="s">
        <v>391</v>
      </c>
      <c r="G1344" s="1" t="s">
        <v>443</v>
      </c>
      <c r="H1344" s="1" t="s">
        <v>444</v>
      </c>
      <c r="K1344" s="1" t="s">
        <v>61</v>
      </c>
      <c r="L1344" s="1" t="s">
        <v>445</v>
      </c>
      <c r="M1344" s="1" t="s">
        <v>496</v>
      </c>
      <c r="N1344" s="1" t="s">
        <v>4576</v>
      </c>
      <c r="O1344" s="1" t="s">
        <v>4577</v>
      </c>
      <c r="P1344" s="1" t="s">
        <v>4578</v>
      </c>
      <c r="Z1344" s="1" t="s">
        <v>71</v>
      </c>
      <c r="AE1344" s="1" t="s">
        <v>4565</v>
      </c>
      <c r="AH1344" s="1" t="s">
        <v>73</v>
      </c>
      <c r="AK1344" s="1" t="s">
        <v>71</v>
      </c>
      <c r="AM1344" s="1" t="s">
        <v>71</v>
      </c>
      <c r="AN1344" s="1" t="s">
        <v>71</v>
      </c>
      <c r="AS1344" s="1" t="s">
        <v>71</v>
      </c>
      <c r="AX1344" s="1" t="s">
        <v>71</v>
      </c>
      <c r="BH1344" s="1" t="s">
        <v>71</v>
      </c>
    </row>
    <row r="1345" customFormat="false" ht="15" hidden="false" customHeight="false" outlineLevel="0" collapsed="false">
      <c r="A1345" s="1" t="s">
        <v>4579</v>
      </c>
      <c r="B1345" s="1" t="s">
        <v>4580</v>
      </c>
      <c r="C1345" s="1" t="s">
        <v>1298</v>
      </c>
      <c r="D1345" s="1" t="s">
        <v>4561</v>
      </c>
      <c r="E1345" s="1" t="s">
        <v>82</v>
      </c>
      <c r="F1345" s="1" t="s">
        <v>391</v>
      </c>
      <c r="G1345" s="1" t="s">
        <v>443</v>
      </c>
      <c r="H1345" s="1" t="s">
        <v>444</v>
      </c>
      <c r="K1345" s="1" t="s">
        <v>61</v>
      </c>
      <c r="L1345" s="1" t="s">
        <v>445</v>
      </c>
      <c r="M1345" s="1" t="s">
        <v>496</v>
      </c>
      <c r="N1345" s="1" t="s">
        <v>3865</v>
      </c>
      <c r="O1345" s="1" t="s">
        <v>3866</v>
      </c>
      <c r="P1345" s="1" t="s">
        <v>3867</v>
      </c>
      <c r="Z1345" s="1" t="s">
        <v>71</v>
      </c>
      <c r="AE1345" s="1" t="s">
        <v>4565</v>
      </c>
      <c r="AH1345" s="1" t="s">
        <v>73</v>
      </c>
      <c r="AK1345" s="1" t="s">
        <v>71</v>
      </c>
      <c r="AM1345" s="1" t="s">
        <v>71</v>
      </c>
      <c r="AN1345" s="1" t="s">
        <v>71</v>
      </c>
      <c r="AS1345" s="1" t="s">
        <v>71</v>
      </c>
      <c r="AX1345" s="1" t="s">
        <v>71</v>
      </c>
      <c r="BH1345" s="1" t="s">
        <v>71</v>
      </c>
    </row>
    <row r="1346" customFormat="false" ht="15" hidden="false" customHeight="false" outlineLevel="0" collapsed="false">
      <c r="A1346" s="1" t="s">
        <v>4581</v>
      </c>
      <c r="B1346" s="1" t="s">
        <v>4582</v>
      </c>
      <c r="C1346" s="1" t="s">
        <v>1298</v>
      </c>
      <c r="D1346" s="1" t="s">
        <v>4561</v>
      </c>
      <c r="E1346" s="1" t="s">
        <v>82</v>
      </c>
      <c r="F1346" s="1" t="s">
        <v>391</v>
      </c>
      <c r="G1346" s="1" t="s">
        <v>443</v>
      </c>
      <c r="H1346" s="1" t="s">
        <v>444</v>
      </c>
      <c r="K1346" s="1" t="s">
        <v>61</v>
      </c>
      <c r="L1346" s="1" t="s">
        <v>445</v>
      </c>
      <c r="M1346" s="1" t="s">
        <v>496</v>
      </c>
      <c r="N1346" s="1" t="s">
        <v>842</v>
      </c>
      <c r="O1346" s="1" t="s">
        <v>400</v>
      </c>
      <c r="P1346" s="1" t="s">
        <v>3677</v>
      </c>
      <c r="Z1346" s="1" t="s">
        <v>71</v>
      </c>
      <c r="AE1346" s="1" t="s">
        <v>4565</v>
      </c>
      <c r="AH1346" s="1" t="s">
        <v>73</v>
      </c>
      <c r="AK1346" s="1" t="s">
        <v>71</v>
      </c>
      <c r="AM1346" s="1" t="s">
        <v>71</v>
      </c>
      <c r="AN1346" s="1" t="s">
        <v>71</v>
      </c>
      <c r="AS1346" s="1" t="s">
        <v>71</v>
      </c>
      <c r="AX1346" s="1" t="s">
        <v>71</v>
      </c>
      <c r="BH1346" s="1" t="s">
        <v>71</v>
      </c>
    </row>
    <row r="1347" customFormat="false" ht="15" hidden="false" customHeight="false" outlineLevel="0" collapsed="false">
      <c r="A1347" s="1" t="s">
        <v>4583</v>
      </c>
      <c r="B1347" s="1" t="s">
        <v>4584</v>
      </c>
      <c r="C1347" s="1" t="s">
        <v>1090</v>
      </c>
      <c r="D1347" s="1" t="s">
        <v>3930</v>
      </c>
      <c r="E1347" s="1" t="s">
        <v>82</v>
      </c>
      <c r="F1347" s="1" t="s">
        <v>391</v>
      </c>
      <c r="G1347" s="1" t="s">
        <v>443</v>
      </c>
      <c r="H1347" s="1" t="s">
        <v>444</v>
      </c>
      <c r="K1347" s="1" t="s">
        <v>61</v>
      </c>
      <c r="L1347" s="1" t="s">
        <v>445</v>
      </c>
      <c r="M1347" s="1" t="s">
        <v>496</v>
      </c>
      <c r="N1347" s="1" t="s">
        <v>4585</v>
      </c>
      <c r="O1347" s="1" t="s">
        <v>1778</v>
      </c>
      <c r="P1347" s="1" t="s">
        <v>4586</v>
      </c>
      <c r="Z1347" s="1" t="s">
        <v>71</v>
      </c>
      <c r="AE1347" s="1" t="s">
        <v>4587</v>
      </c>
      <c r="AH1347" s="1" t="s">
        <v>73</v>
      </c>
      <c r="AK1347" s="1" t="s">
        <v>71</v>
      </c>
      <c r="AM1347" s="1" t="s">
        <v>71</v>
      </c>
      <c r="AN1347" s="1" t="s">
        <v>71</v>
      </c>
      <c r="AS1347" s="1" t="s">
        <v>71</v>
      </c>
      <c r="AX1347" s="1" t="s">
        <v>71</v>
      </c>
      <c r="BH1347" s="1" t="s">
        <v>71</v>
      </c>
    </row>
    <row r="1348" customFormat="false" ht="15" hidden="false" customHeight="false" outlineLevel="0" collapsed="false">
      <c r="A1348" s="1" t="s">
        <v>4588</v>
      </c>
      <c r="B1348" s="1" t="s">
        <v>4589</v>
      </c>
      <c r="C1348" s="1" t="s">
        <v>1151</v>
      </c>
      <c r="D1348" s="1" t="s">
        <v>4150</v>
      </c>
      <c r="E1348" s="1" t="s">
        <v>82</v>
      </c>
      <c r="F1348" s="1" t="s">
        <v>391</v>
      </c>
      <c r="G1348" s="1" t="s">
        <v>97</v>
      </c>
      <c r="H1348" s="1" t="s">
        <v>406</v>
      </c>
      <c r="K1348" s="1" t="s">
        <v>65</v>
      </c>
      <c r="L1348" s="1" t="s">
        <v>860</v>
      </c>
      <c r="M1348" s="1" t="s">
        <v>496</v>
      </c>
      <c r="N1348" s="1" t="s">
        <v>4590</v>
      </c>
      <c r="O1348" s="1" t="s">
        <v>447</v>
      </c>
      <c r="P1348" s="1" t="s">
        <v>4591</v>
      </c>
      <c r="Z1348" s="1" t="s">
        <v>71</v>
      </c>
      <c r="AE1348" s="1" t="s">
        <v>4592</v>
      </c>
      <c r="AH1348" s="1" t="s">
        <v>73</v>
      </c>
      <c r="AK1348" s="1" t="s">
        <v>71</v>
      </c>
      <c r="AM1348" s="1" t="s">
        <v>71</v>
      </c>
      <c r="AN1348" s="1" t="s">
        <v>71</v>
      </c>
      <c r="AS1348" s="1" t="s">
        <v>71</v>
      </c>
      <c r="AX1348" s="1" t="s">
        <v>71</v>
      </c>
      <c r="BH1348" s="1" t="s">
        <v>71</v>
      </c>
    </row>
    <row r="1349" customFormat="false" ht="15" hidden="false" customHeight="false" outlineLevel="0" collapsed="false">
      <c r="A1349" s="1" t="s">
        <v>4593</v>
      </c>
      <c r="B1349" s="1" t="s">
        <v>4594</v>
      </c>
      <c r="C1349" s="1" t="s">
        <v>980</v>
      </c>
      <c r="D1349" s="1" t="s">
        <v>4595</v>
      </c>
      <c r="E1349" s="1" t="s">
        <v>82</v>
      </c>
      <c r="F1349" s="1" t="s">
        <v>391</v>
      </c>
      <c r="G1349" s="1" t="s">
        <v>443</v>
      </c>
      <c r="H1349" s="1" t="s">
        <v>444</v>
      </c>
      <c r="K1349" s="1" t="s">
        <v>61</v>
      </c>
      <c r="L1349" s="1" t="s">
        <v>445</v>
      </c>
      <c r="M1349" s="1" t="s">
        <v>465</v>
      </c>
      <c r="N1349" s="1" t="s">
        <v>3309</v>
      </c>
      <c r="O1349" s="1" t="s">
        <v>3310</v>
      </c>
      <c r="P1349" s="1" t="s">
        <v>3762</v>
      </c>
      <c r="Z1349" s="1" t="s">
        <v>71</v>
      </c>
      <c r="AE1349" s="1" t="s">
        <v>4592</v>
      </c>
      <c r="AH1349" s="1" t="s">
        <v>73</v>
      </c>
      <c r="AK1349" s="1" t="s">
        <v>71</v>
      </c>
      <c r="AM1349" s="1" t="s">
        <v>71</v>
      </c>
      <c r="AN1349" s="1" t="s">
        <v>71</v>
      </c>
      <c r="AS1349" s="1" t="s">
        <v>71</v>
      </c>
      <c r="AX1349" s="1" t="s">
        <v>71</v>
      </c>
      <c r="BH1349" s="1" t="s">
        <v>71</v>
      </c>
    </row>
    <row r="1350" customFormat="false" ht="15" hidden="false" customHeight="false" outlineLevel="0" collapsed="false">
      <c r="A1350" s="1" t="s">
        <v>4596</v>
      </c>
      <c r="B1350" s="1" t="s">
        <v>4597</v>
      </c>
      <c r="C1350" s="1" t="s">
        <v>1300</v>
      </c>
      <c r="D1350" s="1" t="s">
        <v>4598</v>
      </c>
      <c r="E1350" s="1" t="s">
        <v>82</v>
      </c>
      <c r="F1350" s="1" t="s">
        <v>391</v>
      </c>
      <c r="G1350" s="1" t="s">
        <v>97</v>
      </c>
      <c r="H1350" s="1" t="s">
        <v>406</v>
      </c>
      <c r="K1350" s="1" t="s">
        <v>65</v>
      </c>
      <c r="L1350" s="1" t="s">
        <v>860</v>
      </c>
      <c r="M1350" s="1" t="s">
        <v>465</v>
      </c>
      <c r="N1350" s="1" t="s">
        <v>4599</v>
      </c>
      <c r="O1350" s="1" t="s">
        <v>4600</v>
      </c>
      <c r="P1350" s="1" t="s">
        <v>4601</v>
      </c>
      <c r="Z1350" s="1" t="s">
        <v>71</v>
      </c>
      <c r="AE1350" s="1" t="s">
        <v>4602</v>
      </c>
      <c r="AH1350" s="1" t="s">
        <v>73</v>
      </c>
      <c r="AK1350" s="1" t="s">
        <v>71</v>
      </c>
      <c r="AM1350" s="1" t="s">
        <v>71</v>
      </c>
      <c r="AN1350" s="1" t="s">
        <v>71</v>
      </c>
      <c r="AS1350" s="1" t="s">
        <v>71</v>
      </c>
      <c r="AX1350" s="1" t="s">
        <v>71</v>
      </c>
      <c r="BH1350" s="1" t="s">
        <v>71</v>
      </c>
    </row>
    <row r="1351" customFormat="false" ht="15" hidden="false" customHeight="false" outlineLevel="0" collapsed="false">
      <c r="A1351" s="1" t="s">
        <v>4603</v>
      </c>
      <c r="B1351" s="1" t="s">
        <v>4604</v>
      </c>
      <c r="C1351" s="1" t="s">
        <v>1016</v>
      </c>
      <c r="D1351" s="1" t="s">
        <v>3542</v>
      </c>
      <c r="E1351" s="1" t="s">
        <v>61</v>
      </c>
      <c r="F1351" s="1" t="s">
        <v>101</v>
      </c>
      <c r="G1351" s="1" t="s">
        <v>93</v>
      </c>
      <c r="H1351" s="1" t="s">
        <v>64</v>
      </c>
      <c r="K1351" s="1" t="s">
        <v>213</v>
      </c>
      <c r="L1351" s="1" t="s">
        <v>700</v>
      </c>
      <c r="M1351" s="1" t="s">
        <v>104</v>
      </c>
      <c r="N1351" s="1" t="s">
        <v>4605</v>
      </c>
      <c r="O1351" s="1" t="s">
        <v>4606</v>
      </c>
      <c r="P1351" s="1" t="s">
        <v>4607</v>
      </c>
      <c r="U1351" s="1" t="s">
        <v>4603</v>
      </c>
      <c r="Z1351" s="1" t="s">
        <v>71</v>
      </c>
      <c r="AE1351" s="1" t="s">
        <v>4608</v>
      </c>
      <c r="AH1351" s="1" t="s">
        <v>73</v>
      </c>
      <c r="AK1351" s="1" t="s">
        <v>71</v>
      </c>
      <c r="AM1351" s="1" t="s">
        <v>71</v>
      </c>
      <c r="AN1351" s="1" t="s">
        <v>71</v>
      </c>
      <c r="AS1351" s="1" t="s">
        <v>71</v>
      </c>
      <c r="AX1351" s="1" t="s">
        <v>71</v>
      </c>
      <c r="AY1351" s="1" t="s">
        <v>59</v>
      </c>
      <c r="AZ1351" s="1" t="s">
        <v>74</v>
      </c>
      <c r="BH1351" s="1" t="s">
        <v>71</v>
      </c>
    </row>
    <row r="1352" customFormat="false" ht="15" hidden="false" customHeight="false" outlineLevel="0" collapsed="false">
      <c r="A1352" s="1" t="s">
        <v>4609</v>
      </c>
      <c r="B1352" s="1" t="s">
        <v>4610</v>
      </c>
      <c r="C1352" s="1" t="s">
        <v>1158</v>
      </c>
      <c r="D1352" s="1" t="s">
        <v>4456</v>
      </c>
      <c r="E1352" s="1" t="s">
        <v>82</v>
      </c>
      <c r="F1352" s="1" t="s">
        <v>391</v>
      </c>
      <c r="G1352" s="1" t="s">
        <v>213</v>
      </c>
      <c r="H1352" s="1" t="s">
        <v>477</v>
      </c>
      <c r="K1352" s="1" t="s">
        <v>478</v>
      </c>
      <c r="L1352" s="1" t="s">
        <v>479</v>
      </c>
      <c r="M1352" s="1" t="s">
        <v>496</v>
      </c>
      <c r="N1352" s="1" t="s">
        <v>483</v>
      </c>
      <c r="O1352" s="1" t="s">
        <v>400</v>
      </c>
      <c r="P1352" s="1" t="s">
        <v>3959</v>
      </c>
      <c r="Z1352" s="1" t="s">
        <v>71</v>
      </c>
      <c r="AE1352" s="1" t="s">
        <v>4611</v>
      </c>
      <c r="AH1352" s="1" t="s">
        <v>73</v>
      </c>
      <c r="AK1352" s="1" t="s">
        <v>71</v>
      </c>
      <c r="AM1352" s="1" t="s">
        <v>71</v>
      </c>
      <c r="AN1352" s="1" t="s">
        <v>71</v>
      </c>
      <c r="AS1352" s="1" t="s">
        <v>71</v>
      </c>
      <c r="AX1352" s="1" t="s">
        <v>71</v>
      </c>
      <c r="BH1352" s="1" t="s">
        <v>71</v>
      </c>
    </row>
    <row r="1353" customFormat="false" ht="15" hidden="false" customHeight="false" outlineLevel="0" collapsed="false">
      <c r="A1353" s="1" t="s">
        <v>4612</v>
      </c>
      <c r="B1353" s="1" t="s">
        <v>4613</v>
      </c>
      <c r="C1353" s="1" t="s">
        <v>969</v>
      </c>
      <c r="D1353" s="1" t="s">
        <v>3352</v>
      </c>
      <c r="E1353" s="1" t="s">
        <v>82</v>
      </c>
      <c r="F1353" s="1" t="s">
        <v>391</v>
      </c>
      <c r="G1353" s="1" t="s">
        <v>443</v>
      </c>
      <c r="H1353" s="1" t="s">
        <v>444</v>
      </c>
      <c r="K1353" s="1" t="s">
        <v>61</v>
      </c>
      <c r="L1353" s="1" t="s">
        <v>445</v>
      </c>
      <c r="M1353" s="1" t="s">
        <v>3353</v>
      </c>
      <c r="N1353" s="1" t="s">
        <v>3354</v>
      </c>
      <c r="O1353" s="1" t="s">
        <v>400</v>
      </c>
      <c r="P1353" s="1" t="s">
        <v>3497</v>
      </c>
      <c r="Z1353" s="1" t="s">
        <v>71</v>
      </c>
      <c r="AE1353" s="1" t="s">
        <v>4611</v>
      </c>
      <c r="AH1353" s="1" t="s">
        <v>73</v>
      </c>
      <c r="AK1353" s="1" t="s">
        <v>71</v>
      </c>
      <c r="AM1353" s="1" t="s">
        <v>71</v>
      </c>
      <c r="AN1353" s="1" t="s">
        <v>71</v>
      </c>
      <c r="AS1353" s="1" t="s">
        <v>71</v>
      </c>
      <c r="AX1353" s="1" t="s">
        <v>71</v>
      </c>
      <c r="BH1353" s="1" t="s">
        <v>71</v>
      </c>
    </row>
    <row r="1354" customFormat="false" ht="15" hidden="false" customHeight="false" outlineLevel="0" collapsed="false">
      <c r="A1354" s="1" t="s">
        <v>4614</v>
      </c>
      <c r="B1354" s="1" t="s">
        <v>4615</v>
      </c>
      <c r="C1354" s="1" t="s">
        <v>969</v>
      </c>
      <c r="D1354" s="1" t="s">
        <v>3352</v>
      </c>
      <c r="E1354" s="1" t="s">
        <v>82</v>
      </c>
      <c r="F1354" s="1" t="s">
        <v>391</v>
      </c>
      <c r="G1354" s="1" t="s">
        <v>443</v>
      </c>
      <c r="H1354" s="1" t="s">
        <v>444</v>
      </c>
      <c r="K1354" s="1" t="s">
        <v>61</v>
      </c>
      <c r="L1354" s="1" t="s">
        <v>445</v>
      </c>
      <c r="M1354" s="1" t="s">
        <v>3353</v>
      </c>
      <c r="N1354" s="1" t="s">
        <v>3354</v>
      </c>
      <c r="O1354" s="1" t="s">
        <v>400</v>
      </c>
      <c r="P1354" s="1" t="s">
        <v>3497</v>
      </c>
      <c r="Z1354" s="1" t="s">
        <v>71</v>
      </c>
      <c r="AE1354" s="1" t="s">
        <v>4611</v>
      </c>
      <c r="AH1354" s="1" t="s">
        <v>73</v>
      </c>
      <c r="AK1354" s="1" t="s">
        <v>71</v>
      </c>
      <c r="AM1354" s="1" t="s">
        <v>71</v>
      </c>
      <c r="AN1354" s="1" t="s">
        <v>71</v>
      </c>
      <c r="AS1354" s="1" t="s">
        <v>71</v>
      </c>
      <c r="AX1354" s="1" t="s">
        <v>71</v>
      </c>
      <c r="BH1354" s="1" t="s">
        <v>71</v>
      </c>
    </row>
    <row r="1355" customFormat="false" ht="15" hidden="false" customHeight="false" outlineLevel="0" collapsed="false">
      <c r="A1355" s="1" t="s">
        <v>4616</v>
      </c>
      <c r="B1355" s="1" t="s">
        <v>4617</v>
      </c>
      <c r="C1355" s="1" t="s">
        <v>969</v>
      </c>
      <c r="D1355" s="1" t="s">
        <v>3352</v>
      </c>
      <c r="E1355" s="1" t="s">
        <v>82</v>
      </c>
      <c r="F1355" s="1" t="s">
        <v>391</v>
      </c>
      <c r="G1355" s="1" t="s">
        <v>443</v>
      </c>
      <c r="H1355" s="1" t="s">
        <v>444</v>
      </c>
      <c r="K1355" s="1" t="s">
        <v>61</v>
      </c>
      <c r="L1355" s="1" t="s">
        <v>445</v>
      </c>
      <c r="M1355" s="1" t="s">
        <v>3458</v>
      </c>
      <c r="N1355" s="1" t="s">
        <v>3360</v>
      </c>
      <c r="O1355" s="1" t="s">
        <v>3361</v>
      </c>
      <c r="P1355" s="1" t="s">
        <v>3490</v>
      </c>
      <c r="Z1355" s="1" t="s">
        <v>71</v>
      </c>
      <c r="AE1355" s="1" t="s">
        <v>4611</v>
      </c>
      <c r="AH1355" s="1" t="s">
        <v>73</v>
      </c>
      <c r="AK1355" s="1" t="s">
        <v>71</v>
      </c>
      <c r="AM1355" s="1" t="s">
        <v>71</v>
      </c>
      <c r="AN1355" s="1" t="s">
        <v>71</v>
      </c>
      <c r="AS1355" s="1" t="s">
        <v>71</v>
      </c>
      <c r="AX1355" s="1" t="s">
        <v>71</v>
      </c>
      <c r="BH1355" s="1" t="s">
        <v>71</v>
      </c>
    </row>
    <row r="1356" customFormat="false" ht="15" hidden="false" customHeight="false" outlineLevel="0" collapsed="false">
      <c r="A1356" s="1" t="s">
        <v>4618</v>
      </c>
      <c r="B1356" s="1" t="s">
        <v>4619</v>
      </c>
      <c r="C1356" s="1" t="s">
        <v>163</v>
      </c>
      <c r="D1356" s="1" t="s">
        <v>267</v>
      </c>
      <c r="E1356" s="1" t="s">
        <v>61</v>
      </c>
      <c r="F1356" s="1" t="s">
        <v>101</v>
      </c>
      <c r="G1356" s="1" t="s">
        <v>148</v>
      </c>
      <c r="H1356" s="1" t="s">
        <v>231</v>
      </c>
      <c r="K1356" s="1" t="s">
        <v>1419</v>
      </c>
      <c r="L1356" s="1" t="s">
        <v>1420</v>
      </c>
      <c r="M1356" s="1" t="s">
        <v>1387</v>
      </c>
      <c r="N1356" s="1" t="s">
        <v>243</v>
      </c>
      <c r="O1356" s="1" t="s">
        <v>244</v>
      </c>
      <c r="P1356" s="1" t="s">
        <v>3503</v>
      </c>
      <c r="U1356" s="1" t="s">
        <v>4618</v>
      </c>
      <c r="Z1356" s="1" t="s">
        <v>71</v>
      </c>
      <c r="AE1356" s="1" t="s">
        <v>4620</v>
      </c>
      <c r="AH1356" s="1" t="s">
        <v>73</v>
      </c>
      <c r="AK1356" s="1" t="s">
        <v>71</v>
      </c>
      <c r="AM1356" s="1" t="s">
        <v>71</v>
      </c>
      <c r="AN1356" s="1" t="s">
        <v>71</v>
      </c>
      <c r="AS1356" s="1" t="s">
        <v>71</v>
      </c>
      <c r="AX1356" s="1" t="s">
        <v>71</v>
      </c>
      <c r="AY1356" s="1" t="s">
        <v>59</v>
      </c>
      <c r="AZ1356" s="1" t="s">
        <v>74</v>
      </c>
      <c r="BH1356" s="1" t="s">
        <v>71</v>
      </c>
    </row>
    <row r="1357" customFormat="false" ht="15" hidden="false" customHeight="false" outlineLevel="0" collapsed="false">
      <c r="A1357" s="1" t="s">
        <v>4621</v>
      </c>
      <c r="B1357" s="1" t="s">
        <v>4622</v>
      </c>
      <c r="C1357" s="1" t="s">
        <v>1823</v>
      </c>
      <c r="D1357" s="1" t="s">
        <v>1824</v>
      </c>
      <c r="E1357" s="1" t="s">
        <v>82</v>
      </c>
      <c r="F1357" s="1" t="s">
        <v>391</v>
      </c>
      <c r="G1357" s="1" t="s">
        <v>1356</v>
      </c>
      <c r="H1357" s="1" t="s">
        <v>1825</v>
      </c>
      <c r="K1357" s="1" t="s">
        <v>251</v>
      </c>
      <c r="L1357" s="1" t="s">
        <v>3580</v>
      </c>
      <c r="M1357" s="1" t="s">
        <v>496</v>
      </c>
      <c r="N1357" s="1" t="s">
        <v>1832</v>
      </c>
      <c r="O1357" s="1" t="s">
        <v>400</v>
      </c>
      <c r="P1357" s="1" t="s">
        <v>4623</v>
      </c>
      <c r="Z1357" s="1" t="s">
        <v>71</v>
      </c>
      <c r="AE1357" s="1" t="s">
        <v>4624</v>
      </c>
      <c r="AH1357" s="1" t="s">
        <v>73</v>
      </c>
      <c r="AK1357" s="1" t="s">
        <v>71</v>
      </c>
      <c r="AM1357" s="1" t="s">
        <v>71</v>
      </c>
      <c r="AN1357" s="1" t="s">
        <v>71</v>
      </c>
      <c r="AS1357" s="1" t="s">
        <v>71</v>
      </c>
      <c r="AX1357" s="1" t="s">
        <v>71</v>
      </c>
      <c r="BH1357" s="1" t="s">
        <v>71</v>
      </c>
    </row>
    <row r="1358" customFormat="false" ht="15" hidden="false" customHeight="false" outlineLevel="0" collapsed="false">
      <c r="A1358" s="1" t="s">
        <v>4625</v>
      </c>
      <c r="B1358" s="1" t="s">
        <v>4626</v>
      </c>
      <c r="C1358" s="1" t="s">
        <v>1158</v>
      </c>
      <c r="D1358" s="1" t="s">
        <v>4456</v>
      </c>
      <c r="E1358" s="1" t="s">
        <v>82</v>
      </c>
      <c r="F1358" s="1" t="s">
        <v>391</v>
      </c>
      <c r="G1358" s="1" t="s">
        <v>213</v>
      </c>
      <c r="H1358" s="1" t="s">
        <v>477</v>
      </c>
      <c r="K1358" s="1" t="s">
        <v>478</v>
      </c>
      <c r="L1358" s="1" t="s">
        <v>479</v>
      </c>
      <c r="M1358" s="1" t="s">
        <v>496</v>
      </c>
      <c r="N1358" s="1" t="s">
        <v>551</v>
      </c>
      <c r="O1358" s="1" t="s">
        <v>447</v>
      </c>
      <c r="P1358" s="1" t="s">
        <v>3598</v>
      </c>
      <c r="Z1358" s="1" t="s">
        <v>71</v>
      </c>
      <c r="AE1358" s="1" t="s">
        <v>4627</v>
      </c>
      <c r="AH1358" s="1" t="s">
        <v>73</v>
      </c>
      <c r="AK1358" s="1" t="s">
        <v>71</v>
      </c>
      <c r="AM1358" s="1" t="s">
        <v>71</v>
      </c>
      <c r="AN1358" s="1" t="s">
        <v>71</v>
      </c>
      <c r="AS1358" s="1" t="s">
        <v>71</v>
      </c>
      <c r="AX1358" s="1" t="s">
        <v>71</v>
      </c>
      <c r="BH1358" s="1" t="s">
        <v>71</v>
      </c>
    </row>
    <row r="1359" customFormat="false" ht="15" hidden="false" customHeight="false" outlineLevel="0" collapsed="false">
      <c r="A1359" s="1" t="s">
        <v>4628</v>
      </c>
      <c r="B1359" s="1" t="s">
        <v>4629</v>
      </c>
      <c r="C1359" s="1" t="s">
        <v>1016</v>
      </c>
      <c r="D1359" s="1" t="s">
        <v>3542</v>
      </c>
      <c r="E1359" s="1" t="s">
        <v>61</v>
      </c>
      <c r="F1359" s="1" t="s">
        <v>101</v>
      </c>
      <c r="G1359" s="1" t="s">
        <v>93</v>
      </c>
      <c r="H1359" s="1" t="s">
        <v>64</v>
      </c>
      <c r="K1359" s="1" t="s">
        <v>150</v>
      </c>
      <c r="L1359" s="1" t="s">
        <v>4630</v>
      </c>
      <c r="M1359" s="1" t="s">
        <v>104</v>
      </c>
      <c r="N1359" s="1" t="s">
        <v>203</v>
      </c>
      <c r="O1359" s="1" t="s">
        <v>204</v>
      </c>
      <c r="P1359" s="1" t="s">
        <v>3536</v>
      </c>
      <c r="U1359" s="1" t="s">
        <v>4628</v>
      </c>
      <c r="Z1359" s="1" t="s">
        <v>71</v>
      </c>
      <c r="AE1359" s="1" t="s">
        <v>4627</v>
      </c>
      <c r="AH1359" s="1" t="s">
        <v>73</v>
      </c>
      <c r="AK1359" s="1" t="s">
        <v>71</v>
      </c>
      <c r="AM1359" s="1" t="s">
        <v>71</v>
      </c>
      <c r="AN1359" s="1" t="s">
        <v>71</v>
      </c>
      <c r="AS1359" s="1" t="s">
        <v>71</v>
      </c>
      <c r="AX1359" s="1" t="s">
        <v>71</v>
      </c>
      <c r="AY1359" s="1" t="s">
        <v>59</v>
      </c>
      <c r="AZ1359" s="1" t="s">
        <v>74</v>
      </c>
      <c r="BH1359" s="1" t="s">
        <v>71</v>
      </c>
    </row>
    <row r="1360" customFormat="false" ht="15" hidden="false" customHeight="false" outlineLevel="0" collapsed="false">
      <c r="A1360" s="1" t="s">
        <v>4631</v>
      </c>
      <c r="B1360" s="1" t="s">
        <v>4632</v>
      </c>
      <c r="C1360" s="1" t="s">
        <v>4633</v>
      </c>
      <c r="D1360" s="1" t="s">
        <v>4634</v>
      </c>
      <c r="E1360" s="1" t="s">
        <v>82</v>
      </c>
      <c r="F1360" s="1" t="s">
        <v>391</v>
      </c>
      <c r="G1360" s="1" t="s">
        <v>443</v>
      </c>
      <c r="H1360" s="1" t="s">
        <v>444</v>
      </c>
      <c r="K1360" s="1" t="s">
        <v>618</v>
      </c>
      <c r="L1360" s="1" t="s">
        <v>619</v>
      </c>
      <c r="M1360" s="1" t="s">
        <v>2909</v>
      </c>
      <c r="N1360" s="1" t="s">
        <v>3906</v>
      </c>
      <c r="O1360" s="1" t="s">
        <v>447</v>
      </c>
      <c r="P1360" s="1" t="s">
        <v>3907</v>
      </c>
      <c r="Z1360" s="1" t="s">
        <v>71</v>
      </c>
      <c r="AE1360" s="1" t="s">
        <v>4635</v>
      </c>
      <c r="AH1360" s="1" t="s">
        <v>73</v>
      </c>
      <c r="AK1360" s="1" t="s">
        <v>71</v>
      </c>
      <c r="AM1360" s="1" t="s">
        <v>71</v>
      </c>
      <c r="AN1360" s="1" t="s">
        <v>71</v>
      </c>
      <c r="AS1360" s="1" t="s">
        <v>71</v>
      </c>
      <c r="AX1360" s="1" t="s">
        <v>71</v>
      </c>
      <c r="BH1360" s="1" t="s">
        <v>71</v>
      </c>
    </row>
    <row r="1361" customFormat="false" ht="15" hidden="false" customHeight="false" outlineLevel="0" collapsed="false">
      <c r="A1361" s="1" t="s">
        <v>4636</v>
      </c>
      <c r="B1361" s="1" t="s">
        <v>4637</v>
      </c>
      <c r="C1361" s="1" t="s">
        <v>4633</v>
      </c>
      <c r="D1361" s="1" t="s">
        <v>4634</v>
      </c>
      <c r="E1361" s="1" t="s">
        <v>82</v>
      </c>
      <c r="F1361" s="1" t="s">
        <v>391</v>
      </c>
      <c r="G1361" s="1" t="s">
        <v>443</v>
      </c>
      <c r="H1361" s="1" t="s">
        <v>444</v>
      </c>
      <c r="K1361" s="1" t="s">
        <v>618</v>
      </c>
      <c r="L1361" s="1" t="s">
        <v>619</v>
      </c>
      <c r="M1361" s="1" t="s">
        <v>2909</v>
      </c>
      <c r="N1361" s="1" t="s">
        <v>792</v>
      </c>
      <c r="O1361" s="1" t="s">
        <v>447</v>
      </c>
      <c r="P1361" s="1" t="s">
        <v>4272</v>
      </c>
      <c r="Z1361" s="1" t="s">
        <v>71</v>
      </c>
      <c r="AE1361" s="1" t="s">
        <v>4635</v>
      </c>
      <c r="AH1361" s="1" t="s">
        <v>73</v>
      </c>
      <c r="AK1361" s="1" t="s">
        <v>71</v>
      </c>
      <c r="AM1361" s="1" t="s">
        <v>71</v>
      </c>
      <c r="AN1361" s="1" t="s">
        <v>71</v>
      </c>
      <c r="AS1361" s="1" t="s">
        <v>71</v>
      </c>
      <c r="AX1361" s="1" t="s">
        <v>71</v>
      </c>
      <c r="BH1361" s="1" t="s">
        <v>71</v>
      </c>
    </row>
    <row r="1362" customFormat="false" ht="15" hidden="false" customHeight="false" outlineLevel="0" collapsed="false">
      <c r="A1362" s="1" t="s">
        <v>4638</v>
      </c>
      <c r="B1362" s="1" t="s">
        <v>4639</v>
      </c>
      <c r="C1362" s="1" t="s">
        <v>4633</v>
      </c>
      <c r="D1362" s="1" t="s">
        <v>4634</v>
      </c>
      <c r="E1362" s="1" t="s">
        <v>82</v>
      </c>
      <c r="F1362" s="1" t="s">
        <v>391</v>
      </c>
      <c r="G1362" s="1" t="s">
        <v>443</v>
      </c>
      <c r="H1362" s="1" t="s">
        <v>444</v>
      </c>
      <c r="K1362" s="1" t="s">
        <v>618</v>
      </c>
      <c r="L1362" s="1" t="s">
        <v>619</v>
      </c>
      <c r="M1362" s="1" t="s">
        <v>465</v>
      </c>
      <c r="N1362" s="1" t="s">
        <v>2888</v>
      </c>
      <c r="O1362" s="1" t="s">
        <v>400</v>
      </c>
      <c r="P1362" s="1" t="s">
        <v>4327</v>
      </c>
      <c r="Z1362" s="1" t="s">
        <v>71</v>
      </c>
      <c r="AE1362" s="1" t="s">
        <v>4635</v>
      </c>
      <c r="AH1362" s="1" t="s">
        <v>73</v>
      </c>
      <c r="AK1362" s="1" t="s">
        <v>71</v>
      </c>
      <c r="AM1362" s="1" t="s">
        <v>71</v>
      </c>
      <c r="AN1362" s="1" t="s">
        <v>71</v>
      </c>
      <c r="AS1362" s="1" t="s">
        <v>71</v>
      </c>
      <c r="AX1362" s="1" t="s">
        <v>71</v>
      </c>
      <c r="BH1362" s="1" t="s">
        <v>71</v>
      </c>
    </row>
    <row r="1363" customFormat="false" ht="15" hidden="false" customHeight="false" outlineLevel="0" collapsed="false">
      <c r="A1363" s="1" t="s">
        <v>4640</v>
      </c>
      <c r="B1363" s="1" t="s">
        <v>4641</v>
      </c>
      <c r="C1363" s="1" t="s">
        <v>4633</v>
      </c>
      <c r="D1363" s="1" t="s">
        <v>4634</v>
      </c>
      <c r="E1363" s="1" t="s">
        <v>82</v>
      </c>
      <c r="F1363" s="1" t="s">
        <v>391</v>
      </c>
      <c r="G1363" s="1" t="s">
        <v>443</v>
      </c>
      <c r="H1363" s="1" t="s">
        <v>444</v>
      </c>
      <c r="K1363" s="1" t="s">
        <v>618</v>
      </c>
      <c r="L1363" s="1" t="s">
        <v>619</v>
      </c>
      <c r="M1363" s="1" t="s">
        <v>2909</v>
      </c>
      <c r="N1363" s="1" t="s">
        <v>792</v>
      </c>
      <c r="O1363" s="1" t="s">
        <v>447</v>
      </c>
      <c r="P1363" s="1" t="s">
        <v>4272</v>
      </c>
      <c r="Z1363" s="1" t="s">
        <v>71</v>
      </c>
      <c r="AE1363" s="1" t="s">
        <v>4635</v>
      </c>
      <c r="AH1363" s="1" t="s">
        <v>73</v>
      </c>
      <c r="AK1363" s="1" t="s">
        <v>71</v>
      </c>
      <c r="AM1363" s="1" t="s">
        <v>71</v>
      </c>
      <c r="AN1363" s="1" t="s">
        <v>71</v>
      </c>
      <c r="AS1363" s="1" t="s">
        <v>71</v>
      </c>
      <c r="AX1363" s="1" t="s">
        <v>71</v>
      </c>
      <c r="BH1363" s="1" t="s">
        <v>71</v>
      </c>
    </row>
    <row r="1364" customFormat="false" ht="15" hidden="false" customHeight="false" outlineLevel="0" collapsed="false">
      <c r="A1364" s="1" t="s">
        <v>4642</v>
      </c>
      <c r="B1364" s="1" t="s">
        <v>4643</v>
      </c>
      <c r="C1364" s="1" t="s">
        <v>182</v>
      </c>
      <c r="D1364" s="1" t="s">
        <v>239</v>
      </c>
      <c r="E1364" s="1" t="s">
        <v>61</v>
      </c>
      <c r="F1364" s="1" t="s">
        <v>101</v>
      </c>
      <c r="G1364" s="1" t="s">
        <v>148</v>
      </c>
      <c r="H1364" s="1" t="s">
        <v>231</v>
      </c>
      <c r="K1364" s="1" t="s">
        <v>1419</v>
      </c>
      <c r="L1364" s="1" t="s">
        <v>1420</v>
      </c>
      <c r="M1364" s="1" t="s">
        <v>242</v>
      </c>
      <c r="N1364" s="1" t="s">
        <v>243</v>
      </c>
      <c r="O1364" s="1" t="s">
        <v>244</v>
      </c>
      <c r="P1364" s="1" t="s">
        <v>3503</v>
      </c>
      <c r="U1364" s="1" t="s">
        <v>245</v>
      </c>
      <c r="Z1364" s="1" t="s">
        <v>71</v>
      </c>
      <c r="AE1364" s="1" t="s">
        <v>4644</v>
      </c>
      <c r="AH1364" s="1" t="s">
        <v>73</v>
      </c>
      <c r="AK1364" s="1" t="s">
        <v>71</v>
      </c>
      <c r="AM1364" s="1" t="s">
        <v>71</v>
      </c>
      <c r="AN1364" s="1" t="s">
        <v>71</v>
      </c>
      <c r="AS1364" s="1" t="s">
        <v>71</v>
      </c>
      <c r="AX1364" s="1" t="s">
        <v>71</v>
      </c>
      <c r="AY1364" s="1" t="s">
        <v>59</v>
      </c>
      <c r="AZ1364" s="1" t="s">
        <v>74</v>
      </c>
      <c r="BH1364" s="1" t="s">
        <v>71</v>
      </c>
    </row>
    <row r="1365" customFormat="false" ht="15" hidden="false" customHeight="false" outlineLevel="0" collapsed="false">
      <c r="A1365" s="1" t="s">
        <v>4645</v>
      </c>
      <c r="B1365" s="1" t="s">
        <v>4646</v>
      </c>
      <c r="C1365" s="1" t="s">
        <v>4633</v>
      </c>
      <c r="D1365" s="1" t="s">
        <v>4634</v>
      </c>
      <c r="E1365" s="1" t="s">
        <v>82</v>
      </c>
      <c r="F1365" s="1" t="s">
        <v>391</v>
      </c>
      <c r="G1365" s="1" t="s">
        <v>443</v>
      </c>
      <c r="H1365" s="1" t="s">
        <v>444</v>
      </c>
      <c r="K1365" s="1" t="s">
        <v>618</v>
      </c>
      <c r="L1365" s="1" t="s">
        <v>619</v>
      </c>
      <c r="M1365" s="1" t="s">
        <v>2909</v>
      </c>
      <c r="N1365" s="1" t="s">
        <v>1124</v>
      </c>
      <c r="O1365" s="1" t="s">
        <v>400</v>
      </c>
      <c r="P1365" s="1" t="s">
        <v>4647</v>
      </c>
      <c r="Z1365" s="1" t="s">
        <v>71</v>
      </c>
      <c r="AE1365" s="1" t="s">
        <v>4648</v>
      </c>
      <c r="AH1365" s="1" t="s">
        <v>73</v>
      </c>
      <c r="AK1365" s="1" t="s">
        <v>71</v>
      </c>
      <c r="AM1365" s="1" t="s">
        <v>71</v>
      </c>
      <c r="AN1365" s="1" t="s">
        <v>71</v>
      </c>
      <c r="AS1365" s="1" t="s">
        <v>71</v>
      </c>
      <c r="AX1365" s="1" t="s">
        <v>71</v>
      </c>
      <c r="BH1365" s="1" t="s">
        <v>71</v>
      </c>
    </row>
    <row r="1366" customFormat="false" ht="15" hidden="false" customHeight="false" outlineLevel="0" collapsed="false">
      <c r="A1366" s="1" t="s">
        <v>4649</v>
      </c>
      <c r="B1366" s="1" t="s">
        <v>4650</v>
      </c>
      <c r="C1366" s="1" t="s">
        <v>1213</v>
      </c>
      <c r="D1366" s="1" t="s">
        <v>4651</v>
      </c>
      <c r="E1366" s="1" t="s">
        <v>82</v>
      </c>
      <c r="F1366" s="1" t="s">
        <v>391</v>
      </c>
      <c r="G1366" s="1" t="s">
        <v>213</v>
      </c>
      <c r="H1366" s="1" t="s">
        <v>477</v>
      </c>
      <c r="K1366" s="1" t="s">
        <v>478</v>
      </c>
      <c r="L1366" s="1" t="s">
        <v>479</v>
      </c>
      <c r="M1366" s="1" t="s">
        <v>496</v>
      </c>
      <c r="N1366" s="1" t="s">
        <v>1068</v>
      </c>
      <c r="O1366" s="1" t="s">
        <v>400</v>
      </c>
      <c r="P1366" s="1" t="s">
        <v>3844</v>
      </c>
      <c r="Z1366" s="1" t="s">
        <v>71</v>
      </c>
      <c r="AE1366" s="1" t="s">
        <v>4652</v>
      </c>
      <c r="AH1366" s="1" t="s">
        <v>73</v>
      </c>
      <c r="AK1366" s="1" t="s">
        <v>71</v>
      </c>
      <c r="AM1366" s="1" t="s">
        <v>71</v>
      </c>
      <c r="AN1366" s="1" t="s">
        <v>71</v>
      </c>
      <c r="AS1366" s="1" t="s">
        <v>71</v>
      </c>
      <c r="AX1366" s="1" t="s">
        <v>71</v>
      </c>
      <c r="BH1366" s="1" t="s">
        <v>71</v>
      </c>
    </row>
    <row r="1367" customFormat="false" ht="15" hidden="false" customHeight="false" outlineLevel="0" collapsed="false">
      <c r="A1367" s="1" t="s">
        <v>4653</v>
      </c>
      <c r="B1367" s="1" t="s">
        <v>4654</v>
      </c>
      <c r="C1367" s="1" t="s">
        <v>1158</v>
      </c>
      <c r="D1367" s="1" t="s">
        <v>4456</v>
      </c>
      <c r="E1367" s="1" t="s">
        <v>82</v>
      </c>
      <c r="F1367" s="1" t="s">
        <v>391</v>
      </c>
      <c r="G1367" s="1" t="s">
        <v>213</v>
      </c>
      <c r="H1367" s="1" t="s">
        <v>477</v>
      </c>
      <c r="K1367" s="1" t="s">
        <v>478</v>
      </c>
      <c r="L1367" s="1" t="s">
        <v>479</v>
      </c>
      <c r="M1367" s="1" t="s">
        <v>496</v>
      </c>
      <c r="N1367" s="1" t="s">
        <v>608</v>
      </c>
      <c r="O1367" s="1" t="s">
        <v>609</v>
      </c>
      <c r="P1367" s="1" t="s">
        <v>4655</v>
      </c>
      <c r="Z1367" s="1" t="s">
        <v>71</v>
      </c>
      <c r="AE1367" s="1" t="s">
        <v>4656</v>
      </c>
      <c r="AH1367" s="1" t="s">
        <v>73</v>
      </c>
      <c r="AK1367" s="1" t="s">
        <v>71</v>
      </c>
      <c r="AM1367" s="1" t="s">
        <v>71</v>
      </c>
      <c r="AN1367" s="1" t="s">
        <v>71</v>
      </c>
      <c r="AS1367" s="1" t="s">
        <v>71</v>
      </c>
      <c r="AX1367" s="1" t="s">
        <v>71</v>
      </c>
      <c r="BH1367" s="1" t="s">
        <v>71</v>
      </c>
    </row>
    <row r="1368" customFormat="false" ht="15" hidden="false" customHeight="false" outlineLevel="0" collapsed="false">
      <c r="A1368" s="1" t="s">
        <v>4657</v>
      </c>
      <c r="B1368" s="1" t="s">
        <v>4658</v>
      </c>
      <c r="C1368" s="1" t="s">
        <v>1158</v>
      </c>
      <c r="D1368" s="1" t="s">
        <v>4456</v>
      </c>
      <c r="E1368" s="1" t="s">
        <v>82</v>
      </c>
      <c r="F1368" s="1" t="s">
        <v>391</v>
      </c>
      <c r="G1368" s="1" t="s">
        <v>213</v>
      </c>
      <c r="H1368" s="1" t="s">
        <v>477</v>
      </c>
      <c r="K1368" s="1" t="s">
        <v>478</v>
      </c>
      <c r="L1368" s="1" t="s">
        <v>479</v>
      </c>
      <c r="M1368" s="1" t="s">
        <v>496</v>
      </c>
      <c r="N1368" s="1" t="s">
        <v>608</v>
      </c>
      <c r="O1368" s="1" t="s">
        <v>609</v>
      </c>
      <c r="P1368" s="1" t="s">
        <v>4655</v>
      </c>
      <c r="Z1368" s="1" t="s">
        <v>71</v>
      </c>
      <c r="AE1368" s="1" t="s">
        <v>4656</v>
      </c>
      <c r="AH1368" s="1" t="s">
        <v>73</v>
      </c>
      <c r="AK1368" s="1" t="s">
        <v>71</v>
      </c>
      <c r="AM1368" s="1" t="s">
        <v>71</v>
      </c>
      <c r="AN1368" s="1" t="s">
        <v>71</v>
      </c>
      <c r="AS1368" s="1" t="s">
        <v>71</v>
      </c>
      <c r="AX1368" s="1" t="s">
        <v>71</v>
      </c>
      <c r="BH1368" s="1" t="s">
        <v>71</v>
      </c>
    </row>
    <row r="1369" customFormat="false" ht="15" hidden="false" customHeight="false" outlineLevel="0" collapsed="false">
      <c r="A1369" s="1" t="s">
        <v>4659</v>
      </c>
      <c r="B1369" s="1" t="s">
        <v>4660</v>
      </c>
      <c r="C1369" s="1" t="s">
        <v>934</v>
      </c>
      <c r="D1369" s="1" t="s">
        <v>3891</v>
      </c>
      <c r="E1369" s="1" t="s">
        <v>82</v>
      </c>
      <c r="F1369" s="1" t="s">
        <v>391</v>
      </c>
      <c r="G1369" s="1" t="s">
        <v>443</v>
      </c>
      <c r="H1369" s="1" t="s">
        <v>444</v>
      </c>
      <c r="K1369" s="1" t="s">
        <v>618</v>
      </c>
      <c r="L1369" s="1" t="s">
        <v>619</v>
      </c>
      <c r="M1369" s="1" t="s">
        <v>2020</v>
      </c>
      <c r="N1369" s="1" t="s">
        <v>4661</v>
      </c>
      <c r="O1369" s="1" t="s">
        <v>4662</v>
      </c>
      <c r="P1369" s="1" t="s">
        <v>4663</v>
      </c>
      <c r="Z1369" s="1" t="s">
        <v>71</v>
      </c>
      <c r="AE1369" s="1" t="s">
        <v>4664</v>
      </c>
      <c r="AH1369" s="1" t="s">
        <v>73</v>
      </c>
      <c r="AK1369" s="1" t="s">
        <v>71</v>
      </c>
      <c r="AM1369" s="1" t="s">
        <v>71</v>
      </c>
      <c r="AN1369" s="1" t="s">
        <v>71</v>
      </c>
      <c r="AS1369" s="1" t="s">
        <v>71</v>
      </c>
      <c r="AX1369" s="1" t="s">
        <v>71</v>
      </c>
      <c r="BH1369" s="1" t="s">
        <v>71</v>
      </c>
    </row>
    <row r="1370" customFormat="false" ht="15" hidden="false" customHeight="false" outlineLevel="0" collapsed="false">
      <c r="A1370" s="1" t="s">
        <v>4665</v>
      </c>
      <c r="B1370" s="1" t="s">
        <v>4666</v>
      </c>
      <c r="C1370" s="1" t="s">
        <v>934</v>
      </c>
      <c r="D1370" s="1" t="s">
        <v>3891</v>
      </c>
      <c r="E1370" s="1" t="s">
        <v>82</v>
      </c>
      <c r="F1370" s="1" t="s">
        <v>391</v>
      </c>
      <c r="G1370" s="1" t="s">
        <v>443</v>
      </c>
      <c r="H1370" s="1" t="s">
        <v>444</v>
      </c>
      <c r="K1370" s="1" t="s">
        <v>618</v>
      </c>
      <c r="L1370" s="1" t="s">
        <v>619</v>
      </c>
      <c r="M1370" s="1" t="s">
        <v>496</v>
      </c>
      <c r="N1370" s="1" t="s">
        <v>4661</v>
      </c>
      <c r="O1370" s="1" t="s">
        <v>4662</v>
      </c>
      <c r="P1370" s="1" t="s">
        <v>4663</v>
      </c>
      <c r="Z1370" s="1" t="s">
        <v>71</v>
      </c>
      <c r="AE1370" s="1" t="s">
        <v>4664</v>
      </c>
      <c r="AH1370" s="1" t="s">
        <v>73</v>
      </c>
      <c r="AK1370" s="1" t="s">
        <v>71</v>
      </c>
      <c r="AM1370" s="1" t="s">
        <v>71</v>
      </c>
      <c r="AN1370" s="1" t="s">
        <v>71</v>
      </c>
      <c r="AS1370" s="1" t="s">
        <v>71</v>
      </c>
      <c r="AX1370" s="1" t="s">
        <v>71</v>
      </c>
      <c r="BH1370" s="1" t="s">
        <v>71</v>
      </c>
    </row>
    <row r="1371" customFormat="false" ht="15" hidden="false" customHeight="false" outlineLevel="0" collapsed="false">
      <c r="A1371" s="1" t="s">
        <v>4667</v>
      </c>
      <c r="B1371" s="1" t="s">
        <v>4668</v>
      </c>
      <c r="C1371" s="1" t="s">
        <v>4669</v>
      </c>
      <c r="D1371" s="1" t="s">
        <v>2598</v>
      </c>
      <c r="E1371" s="1" t="s">
        <v>82</v>
      </c>
      <c r="F1371" s="1" t="s">
        <v>391</v>
      </c>
      <c r="G1371" s="1" t="s">
        <v>443</v>
      </c>
      <c r="H1371" s="1" t="s">
        <v>444</v>
      </c>
      <c r="K1371" s="1" t="s">
        <v>61</v>
      </c>
      <c r="L1371" s="1" t="s">
        <v>445</v>
      </c>
      <c r="M1371" s="1" t="s">
        <v>496</v>
      </c>
      <c r="N1371" s="1" t="s">
        <v>4670</v>
      </c>
      <c r="O1371" s="1" t="s">
        <v>447</v>
      </c>
      <c r="P1371" s="1" t="s">
        <v>4671</v>
      </c>
      <c r="Z1371" s="1" t="s">
        <v>71</v>
      </c>
      <c r="AE1371" s="1" t="s">
        <v>4672</v>
      </c>
      <c r="AH1371" s="1" t="s">
        <v>73</v>
      </c>
      <c r="AK1371" s="1" t="s">
        <v>71</v>
      </c>
      <c r="AM1371" s="1" t="s">
        <v>71</v>
      </c>
      <c r="AN1371" s="1" t="s">
        <v>71</v>
      </c>
      <c r="AS1371" s="1" t="s">
        <v>71</v>
      </c>
      <c r="AX1371" s="1" t="s">
        <v>71</v>
      </c>
      <c r="BH1371" s="1" t="s">
        <v>71</v>
      </c>
    </row>
    <row r="1372" customFormat="false" ht="15" hidden="false" customHeight="false" outlineLevel="0" collapsed="false">
      <c r="A1372" s="1" t="s">
        <v>4673</v>
      </c>
      <c r="B1372" s="1" t="s">
        <v>4674</v>
      </c>
      <c r="C1372" s="1" t="s">
        <v>4675</v>
      </c>
      <c r="D1372" s="1" t="s">
        <v>2143</v>
      </c>
      <c r="E1372" s="1" t="s">
        <v>82</v>
      </c>
      <c r="F1372" s="1" t="s">
        <v>391</v>
      </c>
      <c r="G1372" s="1" t="s">
        <v>443</v>
      </c>
      <c r="H1372" s="1" t="s">
        <v>444</v>
      </c>
      <c r="K1372" s="1" t="s">
        <v>61</v>
      </c>
      <c r="L1372" s="1" t="s">
        <v>445</v>
      </c>
      <c r="M1372" s="1" t="s">
        <v>496</v>
      </c>
      <c r="N1372" s="1" t="s">
        <v>4676</v>
      </c>
      <c r="O1372" s="1" t="s">
        <v>4677</v>
      </c>
      <c r="P1372" s="1" t="s">
        <v>4678</v>
      </c>
      <c r="Z1372" s="1" t="s">
        <v>71</v>
      </c>
      <c r="AE1372" s="1" t="s">
        <v>4672</v>
      </c>
      <c r="AH1372" s="1" t="s">
        <v>73</v>
      </c>
      <c r="AK1372" s="1" t="s">
        <v>71</v>
      </c>
      <c r="AM1372" s="1" t="s">
        <v>71</v>
      </c>
      <c r="AN1372" s="1" t="s">
        <v>71</v>
      </c>
      <c r="AS1372" s="1" t="s">
        <v>71</v>
      </c>
      <c r="AX1372" s="1" t="s">
        <v>71</v>
      </c>
      <c r="BH1372" s="1" t="s">
        <v>71</v>
      </c>
    </row>
    <row r="1373" customFormat="false" ht="15" hidden="false" customHeight="false" outlineLevel="0" collapsed="false">
      <c r="A1373" s="1" t="s">
        <v>4679</v>
      </c>
      <c r="B1373" s="1" t="s">
        <v>4680</v>
      </c>
      <c r="C1373" s="1" t="s">
        <v>4675</v>
      </c>
      <c r="D1373" s="1" t="s">
        <v>2143</v>
      </c>
      <c r="E1373" s="1" t="s">
        <v>82</v>
      </c>
      <c r="F1373" s="1" t="s">
        <v>391</v>
      </c>
      <c r="G1373" s="1" t="s">
        <v>443</v>
      </c>
      <c r="H1373" s="1" t="s">
        <v>444</v>
      </c>
      <c r="K1373" s="1" t="s">
        <v>61</v>
      </c>
      <c r="L1373" s="1" t="s">
        <v>445</v>
      </c>
      <c r="M1373" s="1" t="s">
        <v>496</v>
      </c>
      <c r="N1373" s="1" t="s">
        <v>3296</v>
      </c>
      <c r="O1373" s="1" t="s">
        <v>447</v>
      </c>
      <c r="P1373" s="1" t="s">
        <v>3729</v>
      </c>
      <c r="Z1373" s="1" t="s">
        <v>71</v>
      </c>
      <c r="AE1373" s="1" t="s">
        <v>4672</v>
      </c>
      <c r="AH1373" s="1" t="s">
        <v>73</v>
      </c>
      <c r="AK1373" s="1" t="s">
        <v>71</v>
      </c>
      <c r="AM1373" s="1" t="s">
        <v>71</v>
      </c>
      <c r="AN1373" s="1" t="s">
        <v>71</v>
      </c>
      <c r="AS1373" s="1" t="s">
        <v>71</v>
      </c>
      <c r="AX1373" s="1" t="s">
        <v>71</v>
      </c>
      <c r="BH1373" s="1" t="s">
        <v>71</v>
      </c>
    </row>
    <row r="1374" customFormat="false" ht="15" hidden="false" customHeight="false" outlineLevel="0" collapsed="false">
      <c r="A1374" s="1" t="s">
        <v>4681</v>
      </c>
      <c r="B1374" s="1" t="s">
        <v>4682</v>
      </c>
      <c r="C1374" s="1" t="s">
        <v>4675</v>
      </c>
      <c r="D1374" s="1" t="s">
        <v>2143</v>
      </c>
      <c r="E1374" s="1" t="s">
        <v>82</v>
      </c>
      <c r="F1374" s="1" t="s">
        <v>391</v>
      </c>
      <c r="G1374" s="1" t="s">
        <v>443</v>
      </c>
      <c r="H1374" s="1" t="s">
        <v>444</v>
      </c>
      <c r="K1374" s="1" t="s">
        <v>61</v>
      </c>
      <c r="L1374" s="1" t="s">
        <v>445</v>
      </c>
      <c r="M1374" s="1" t="s">
        <v>496</v>
      </c>
      <c r="N1374" s="1" t="s">
        <v>4683</v>
      </c>
      <c r="O1374" s="1" t="s">
        <v>4684</v>
      </c>
      <c r="P1374" s="1" t="s">
        <v>4685</v>
      </c>
      <c r="Z1374" s="1" t="s">
        <v>71</v>
      </c>
      <c r="AE1374" s="1" t="s">
        <v>4672</v>
      </c>
      <c r="AH1374" s="1" t="s">
        <v>73</v>
      </c>
      <c r="AK1374" s="1" t="s">
        <v>71</v>
      </c>
      <c r="AM1374" s="1" t="s">
        <v>71</v>
      </c>
      <c r="AN1374" s="1" t="s">
        <v>71</v>
      </c>
      <c r="AS1374" s="1" t="s">
        <v>71</v>
      </c>
      <c r="AX1374" s="1" t="s">
        <v>71</v>
      </c>
      <c r="BH1374" s="1" t="s">
        <v>71</v>
      </c>
    </row>
    <row r="1375" customFormat="false" ht="15" hidden="false" customHeight="false" outlineLevel="0" collapsed="false">
      <c r="A1375" s="1" t="s">
        <v>4686</v>
      </c>
      <c r="B1375" s="1" t="s">
        <v>4687</v>
      </c>
      <c r="C1375" s="1" t="s">
        <v>4675</v>
      </c>
      <c r="D1375" s="1" t="s">
        <v>2143</v>
      </c>
      <c r="E1375" s="1" t="s">
        <v>82</v>
      </c>
      <c r="F1375" s="1" t="s">
        <v>391</v>
      </c>
      <c r="G1375" s="1" t="s">
        <v>443</v>
      </c>
      <c r="H1375" s="1" t="s">
        <v>444</v>
      </c>
      <c r="K1375" s="1" t="s">
        <v>61</v>
      </c>
      <c r="L1375" s="1" t="s">
        <v>445</v>
      </c>
      <c r="M1375" s="1" t="s">
        <v>496</v>
      </c>
      <c r="N1375" s="1" t="s">
        <v>4676</v>
      </c>
      <c r="O1375" s="1" t="s">
        <v>4677</v>
      </c>
      <c r="P1375" s="1" t="s">
        <v>4678</v>
      </c>
      <c r="Z1375" s="1" t="s">
        <v>71</v>
      </c>
      <c r="AE1375" s="1" t="s">
        <v>4672</v>
      </c>
      <c r="AH1375" s="1" t="s">
        <v>73</v>
      </c>
      <c r="AK1375" s="1" t="s">
        <v>71</v>
      </c>
      <c r="AM1375" s="1" t="s">
        <v>71</v>
      </c>
      <c r="AN1375" s="1" t="s">
        <v>71</v>
      </c>
      <c r="AS1375" s="1" t="s">
        <v>71</v>
      </c>
      <c r="AX1375" s="1" t="s">
        <v>71</v>
      </c>
      <c r="BH1375" s="1" t="s">
        <v>71</v>
      </c>
    </row>
    <row r="1376" customFormat="false" ht="15" hidden="false" customHeight="false" outlineLevel="0" collapsed="false">
      <c r="A1376" s="1" t="s">
        <v>4688</v>
      </c>
      <c r="B1376" s="1" t="s">
        <v>4689</v>
      </c>
      <c r="C1376" s="1" t="s">
        <v>1298</v>
      </c>
      <c r="D1376" s="1" t="s">
        <v>4561</v>
      </c>
      <c r="E1376" s="1" t="s">
        <v>82</v>
      </c>
      <c r="F1376" s="1" t="s">
        <v>391</v>
      </c>
      <c r="G1376" s="1" t="s">
        <v>443</v>
      </c>
      <c r="H1376" s="1" t="s">
        <v>444</v>
      </c>
      <c r="K1376" s="1" t="s">
        <v>61</v>
      </c>
      <c r="L1376" s="1" t="s">
        <v>445</v>
      </c>
      <c r="M1376" s="1" t="s">
        <v>496</v>
      </c>
      <c r="N1376" s="1" t="s">
        <v>4690</v>
      </c>
      <c r="O1376" s="1" t="s">
        <v>4691</v>
      </c>
      <c r="P1376" s="1" t="s">
        <v>4692</v>
      </c>
      <c r="Z1376" s="1" t="s">
        <v>71</v>
      </c>
      <c r="AE1376" s="1" t="s">
        <v>4672</v>
      </c>
      <c r="AH1376" s="1" t="s">
        <v>73</v>
      </c>
      <c r="AK1376" s="1" t="s">
        <v>71</v>
      </c>
      <c r="AM1376" s="1" t="s">
        <v>71</v>
      </c>
      <c r="AN1376" s="1" t="s">
        <v>71</v>
      </c>
      <c r="AS1376" s="1" t="s">
        <v>71</v>
      </c>
      <c r="AX1376" s="1" t="s">
        <v>71</v>
      </c>
      <c r="BH1376" s="1" t="s">
        <v>71</v>
      </c>
    </row>
    <row r="1377" customFormat="false" ht="15" hidden="false" customHeight="false" outlineLevel="0" collapsed="false">
      <c r="A1377" s="1" t="s">
        <v>4693</v>
      </c>
      <c r="B1377" s="1" t="s">
        <v>4694</v>
      </c>
      <c r="C1377" s="1" t="s">
        <v>1294</v>
      </c>
      <c r="D1377" s="1" t="s">
        <v>2439</v>
      </c>
      <c r="E1377" s="1" t="s">
        <v>82</v>
      </c>
      <c r="F1377" s="1" t="s">
        <v>391</v>
      </c>
      <c r="G1377" s="1" t="s">
        <v>443</v>
      </c>
      <c r="H1377" s="1" t="s">
        <v>444</v>
      </c>
      <c r="K1377" s="1" t="s">
        <v>618</v>
      </c>
      <c r="L1377" s="1" t="s">
        <v>619</v>
      </c>
      <c r="M1377" s="1" t="s">
        <v>1681</v>
      </c>
      <c r="N1377" s="1" t="s">
        <v>1000</v>
      </c>
      <c r="O1377" s="1" t="s">
        <v>1001</v>
      </c>
      <c r="P1377" s="1" t="s">
        <v>4695</v>
      </c>
      <c r="Z1377" s="1" t="s">
        <v>71</v>
      </c>
      <c r="AE1377" s="1" t="s">
        <v>4696</v>
      </c>
      <c r="AH1377" s="1" t="s">
        <v>73</v>
      </c>
      <c r="AK1377" s="1" t="s">
        <v>71</v>
      </c>
      <c r="AM1377" s="1" t="s">
        <v>71</v>
      </c>
      <c r="AN1377" s="1" t="s">
        <v>71</v>
      </c>
      <c r="AS1377" s="1" t="s">
        <v>71</v>
      </c>
      <c r="AX1377" s="1" t="s">
        <v>71</v>
      </c>
      <c r="BH1377" s="1" t="s">
        <v>71</v>
      </c>
    </row>
    <row r="1378" customFormat="false" ht="15" hidden="false" customHeight="false" outlineLevel="0" collapsed="false">
      <c r="A1378" s="1" t="s">
        <v>4697</v>
      </c>
      <c r="B1378" s="1" t="s">
        <v>4698</v>
      </c>
      <c r="C1378" s="1" t="s">
        <v>441</v>
      </c>
      <c r="D1378" s="1" t="s">
        <v>442</v>
      </c>
      <c r="E1378" s="1" t="s">
        <v>82</v>
      </c>
      <c r="F1378" s="1" t="s">
        <v>391</v>
      </c>
      <c r="G1378" s="1" t="s">
        <v>443</v>
      </c>
      <c r="H1378" s="1" t="s">
        <v>444</v>
      </c>
      <c r="K1378" s="1" t="s">
        <v>61</v>
      </c>
      <c r="L1378" s="1" t="s">
        <v>445</v>
      </c>
      <c r="M1378" s="1" t="s">
        <v>2225</v>
      </c>
      <c r="N1378" s="1" t="s">
        <v>1124</v>
      </c>
      <c r="O1378" s="1" t="s">
        <v>400</v>
      </c>
      <c r="P1378" s="1" t="s">
        <v>4647</v>
      </c>
      <c r="Z1378" s="1" t="s">
        <v>71</v>
      </c>
      <c r="AE1378" s="1" t="s">
        <v>4696</v>
      </c>
      <c r="AH1378" s="1" t="s">
        <v>73</v>
      </c>
      <c r="AK1378" s="1" t="s">
        <v>71</v>
      </c>
      <c r="AM1378" s="1" t="s">
        <v>71</v>
      </c>
      <c r="AN1378" s="1" t="s">
        <v>71</v>
      </c>
      <c r="AS1378" s="1" t="s">
        <v>71</v>
      </c>
      <c r="AX1378" s="1" t="s">
        <v>71</v>
      </c>
      <c r="BH1378" s="1" t="s">
        <v>71</v>
      </c>
    </row>
    <row r="1379" customFormat="false" ht="15" hidden="false" customHeight="false" outlineLevel="0" collapsed="false">
      <c r="A1379" s="1" t="s">
        <v>4699</v>
      </c>
      <c r="B1379" s="1" t="s">
        <v>4700</v>
      </c>
      <c r="C1379" s="1" t="s">
        <v>150</v>
      </c>
      <c r="D1379" s="1" t="s">
        <v>405</v>
      </c>
      <c r="E1379" s="1" t="s">
        <v>82</v>
      </c>
      <c r="F1379" s="1" t="s">
        <v>391</v>
      </c>
      <c r="G1379" s="1" t="s">
        <v>97</v>
      </c>
      <c r="H1379" s="1" t="s">
        <v>406</v>
      </c>
      <c r="K1379" s="1" t="s">
        <v>407</v>
      </c>
      <c r="L1379" s="1" t="s">
        <v>408</v>
      </c>
      <c r="M1379" s="1" t="s">
        <v>1107</v>
      </c>
      <c r="N1379" s="1" t="s">
        <v>4113</v>
      </c>
      <c r="O1379" s="1" t="s">
        <v>4114</v>
      </c>
      <c r="P1379" s="1" t="s">
        <v>4115</v>
      </c>
      <c r="Z1379" s="1" t="s">
        <v>71</v>
      </c>
      <c r="AE1379" s="1" t="s">
        <v>4696</v>
      </c>
      <c r="AH1379" s="1" t="s">
        <v>73</v>
      </c>
      <c r="AK1379" s="1" t="s">
        <v>71</v>
      </c>
      <c r="AM1379" s="1" t="s">
        <v>71</v>
      </c>
      <c r="AN1379" s="1" t="s">
        <v>71</v>
      </c>
      <c r="AS1379" s="1" t="s">
        <v>71</v>
      </c>
      <c r="AX1379" s="1" t="s">
        <v>71</v>
      </c>
      <c r="BH1379" s="1" t="s">
        <v>71</v>
      </c>
    </row>
    <row r="1380" customFormat="false" ht="15" hidden="false" customHeight="false" outlineLevel="0" collapsed="false">
      <c r="A1380" s="1" t="s">
        <v>4701</v>
      </c>
      <c r="B1380" s="1" t="s">
        <v>4702</v>
      </c>
      <c r="C1380" s="1" t="s">
        <v>4703</v>
      </c>
      <c r="D1380" s="1" t="s">
        <v>4704</v>
      </c>
      <c r="E1380" s="1" t="s">
        <v>82</v>
      </c>
      <c r="F1380" s="1" t="s">
        <v>391</v>
      </c>
      <c r="G1380" s="1" t="s">
        <v>443</v>
      </c>
      <c r="H1380" s="1" t="s">
        <v>444</v>
      </c>
      <c r="K1380" s="1" t="s">
        <v>61</v>
      </c>
      <c r="L1380" s="1" t="s">
        <v>445</v>
      </c>
      <c r="M1380" s="1" t="s">
        <v>496</v>
      </c>
      <c r="N1380" s="1" t="s">
        <v>2819</v>
      </c>
      <c r="O1380" s="1" t="s">
        <v>2820</v>
      </c>
      <c r="P1380" s="1" t="s">
        <v>4705</v>
      </c>
      <c r="Z1380" s="1" t="s">
        <v>71</v>
      </c>
      <c r="AE1380" s="1" t="s">
        <v>4706</v>
      </c>
      <c r="AH1380" s="1" t="s">
        <v>73</v>
      </c>
      <c r="AK1380" s="1" t="s">
        <v>71</v>
      </c>
      <c r="AM1380" s="1" t="s">
        <v>71</v>
      </c>
      <c r="AN1380" s="1" t="s">
        <v>71</v>
      </c>
      <c r="AS1380" s="1" t="s">
        <v>71</v>
      </c>
      <c r="AX1380" s="1" t="s">
        <v>71</v>
      </c>
      <c r="BH1380" s="1" t="s">
        <v>71</v>
      </c>
    </row>
    <row r="1381" customFormat="false" ht="15" hidden="false" customHeight="false" outlineLevel="0" collapsed="false">
      <c r="A1381" s="1" t="s">
        <v>4707</v>
      </c>
      <c r="B1381" s="1" t="s">
        <v>4708</v>
      </c>
      <c r="C1381" s="1" t="s">
        <v>448</v>
      </c>
      <c r="D1381" s="1" t="s">
        <v>4160</v>
      </c>
      <c r="E1381" s="1" t="s">
        <v>61</v>
      </c>
      <c r="F1381" s="1" t="s">
        <v>101</v>
      </c>
      <c r="G1381" s="1" t="s">
        <v>93</v>
      </c>
      <c r="H1381" s="1" t="s">
        <v>64</v>
      </c>
      <c r="K1381" s="1" t="s">
        <v>1092</v>
      </c>
      <c r="L1381" s="1" t="s">
        <v>1093</v>
      </c>
      <c r="M1381" s="1" t="s">
        <v>592</v>
      </c>
      <c r="N1381" s="1" t="s">
        <v>105</v>
      </c>
      <c r="O1381" s="1" t="s">
        <v>106</v>
      </c>
      <c r="P1381" s="1" t="s">
        <v>3539</v>
      </c>
      <c r="U1381" s="1" t="s">
        <v>4707</v>
      </c>
      <c r="Z1381" s="1" t="s">
        <v>71</v>
      </c>
      <c r="AE1381" s="1" t="s">
        <v>4709</v>
      </c>
      <c r="AH1381" s="1" t="s">
        <v>73</v>
      </c>
      <c r="AK1381" s="1" t="s">
        <v>71</v>
      </c>
      <c r="AM1381" s="1" t="s">
        <v>71</v>
      </c>
      <c r="AN1381" s="1" t="s">
        <v>71</v>
      </c>
      <c r="AS1381" s="1" t="s">
        <v>71</v>
      </c>
      <c r="AX1381" s="1" t="s">
        <v>71</v>
      </c>
      <c r="AY1381" s="1" t="s">
        <v>59</v>
      </c>
      <c r="AZ1381" s="1" t="s">
        <v>74</v>
      </c>
      <c r="BH1381" s="1" t="s">
        <v>71</v>
      </c>
    </row>
    <row r="1382" customFormat="false" ht="15" hidden="false" customHeight="false" outlineLevel="0" collapsed="false">
      <c r="A1382" s="1" t="s">
        <v>4710</v>
      </c>
      <c r="B1382" s="1" t="s">
        <v>4711</v>
      </c>
      <c r="C1382" s="1" t="s">
        <v>448</v>
      </c>
      <c r="D1382" s="1" t="s">
        <v>4160</v>
      </c>
      <c r="E1382" s="1" t="s">
        <v>61</v>
      </c>
      <c r="F1382" s="1" t="s">
        <v>101</v>
      </c>
      <c r="G1382" s="1" t="s">
        <v>93</v>
      </c>
      <c r="H1382" s="1" t="s">
        <v>64</v>
      </c>
      <c r="K1382" s="1" t="s">
        <v>251</v>
      </c>
      <c r="L1382" s="1" t="s">
        <v>1084</v>
      </c>
      <c r="M1382" s="1" t="s">
        <v>592</v>
      </c>
      <c r="N1382" s="1" t="s">
        <v>105</v>
      </c>
      <c r="O1382" s="1" t="s">
        <v>106</v>
      </c>
      <c r="P1382" s="1" t="s">
        <v>3539</v>
      </c>
      <c r="U1382" s="1" t="s">
        <v>4710</v>
      </c>
      <c r="Z1382" s="1" t="s">
        <v>71</v>
      </c>
      <c r="AE1382" s="1" t="s">
        <v>4709</v>
      </c>
      <c r="AH1382" s="1" t="s">
        <v>73</v>
      </c>
      <c r="AK1382" s="1" t="s">
        <v>71</v>
      </c>
      <c r="AM1382" s="1" t="s">
        <v>71</v>
      </c>
      <c r="AN1382" s="1" t="s">
        <v>71</v>
      </c>
      <c r="AS1382" s="1" t="s">
        <v>71</v>
      </c>
      <c r="AX1382" s="1" t="s">
        <v>71</v>
      </c>
      <c r="AY1382" s="1" t="s">
        <v>59</v>
      </c>
      <c r="AZ1382" s="1" t="s">
        <v>74</v>
      </c>
      <c r="BH1382" s="1" t="s">
        <v>71</v>
      </c>
    </row>
    <row r="1383" customFormat="false" ht="15" hidden="false" customHeight="false" outlineLevel="0" collapsed="false">
      <c r="A1383" s="1" t="s">
        <v>4712</v>
      </c>
      <c r="B1383" s="1" t="s">
        <v>4713</v>
      </c>
      <c r="C1383" s="1" t="s">
        <v>448</v>
      </c>
      <c r="D1383" s="1" t="s">
        <v>4160</v>
      </c>
      <c r="E1383" s="1" t="s">
        <v>65</v>
      </c>
      <c r="F1383" s="1" t="s">
        <v>119</v>
      </c>
      <c r="G1383" s="1" t="s">
        <v>65</v>
      </c>
      <c r="H1383" s="1" t="s">
        <v>64</v>
      </c>
      <c r="K1383" s="1" t="s">
        <v>108</v>
      </c>
      <c r="L1383" s="1" t="s">
        <v>200</v>
      </c>
      <c r="M1383" s="1" t="s">
        <v>592</v>
      </c>
      <c r="N1383" s="1" t="s">
        <v>123</v>
      </c>
      <c r="O1383" s="1" t="s">
        <v>124</v>
      </c>
      <c r="P1383" s="1" t="s">
        <v>4161</v>
      </c>
      <c r="U1383" s="1" t="s">
        <v>4712</v>
      </c>
      <c r="Z1383" s="1" t="s">
        <v>71</v>
      </c>
      <c r="AA1383" s="1" t="s">
        <v>91</v>
      </c>
      <c r="AE1383" s="1" t="s">
        <v>4709</v>
      </c>
      <c r="AH1383" s="1" t="s">
        <v>73</v>
      </c>
      <c r="AK1383" s="1" t="s">
        <v>71</v>
      </c>
      <c r="AM1383" s="1" t="s">
        <v>71</v>
      </c>
      <c r="AN1383" s="1" t="s">
        <v>71</v>
      </c>
      <c r="AS1383" s="1" t="s">
        <v>71</v>
      </c>
      <c r="AX1383" s="1" t="s">
        <v>71</v>
      </c>
      <c r="AY1383" s="1" t="s">
        <v>59</v>
      </c>
      <c r="AZ1383" s="1" t="s">
        <v>74</v>
      </c>
      <c r="BH1383" s="1" t="s">
        <v>71</v>
      </c>
    </row>
    <row r="1384" customFormat="false" ht="15" hidden="false" customHeight="false" outlineLevel="0" collapsed="false">
      <c r="A1384" s="1" t="s">
        <v>4714</v>
      </c>
      <c r="B1384" s="1" t="s">
        <v>4715</v>
      </c>
      <c r="C1384" s="1" t="s">
        <v>1158</v>
      </c>
      <c r="D1384" s="1" t="s">
        <v>4456</v>
      </c>
      <c r="E1384" s="1" t="s">
        <v>82</v>
      </c>
      <c r="F1384" s="1" t="s">
        <v>391</v>
      </c>
      <c r="G1384" s="1" t="s">
        <v>213</v>
      </c>
      <c r="H1384" s="1" t="s">
        <v>477</v>
      </c>
      <c r="K1384" s="1" t="s">
        <v>478</v>
      </c>
      <c r="L1384" s="1" t="s">
        <v>479</v>
      </c>
      <c r="M1384" s="1" t="s">
        <v>496</v>
      </c>
      <c r="N1384" s="1" t="s">
        <v>4716</v>
      </c>
      <c r="O1384" s="1" t="s">
        <v>4717</v>
      </c>
      <c r="P1384" s="1" t="s">
        <v>4718</v>
      </c>
      <c r="Z1384" s="1" t="s">
        <v>71</v>
      </c>
      <c r="AE1384" s="1" t="s">
        <v>4719</v>
      </c>
      <c r="AH1384" s="1" t="s">
        <v>73</v>
      </c>
      <c r="AK1384" s="1" t="s">
        <v>71</v>
      </c>
      <c r="AM1384" s="1" t="s">
        <v>71</v>
      </c>
      <c r="AN1384" s="1" t="s">
        <v>71</v>
      </c>
      <c r="AS1384" s="1" t="s">
        <v>71</v>
      </c>
      <c r="AX1384" s="1" t="s">
        <v>71</v>
      </c>
      <c r="BH1384" s="1" t="s">
        <v>71</v>
      </c>
    </row>
    <row r="1385" customFormat="false" ht="15" hidden="false" customHeight="false" outlineLevel="0" collapsed="false">
      <c r="A1385" s="1" t="s">
        <v>4720</v>
      </c>
      <c r="B1385" s="1" t="s">
        <v>4721</v>
      </c>
      <c r="C1385" s="1" t="s">
        <v>1158</v>
      </c>
      <c r="D1385" s="1" t="s">
        <v>4456</v>
      </c>
      <c r="E1385" s="1" t="s">
        <v>82</v>
      </c>
      <c r="F1385" s="1" t="s">
        <v>391</v>
      </c>
      <c r="G1385" s="1" t="s">
        <v>213</v>
      </c>
      <c r="H1385" s="1" t="s">
        <v>477</v>
      </c>
      <c r="K1385" s="1" t="s">
        <v>478</v>
      </c>
      <c r="L1385" s="1" t="s">
        <v>479</v>
      </c>
      <c r="M1385" s="1" t="s">
        <v>496</v>
      </c>
      <c r="N1385" s="1" t="s">
        <v>4722</v>
      </c>
      <c r="O1385" s="1" t="s">
        <v>4723</v>
      </c>
      <c r="P1385" s="1" t="s">
        <v>4724</v>
      </c>
      <c r="Z1385" s="1" t="s">
        <v>71</v>
      </c>
      <c r="AE1385" s="1" t="s">
        <v>4719</v>
      </c>
      <c r="AH1385" s="1" t="s">
        <v>73</v>
      </c>
      <c r="AK1385" s="1" t="s">
        <v>71</v>
      </c>
      <c r="AM1385" s="1" t="s">
        <v>71</v>
      </c>
      <c r="AN1385" s="1" t="s">
        <v>71</v>
      </c>
      <c r="AS1385" s="1" t="s">
        <v>71</v>
      </c>
      <c r="AX1385" s="1" t="s">
        <v>71</v>
      </c>
      <c r="BH1385" s="1" t="s">
        <v>71</v>
      </c>
    </row>
    <row r="1386" customFormat="false" ht="15" hidden="false" customHeight="false" outlineLevel="0" collapsed="false">
      <c r="A1386" s="1" t="s">
        <v>4725</v>
      </c>
      <c r="B1386" s="1" t="s">
        <v>4726</v>
      </c>
      <c r="C1386" s="1" t="s">
        <v>222</v>
      </c>
      <c r="D1386" s="1" t="s">
        <v>223</v>
      </c>
      <c r="E1386" s="1" t="s">
        <v>61</v>
      </c>
      <c r="F1386" s="1" t="s">
        <v>101</v>
      </c>
      <c r="G1386" s="1" t="s">
        <v>93</v>
      </c>
      <c r="H1386" s="1" t="s">
        <v>64</v>
      </c>
      <c r="K1386" s="1" t="s">
        <v>126</v>
      </c>
      <c r="L1386" s="1" t="s">
        <v>335</v>
      </c>
      <c r="M1386" s="1" t="s">
        <v>1512</v>
      </c>
      <c r="N1386" s="1" t="s">
        <v>105</v>
      </c>
      <c r="O1386" s="1" t="s">
        <v>106</v>
      </c>
      <c r="P1386" s="1" t="s">
        <v>3539</v>
      </c>
      <c r="U1386" s="1" t="s">
        <v>4725</v>
      </c>
      <c r="Z1386" s="1" t="s">
        <v>71</v>
      </c>
      <c r="AE1386" s="1" t="s">
        <v>4719</v>
      </c>
      <c r="AH1386" s="1" t="s">
        <v>73</v>
      </c>
      <c r="AK1386" s="1" t="s">
        <v>71</v>
      </c>
      <c r="AM1386" s="1" t="s">
        <v>71</v>
      </c>
      <c r="AN1386" s="1" t="s">
        <v>71</v>
      </c>
      <c r="AS1386" s="1" t="s">
        <v>71</v>
      </c>
      <c r="AX1386" s="1" t="s">
        <v>71</v>
      </c>
      <c r="AY1386" s="1" t="s">
        <v>59</v>
      </c>
      <c r="AZ1386" s="1" t="s">
        <v>74</v>
      </c>
      <c r="BH1386" s="1" t="s">
        <v>71</v>
      </c>
    </row>
    <row r="1387" customFormat="false" ht="15" hidden="false" customHeight="false" outlineLevel="0" collapsed="false">
      <c r="A1387" s="1" t="s">
        <v>4727</v>
      </c>
      <c r="B1387" s="1" t="s">
        <v>4728</v>
      </c>
      <c r="C1387" s="1" t="s">
        <v>222</v>
      </c>
      <c r="D1387" s="1" t="s">
        <v>223</v>
      </c>
      <c r="E1387" s="1" t="s">
        <v>61</v>
      </c>
      <c r="F1387" s="1" t="s">
        <v>101</v>
      </c>
      <c r="G1387" s="1" t="s">
        <v>93</v>
      </c>
      <c r="H1387" s="1" t="s">
        <v>64</v>
      </c>
      <c r="K1387" s="1" t="s">
        <v>126</v>
      </c>
      <c r="L1387" s="1" t="s">
        <v>335</v>
      </c>
      <c r="M1387" s="1" t="s">
        <v>828</v>
      </c>
      <c r="N1387" s="1" t="s">
        <v>105</v>
      </c>
      <c r="O1387" s="1" t="s">
        <v>106</v>
      </c>
      <c r="P1387" s="1" t="s">
        <v>3539</v>
      </c>
      <c r="U1387" s="1" t="s">
        <v>4727</v>
      </c>
      <c r="Z1387" s="1" t="s">
        <v>71</v>
      </c>
      <c r="AE1387" s="1" t="s">
        <v>4719</v>
      </c>
      <c r="AH1387" s="1" t="s">
        <v>73</v>
      </c>
      <c r="AK1387" s="1" t="s">
        <v>71</v>
      </c>
      <c r="AM1387" s="1" t="s">
        <v>71</v>
      </c>
      <c r="AN1387" s="1" t="s">
        <v>71</v>
      </c>
      <c r="AS1387" s="1" t="s">
        <v>71</v>
      </c>
      <c r="AX1387" s="1" t="s">
        <v>71</v>
      </c>
      <c r="AY1387" s="1" t="s">
        <v>59</v>
      </c>
      <c r="AZ1387" s="1" t="s">
        <v>74</v>
      </c>
      <c r="BH1387" s="1" t="s">
        <v>71</v>
      </c>
    </row>
    <row r="1388" customFormat="false" ht="15" hidden="false" customHeight="false" outlineLevel="0" collapsed="false">
      <c r="A1388" s="1" t="s">
        <v>4729</v>
      </c>
      <c r="B1388" s="1" t="s">
        <v>4730</v>
      </c>
      <c r="C1388" s="1" t="s">
        <v>161</v>
      </c>
      <c r="D1388" s="1" t="s">
        <v>162</v>
      </c>
      <c r="E1388" s="1" t="s">
        <v>61</v>
      </c>
      <c r="F1388" s="1" t="s">
        <v>101</v>
      </c>
      <c r="G1388" s="1" t="s">
        <v>93</v>
      </c>
      <c r="H1388" s="1" t="s">
        <v>64</v>
      </c>
      <c r="K1388" s="1" t="s">
        <v>582</v>
      </c>
      <c r="L1388" s="1" t="s">
        <v>4731</v>
      </c>
      <c r="M1388" s="1" t="s">
        <v>310</v>
      </c>
      <c r="N1388" s="1" t="s">
        <v>1177</v>
      </c>
      <c r="O1388" s="1" t="s">
        <v>1178</v>
      </c>
      <c r="P1388" s="1" t="s">
        <v>4732</v>
      </c>
      <c r="U1388" s="1" t="s">
        <v>4729</v>
      </c>
      <c r="Z1388" s="1" t="s">
        <v>71</v>
      </c>
      <c r="AE1388" s="1" t="s">
        <v>4733</v>
      </c>
      <c r="AH1388" s="1" t="s">
        <v>73</v>
      </c>
      <c r="AK1388" s="1" t="s">
        <v>71</v>
      </c>
      <c r="AM1388" s="1" t="s">
        <v>71</v>
      </c>
      <c r="AN1388" s="1" t="s">
        <v>71</v>
      </c>
      <c r="AS1388" s="1" t="s">
        <v>71</v>
      </c>
      <c r="AX1388" s="1" t="s">
        <v>71</v>
      </c>
      <c r="AY1388" s="1" t="s">
        <v>59</v>
      </c>
      <c r="AZ1388" s="1" t="s">
        <v>74</v>
      </c>
      <c r="BH1388" s="1" t="s">
        <v>71</v>
      </c>
    </row>
    <row r="1389" customFormat="false" ht="15" hidden="false" customHeight="false" outlineLevel="0" collapsed="false">
      <c r="A1389" s="1" t="s">
        <v>4734</v>
      </c>
      <c r="B1389" s="1" t="s">
        <v>4735</v>
      </c>
      <c r="C1389" s="1" t="s">
        <v>1332</v>
      </c>
      <c r="D1389" s="1" t="s">
        <v>2598</v>
      </c>
      <c r="E1389" s="1" t="s">
        <v>82</v>
      </c>
      <c r="F1389" s="1" t="s">
        <v>391</v>
      </c>
      <c r="G1389" s="1" t="s">
        <v>443</v>
      </c>
      <c r="H1389" s="1" t="s">
        <v>444</v>
      </c>
      <c r="K1389" s="1" t="s">
        <v>618</v>
      </c>
      <c r="L1389" s="1" t="s">
        <v>619</v>
      </c>
      <c r="M1389" s="1" t="s">
        <v>2909</v>
      </c>
      <c r="N1389" s="1" t="s">
        <v>3906</v>
      </c>
      <c r="O1389" s="1" t="s">
        <v>447</v>
      </c>
      <c r="P1389" s="1" t="s">
        <v>3907</v>
      </c>
      <c r="Z1389" s="1" t="s">
        <v>71</v>
      </c>
      <c r="AE1389" s="1" t="s">
        <v>4736</v>
      </c>
      <c r="AH1389" s="1" t="s">
        <v>73</v>
      </c>
      <c r="AK1389" s="1" t="s">
        <v>71</v>
      </c>
      <c r="AM1389" s="1" t="s">
        <v>71</v>
      </c>
      <c r="AN1389" s="1" t="s">
        <v>71</v>
      </c>
      <c r="AS1389" s="1" t="s">
        <v>71</v>
      </c>
      <c r="AX1389" s="1" t="s">
        <v>71</v>
      </c>
      <c r="BH1389" s="1" t="s">
        <v>71</v>
      </c>
    </row>
    <row r="1390" customFormat="false" ht="15" hidden="false" customHeight="false" outlineLevel="0" collapsed="false">
      <c r="A1390" s="1" t="s">
        <v>4737</v>
      </c>
      <c r="B1390" s="1" t="s">
        <v>4738</v>
      </c>
      <c r="C1390" s="1" t="s">
        <v>528</v>
      </c>
      <c r="D1390" s="1" t="s">
        <v>1274</v>
      </c>
      <c r="E1390" s="1" t="s">
        <v>82</v>
      </c>
      <c r="F1390" s="1" t="s">
        <v>391</v>
      </c>
      <c r="G1390" s="1" t="s">
        <v>443</v>
      </c>
      <c r="H1390" s="1" t="s">
        <v>444</v>
      </c>
      <c r="K1390" s="1" t="s">
        <v>618</v>
      </c>
      <c r="L1390" s="1" t="s">
        <v>619</v>
      </c>
      <c r="M1390" s="1" t="s">
        <v>496</v>
      </c>
      <c r="N1390" s="1" t="s">
        <v>4739</v>
      </c>
      <c r="O1390" s="1" t="s">
        <v>1778</v>
      </c>
      <c r="P1390" s="1" t="s">
        <v>4740</v>
      </c>
      <c r="Z1390" s="1" t="s">
        <v>71</v>
      </c>
      <c r="AE1390" s="1" t="s">
        <v>4741</v>
      </c>
      <c r="AH1390" s="1" t="s">
        <v>73</v>
      </c>
      <c r="AK1390" s="1" t="s">
        <v>71</v>
      </c>
      <c r="AM1390" s="1" t="s">
        <v>71</v>
      </c>
      <c r="AN1390" s="1" t="s">
        <v>71</v>
      </c>
      <c r="AS1390" s="1" t="s">
        <v>71</v>
      </c>
      <c r="AX1390" s="1" t="s">
        <v>71</v>
      </c>
      <c r="BH1390" s="1" t="s">
        <v>71</v>
      </c>
    </row>
    <row r="1391" customFormat="false" ht="15" hidden="false" customHeight="false" outlineLevel="0" collapsed="false">
      <c r="A1391" s="1" t="s">
        <v>4742</v>
      </c>
      <c r="B1391" s="1" t="s">
        <v>4743</v>
      </c>
      <c r="C1391" s="1" t="s">
        <v>528</v>
      </c>
      <c r="D1391" s="1" t="s">
        <v>1274</v>
      </c>
      <c r="E1391" s="1" t="s">
        <v>82</v>
      </c>
      <c r="F1391" s="1" t="s">
        <v>391</v>
      </c>
      <c r="G1391" s="1" t="s">
        <v>443</v>
      </c>
      <c r="H1391" s="1" t="s">
        <v>444</v>
      </c>
      <c r="K1391" s="1" t="s">
        <v>618</v>
      </c>
      <c r="L1391" s="1" t="s">
        <v>619</v>
      </c>
      <c r="M1391" s="1" t="s">
        <v>496</v>
      </c>
      <c r="N1391" s="1" t="s">
        <v>4339</v>
      </c>
      <c r="O1391" s="1" t="s">
        <v>4340</v>
      </c>
      <c r="P1391" s="1" t="s">
        <v>4341</v>
      </c>
      <c r="Z1391" s="1" t="s">
        <v>71</v>
      </c>
      <c r="AE1391" s="1" t="s">
        <v>4741</v>
      </c>
      <c r="AH1391" s="1" t="s">
        <v>73</v>
      </c>
      <c r="AK1391" s="1" t="s">
        <v>71</v>
      </c>
      <c r="AM1391" s="1" t="s">
        <v>71</v>
      </c>
      <c r="AN1391" s="1" t="s">
        <v>71</v>
      </c>
      <c r="AS1391" s="1" t="s">
        <v>71</v>
      </c>
      <c r="AX1391" s="1" t="s">
        <v>71</v>
      </c>
      <c r="BH1391" s="1" t="s">
        <v>71</v>
      </c>
    </row>
    <row r="1392" customFormat="false" ht="15" hidden="false" customHeight="false" outlineLevel="0" collapsed="false">
      <c r="A1392" s="1" t="s">
        <v>4744</v>
      </c>
      <c r="B1392" s="1" t="s">
        <v>4745</v>
      </c>
      <c r="C1392" s="1" t="s">
        <v>528</v>
      </c>
      <c r="D1392" s="1" t="s">
        <v>1274</v>
      </c>
      <c r="E1392" s="1" t="s">
        <v>82</v>
      </c>
      <c r="F1392" s="1" t="s">
        <v>391</v>
      </c>
      <c r="G1392" s="1" t="s">
        <v>443</v>
      </c>
      <c r="H1392" s="1" t="s">
        <v>444</v>
      </c>
      <c r="K1392" s="1" t="s">
        <v>618</v>
      </c>
      <c r="L1392" s="1" t="s">
        <v>619</v>
      </c>
      <c r="M1392" s="1" t="s">
        <v>496</v>
      </c>
      <c r="N1392" s="1" t="s">
        <v>4746</v>
      </c>
      <c r="O1392" s="1" t="s">
        <v>400</v>
      </c>
      <c r="P1392" s="1" t="s">
        <v>4747</v>
      </c>
      <c r="Z1392" s="1" t="s">
        <v>71</v>
      </c>
      <c r="AE1392" s="1" t="s">
        <v>4741</v>
      </c>
      <c r="AH1392" s="1" t="s">
        <v>73</v>
      </c>
      <c r="AK1392" s="1" t="s">
        <v>71</v>
      </c>
      <c r="AM1392" s="1" t="s">
        <v>71</v>
      </c>
      <c r="AN1392" s="1" t="s">
        <v>71</v>
      </c>
      <c r="AS1392" s="1" t="s">
        <v>71</v>
      </c>
      <c r="AX1392" s="1" t="s">
        <v>71</v>
      </c>
      <c r="BH1392" s="1" t="s">
        <v>71</v>
      </c>
    </row>
    <row r="1393" customFormat="false" ht="15" hidden="false" customHeight="false" outlineLevel="0" collapsed="false">
      <c r="A1393" s="1" t="s">
        <v>4748</v>
      </c>
      <c r="B1393" s="1" t="s">
        <v>4749</v>
      </c>
      <c r="C1393" s="1" t="s">
        <v>969</v>
      </c>
      <c r="D1393" s="1" t="s">
        <v>3352</v>
      </c>
      <c r="E1393" s="1" t="s">
        <v>82</v>
      </c>
      <c r="F1393" s="1" t="s">
        <v>391</v>
      </c>
      <c r="G1393" s="1" t="s">
        <v>97</v>
      </c>
      <c r="H1393" s="1" t="s">
        <v>406</v>
      </c>
      <c r="K1393" s="1" t="s">
        <v>407</v>
      </c>
      <c r="L1393" s="1" t="s">
        <v>408</v>
      </c>
      <c r="M1393" s="1" t="s">
        <v>496</v>
      </c>
      <c r="N1393" s="1" t="s">
        <v>4750</v>
      </c>
      <c r="O1393" s="1" t="s">
        <v>447</v>
      </c>
      <c r="P1393" s="1" t="s">
        <v>4751</v>
      </c>
      <c r="Z1393" s="1" t="s">
        <v>71</v>
      </c>
      <c r="AE1393" s="1" t="s">
        <v>4752</v>
      </c>
      <c r="AH1393" s="1" t="s">
        <v>73</v>
      </c>
      <c r="AK1393" s="1" t="s">
        <v>71</v>
      </c>
      <c r="AM1393" s="1" t="s">
        <v>71</v>
      </c>
      <c r="AN1393" s="1" t="s">
        <v>71</v>
      </c>
      <c r="AS1393" s="1" t="s">
        <v>71</v>
      </c>
      <c r="AX1393" s="1" t="s">
        <v>71</v>
      </c>
      <c r="BH1393" s="1" t="s">
        <v>71</v>
      </c>
    </row>
    <row r="1394" customFormat="false" ht="15" hidden="false" customHeight="false" outlineLevel="0" collapsed="false">
      <c r="A1394" s="1" t="s">
        <v>4753</v>
      </c>
      <c r="B1394" s="1" t="s">
        <v>4754</v>
      </c>
      <c r="C1394" s="1" t="s">
        <v>1151</v>
      </c>
      <c r="D1394" s="1" t="s">
        <v>4150</v>
      </c>
      <c r="E1394" s="1" t="s">
        <v>82</v>
      </c>
      <c r="F1394" s="1" t="s">
        <v>391</v>
      </c>
      <c r="G1394" s="1" t="s">
        <v>97</v>
      </c>
      <c r="H1394" s="1" t="s">
        <v>406</v>
      </c>
      <c r="K1394" s="1" t="s">
        <v>65</v>
      </c>
      <c r="L1394" s="1" t="s">
        <v>860</v>
      </c>
      <c r="M1394" s="1" t="s">
        <v>2020</v>
      </c>
      <c r="N1394" s="1" t="s">
        <v>4590</v>
      </c>
      <c r="O1394" s="1" t="s">
        <v>447</v>
      </c>
      <c r="P1394" s="1" t="s">
        <v>4591</v>
      </c>
      <c r="Z1394" s="1" t="s">
        <v>71</v>
      </c>
      <c r="AE1394" s="1" t="s">
        <v>4752</v>
      </c>
      <c r="AH1394" s="1" t="s">
        <v>73</v>
      </c>
      <c r="AK1394" s="1" t="s">
        <v>71</v>
      </c>
      <c r="AM1394" s="1" t="s">
        <v>71</v>
      </c>
      <c r="AN1394" s="1" t="s">
        <v>71</v>
      </c>
      <c r="AS1394" s="1" t="s">
        <v>71</v>
      </c>
      <c r="AX1394" s="1" t="s">
        <v>71</v>
      </c>
      <c r="BH1394" s="1" t="s">
        <v>71</v>
      </c>
    </row>
    <row r="1395" customFormat="false" ht="15" hidden="false" customHeight="false" outlineLevel="0" collapsed="false">
      <c r="A1395" s="1" t="s">
        <v>4755</v>
      </c>
      <c r="B1395" s="1" t="s">
        <v>4756</v>
      </c>
      <c r="C1395" s="1" t="s">
        <v>389</v>
      </c>
      <c r="D1395" s="1" t="s">
        <v>390</v>
      </c>
      <c r="E1395" s="1" t="s">
        <v>82</v>
      </c>
      <c r="F1395" s="1" t="s">
        <v>391</v>
      </c>
      <c r="G1395" s="1" t="s">
        <v>443</v>
      </c>
      <c r="H1395" s="1" t="s">
        <v>444</v>
      </c>
      <c r="K1395" s="1" t="s">
        <v>61</v>
      </c>
      <c r="L1395" s="1" t="s">
        <v>445</v>
      </c>
      <c r="M1395" s="1" t="s">
        <v>1716</v>
      </c>
      <c r="N1395" s="1" t="s">
        <v>994</v>
      </c>
      <c r="O1395" s="1" t="s">
        <v>995</v>
      </c>
      <c r="P1395" s="1" t="s">
        <v>3681</v>
      </c>
      <c r="Z1395" s="1" t="s">
        <v>71</v>
      </c>
      <c r="AE1395" s="1" t="s">
        <v>4757</v>
      </c>
      <c r="AH1395" s="1" t="s">
        <v>73</v>
      </c>
      <c r="AK1395" s="1" t="s">
        <v>71</v>
      </c>
      <c r="AM1395" s="1" t="s">
        <v>71</v>
      </c>
      <c r="AN1395" s="1" t="s">
        <v>71</v>
      </c>
      <c r="AS1395" s="1" t="s">
        <v>71</v>
      </c>
      <c r="AX1395" s="1" t="s">
        <v>71</v>
      </c>
      <c r="BH1395" s="1" t="s">
        <v>71</v>
      </c>
    </row>
    <row r="1396" customFormat="false" ht="15" hidden="false" customHeight="false" outlineLevel="0" collapsed="false">
      <c r="A1396" s="1" t="s">
        <v>4758</v>
      </c>
      <c r="B1396" s="1" t="s">
        <v>4759</v>
      </c>
      <c r="C1396" s="1" t="s">
        <v>4633</v>
      </c>
      <c r="D1396" s="1" t="s">
        <v>4634</v>
      </c>
      <c r="E1396" s="1" t="s">
        <v>82</v>
      </c>
      <c r="F1396" s="1" t="s">
        <v>391</v>
      </c>
      <c r="G1396" s="1" t="s">
        <v>443</v>
      </c>
      <c r="H1396" s="1" t="s">
        <v>444</v>
      </c>
      <c r="K1396" s="1" t="s">
        <v>582</v>
      </c>
      <c r="L1396" s="1" t="s">
        <v>860</v>
      </c>
      <c r="M1396" s="1" t="s">
        <v>496</v>
      </c>
      <c r="N1396" s="1" t="s">
        <v>2932</v>
      </c>
      <c r="O1396" s="1" t="s">
        <v>2933</v>
      </c>
      <c r="P1396" s="1" t="s">
        <v>4760</v>
      </c>
      <c r="Z1396" s="1" t="s">
        <v>71</v>
      </c>
      <c r="AE1396" s="1" t="s">
        <v>4761</v>
      </c>
      <c r="AH1396" s="1" t="s">
        <v>73</v>
      </c>
      <c r="AK1396" s="1" t="s">
        <v>71</v>
      </c>
      <c r="AM1396" s="1" t="s">
        <v>71</v>
      </c>
      <c r="AN1396" s="1" t="s">
        <v>71</v>
      </c>
      <c r="AS1396" s="1" t="s">
        <v>71</v>
      </c>
      <c r="AX1396" s="1" t="s">
        <v>71</v>
      </c>
      <c r="BH1396" s="1" t="s">
        <v>71</v>
      </c>
    </row>
    <row r="1397" customFormat="false" ht="15" hidden="false" customHeight="false" outlineLevel="0" collapsed="false">
      <c r="A1397" s="1" t="s">
        <v>4762</v>
      </c>
      <c r="B1397" s="1" t="s">
        <v>4763</v>
      </c>
      <c r="C1397" s="1" t="s">
        <v>4633</v>
      </c>
      <c r="D1397" s="1" t="s">
        <v>4634</v>
      </c>
      <c r="E1397" s="1" t="s">
        <v>82</v>
      </c>
      <c r="F1397" s="1" t="s">
        <v>391</v>
      </c>
      <c r="G1397" s="1" t="s">
        <v>443</v>
      </c>
      <c r="H1397" s="1" t="s">
        <v>444</v>
      </c>
      <c r="K1397" s="1" t="s">
        <v>582</v>
      </c>
      <c r="L1397" s="1" t="s">
        <v>860</v>
      </c>
      <c r="M1397" s="1" t="s">
        <v>496</v>
      </c>
      <c r="N1397" s="1" t="s">
        <v>2932</v>
      </c>
      <c r="O1397" s="1" t="s">
        <v>2933</v>
      </c>
      <c r="P1397" s="1" t="s">
        <v>4760</v>
      </c>
      <c r="Z1397" s="1" t="s">
        <v>71</v>
      </c>
      <c r="AE1397" s="1" t="s">
        <v>4761</v>
      </c>
      <c r="AH1397" s="1" t="s">
        <v>73</v>
      </c>
      <c r="AK1397" s="1" t="s">
        <v>71</v>
      </c>
      <c r="AM1397" s="1" t="s">
        <v>71</v>
      </c>
      <c r="AN1397" s="1" t="s">
        <v>71</v>
      </c>
      <c r="AS1397" s="1" t="s">
        <v>71</v>
      </c>
      <c r="AX1397" s="1" t="s">
        <v>71</v>
      </c>
      <c r="BH1397" s="1" t="s">
        <v>71</v>
      </c>
    </row>
    <row r="1398" customFormat="false" ht="15" hidden="false" customHeight="false" outlineLevel="0" collapsed="false">
      <c r="A1398" s="1" t="s">
        <v>4764</v>
      </c>
      <c r="B1398" s="1" t="s">
        <v>4765</v>
      </c>
      <c r="C1398" s="1" t="s">
        <v>4633</v>
      </c>
      <c r="D1398" s="1" t="s">
        <v>4634</v>
      </c>
      <c r="E1398" s="1" t="s">
        <v>82</v>
      </c>
      <c r="F1398" s="1" t="s">
        <v>391</v>
      </c>
      <c r="G1398" s="1" t="s">
        <v>443</v>
      </c>
      <c r="H1398" s="1" t="s">
        <v>444</v>
      </c>
      <c r="K1398" s="1" t="s">
        <v>582</v>
      </c>
      <c r="L1398" s="1" t="s">
        <v>860</v>
      </c>
      <c r="M1398" s="1" t="s">
        <v>496</v>
      </c>
      <c r="N1398" s="1" t="s">
        <v>2892</v>
      </c>
      <c r="O1398" s="1" t="s">
        <v>400</v>
      </c>
      <c r="P1398" s="1" t="s">
        <v>4766</v>
      </c>
      <c r="Z1398" s="1" t="s">
        <v>71</v>
      </c>
      <c r="AE1398" s="1" t="s">
        <v>4761</v>
      </c>
      <c r="AH1398" s="1" t="s">
        <v>73</v>
      </c>
      <c r="AK1398" s="1" t="s">
        <v>71</v>
      </c>
      <c r="AM1398" s="1" t="s">
        <v>71</v>
      </c>
      <c r="AN1398" s="1" t="s">
        <v>71</v>
      </c>
      <c r="AS1398" s="1" t="s">
        <v>71</v>
      </c>
      <c r="AX1398" s="1" t="s">
        <v>71</v>
      </c>
      <c r="BH1398" s="1" t="s">
        <v>71</v>
      </c>
    </row>
    <row r="1399" customFormat="false" ht="15" hidden="false" customHeight="false" outlineLevel="0" collapsed="false">
      <c r="A1399" s="1" t="s">
        <v>4767</v>
      </c>
      <c r="B1399" s="1" t="s">
        <v>4768</v>
      </c>
      <c r="C1399" s="1" t="s">
        <v>4633</v>
      </c>
      <c r="D1399" s="1" t="s">
        <v>4634</v>
      </c>
      <c r="E1399" s="1" t="s">
        <v>82</v>
      </c>
      <c r="F1399" s="1" t="s">
        <v>391</v>
      </c>
      <c r="G1399" s="1" t="s">
        <v>443</v>
      </c>
      <c r="H1399" s="1" t="s">
        <v>444</v>
      </c>
      <c r="K1399" s="1" t="s">
        <v>582</v>
      </c>
      <c r="L1399" s="1" t="s">
        <v>860</v>
      </c>
      <c r="M1399" s="1" t="s">
        <v>496</v>
      </c>
      <c r="N1399" s="1" t="s">
        <v>1682</v>
      </c>
      <c r="O1399" s="1" t="s">
        <v>1001</v>
      </c>
      <c r="P1399" s="1" t="s">
        <v>3472</v>
      </c>
      <c r="Z1399" s="1" t="s">
        <v>71</v>
      </c>
      <c r="AE1399" s="1" t="s">
        <v>4761</v>
      </c>
      <c r="AH1399" s="1" t="s">
        <v>73</v>
      </c>
      <c r="AK1399" s="1" t="s">
        <v>71</v>
      </c>
      <c r="AM1399" s="1" t="s">
        <v>71</v>
      </c>
      <c r="AN1399" s="1" t="s">
        <v>71</v>
      </c>
      <c r="AS1399" s="1" t="s">
        <v>71</v>
      </c>
      <c r="AX1399" s="1" t="s">
        <v>71</v>
      </c>
      <c r="BH1399" s="1" t="s">
        <v>71</v>
      </c>
    </row>
    <row r="1400" customFormat="false" ht="15" hidden="false" customHeight="false" outlineLevel="0" collapsed="false">
      <c r="A1400" s="1" t="s">
        <v>4769</v>
      </c>
      <c r="B1400" s="1" t="s">
        <v>4770</v>
      </c>
      <c r="C1400" s="1" t="s">
        <v>4633</v>
      </c>
      <c r="D1400" s="1" t="s">
        <v>4634</v>
      </c>
      <c r="E1400" s="1" t="s">
        <v>82</v>
      </c>
      <c r="F1400" s="1" t="s">
        <v>391</v>
      </c>
      <c r="G1400" s="1" t="s">
        <v>443</v>
      </c>
      <c r="H1400" s="1" t="s">
        <v>444</v>
      </c>
      <c r="K1400" s="1" t="s">
        <v>582</v>
      </c>
      <c r="L1400" s="1" t="s">
        <v>860</v>
      </c>
      <c r="M1400" s="1" t="s">
        <v>496</v>
      </c>
      <c r="N1400" s="1" t="s">
        <v>1682</v>
      </c>
      <c r="O1400" s="1" t="s">
        <v>1001</v>
      </c>
      <c r="P1400" s="1" t="s">
        <v>3472</v>
      </c>
      <c r="Z1400" s="1" t="s">
        <v>71</v>
      </c>
      <c r="AE1400" s="1" t="s">
        <v>4761</v>
      </c>
      <c r="AH1400" s="1" t="s">
        <v>73</v>
      </c>
      <c r="AK1400" s="1" t="s">
        <v>71</v>
      </c>
      <c r="AM1400" s="1" t="s">
        <v>71</v>
      </c>
      <c r="AN1400" s="1" t="s">
        <v>71</v>
      </c>
      <c r="AS1400" s="1" t="s">
        <v>71</v>
      </c>
      <c r="AX1400" s="1" t="s">
        <v>71</v>
      </c>
      <c r="BH1400" s="1" t="s">
        <v>71</v>
      </c>
    </row>
    <row r="1401" customFormat="false" ht="15" hidden="false" customHeight="false" outlineLevel="0" collapsed="false">
      <c r="A1401" s="1" t="s">
        <v>4771</v>
      </c>
      <c r="B1401" s="1" t="s">
        <v>4772</v>
      </c>
      <c r="C1401" s="1" t="s">
        <v>4633</v>
      </c>
      <c r="D1401" s="1" t="s">
        <v>4634</v>
      </c>
      <c r="E1401" s="1" t="s">
        <v>82</v>
      </c>
      <c r="F1401" s="1" t="s">
        <v>391</v>
      </c>
      <c r="G1401" s="1" t="s">
        <v>443</v>
      </c>
      <c r="H1401" s="1" t="s">
        <v>444</v>
      </c>
      <c r="K1401" s="1" t="s">
        <v>582</v>
      </c>
      <c r="L1401" s="1" t="s">
        <v>860</v>
      </c>
      <c r="M1401" s="1" t="s">
        <v>496</v>
      </c>
      <c r="N1401" s="1" t="s">
        <v>4773</v>
      </c>
      <c r="O1401" s="1" t="s">
        <v>2563</v>
      </c>
      <c r="P1401" s="1" t="s">
        <v>4774</v>
      </c>
      <c r="Z1401" s="1" t="s">
        <v>71</v>
      </c>
      <c r="AE1401" s="1" t="s">
        <v>4761</v>
      </c>
      <c r="AH1401" s="1" t="s">
        <v>73</v>
      </c>
      <c r="AK1401" s="1" t="s">
        <v>71</v>
      </c>
      <c r="AM1401" s="1" t="s">
        <v>71</v>
      </c>
      <c r="AN1401" s="1" t="s">
        <v>71</v>
      </c>
      <c r="AS1401" s="1" t="s">
        <v>71</v>
      </c>
      <c r="AX1401" s="1" t="s">
        <v>71</v>
      </c>
      <c r="BH1401" s="1" t="s">
        <v>71</v>
      </c>
    </row>
    <row r="1402" customFormat="false" ht="15" hidden="false" customHeight="false" outlineLevel="0" collapsed="false">
      <c r="A1402" s="1" t="s">
        <v>4775</v>
      </c>
      <c r="B1402" s="1" t="s">
        <v>4776</v>
      </c>
      <c r="C1402" s="1" t="s">
        <v>4633</v>
      </c>
      <c r="D1402" s="1" t="s">
        <v>4634</v>
      </c>
      <c r="E1402" s="1" t="s">
        <v>82</v>
      </c>
      <c r="F1402" s="1" t="s">
        <v>391</v>
      </c>
      <c r="G1402" s="1" t="s">
        <v>443</v>
      </c>
      <c r="H1402" s="1" t="s">
        <v>444</v>
      </c>
      <c r="K1402" s="1" t="s">
        <v>582</v>
      </c>
      <c r="L1402" s="1" t="s">
        <v>860</v>
      </c>
      <c r="M1402" s="1" t="s">
        <v>496</v>
      </c>
      <c r="N1402" s="1" t="s">
        <v>842</v>
      </c>
      <c r="O1402" s="1" t="s">
        <v>400</v>
      </c>
      <c r="P1402" s="1" t="s">
        <v>3677</v>
      </c>
      <c r="Z1402" s="1" t="s">
        <v>71</v>
      </c>
      <c r="AE1402" s="1" t="s">
        <v>4761</v>
      </c>
      <c r="AH1402" s="1" t="s">
        <v>73</v>
      </c>
      <c r="AK1402" s="1" t="s">
        <v>71</v>
      </c>
      <c r="AM1402" s="1" t="s">
        <v>71</v>
      </c>
      <c r="AN1402" s="1" t="s">
        <v>71</v>
      </c>
      <c r="AS1402" s="1" t="s">
        <v>71</v>
      </c>
      <c r="AX1402" s="1" t="s">
        <v>71</v>
      </c>
      <c r="BH1402" s="1" t="s">
        <v>71</v>
      </c>
    </row>
    <row r="1403" customFormat="false" ht="15" hidden="false" customHeight="false" outlineLevel="0" collapsed="false">
      <c r="A1403" s="1" t="s">
        <v>4777</v>
      </c>
      <c r="B1403" s="1" t="s">
        <v>4778</v>
      </c>
      <c r="C1403" s="1" t="s">
        <v>4633</v>
      </c>
      <c r="D1403" s="1" t="s">
        <v>4634</v>
      </c>
      <c r="E1403" s="1" t="s">
        <v>82</v>
      </c>
      <c r="F1403" s="1" t="s">
        <v>391</v>
      </c>
      <c r="G1403" s="1" t="s">
        <v>443</v>
      </c>
      <c r="H1403" s="1" t="s">
        <v>444</v>
      </c>
      <c r="K1403" s="1" t="s">
        <v>582</v>
      </c>
      <c r="L1403" s="1" t="s">
        <v>860</v>
      </c>
      <c r="M1403" s="1" t="s">
        <v>496</v>
      </c>
      <c r="N1403" s="1" t="s">
        <v>4779</v>
      </c>
      <c r="O1403" s="1" t="s">
        <v>4780</v>
      </c>
      <c r="P1403" s="1" t="s">
        <v>4781</v>
      </c>
      <c r="Z1403" s="1" t="s">
        <v>71</v>
      </c>
      <c r="AE1403" s="1" t="s">
        <v>4761</v>
      </c>
      <c r="AH1403" s="1" t="s">
        <v>73</v>
      </c>
      <c r="AK1403" s="1" t="s">
        <v>71</v>
      </c>
      <c r="AM1403" s="1" t="s">
        <v>71</v>
      </c>
      <c r="AN1403" s="1" t="s">
        <v>71</v>
      </c>
      <c r="AS1403" s="1" t="s">
        <v>71</v>
      </c>
      <c r="AX1403" s="1" t="s">
        <v>71</v>
      </c>
      <c r="BH1403" s="1" t="s">
        <v>71</v>
      </c>
    </row>
    <row r="1404" customFormat="false" ht="15" hidden="false" customHeight="false" outlineLevel="0" collapsed="false">
      <c r="A1404" s="1" t="s">
        <v>4782</v>
      </c>
      <c r="B1404" s="1" t="s">
        <v>4783</v>
      </c>
      <c r="C1404" s="1" t="s">
        <v>4633</v>
      </c>
      <c r="D1404" s="1" t="s">
        <v>4634</v>
      </c>
      <c r="E1404" s="1" t="s">
        <v>82</v>
      </c>
      <c r="F1404" s="1" t="s">
        <v>391</v>
      </c>
      <c r="G1404" s="1" t="s">
        <v>443</v>
      </c>
      <c r="H1404" s="1" t="s">
        <v>444</v>
      </c>
      <c r="K1404" s="1" t="s">
        <v>582</v>
      </c>
      <c r="L1404" s="1" t="s">
        <v>860</v>
      </c>
      <c r="M1404" s="1" t="s">
        <v>496</v>
      </c>
      <c r="N1404" s="1" t="s">
        <v>2892</v>
      </c>
      <c r="O1404" s="1" t="s">
        <v>400</v>
      </c>
      <c r="P1404" s="1" t="s">
        <v>4766</v>
      </c>
      <c r="Z1404" s="1" t="s">
        <v>71</v>
      </c>
      <c r="AE1404" s="1" t="s">
        <v>4761</v>
      </c>
      <c r="AH1404" s="1" t="s">
        <v>73</v>
      </c>
      <c r="AK1404" s="1" t="s">
        <v>71</v>
      </c>
      <c r="AM1404" s="1" t="s">
        <v>71</v>
      </c>
      <c r="AN1404" s="1" t="s">
        <v>71</v>
      </c>
      <c r="AS1404" s="1" t="s">
        <v>71</v>
      </c>
      <c r="AX1404" s="1" t="s">
        <v>71</v>
      </c>
      <c r="BH1404" s="1" t="s">
        <v>71</v>
      </c>
    </row>
    <row r="1405" customFormat="false" ht="15" hidden="false" customHeight="false" outlineLevel="0" collapsed="false">
      <c r="A1405" s="1" t="s">
        <v>4784</v>
      </c>
      <c r="B1405" s="1" t="s">
        <v>4785</v>
      </c>
      <c r="C1405" s="1" t="s">
        <v>188</v>
      </c>
      <c r="D1405" s="1" t="s">
        <v>189</v>
      </c>
      <c r="E1405" s="1" t="s">
        <v>65</v>
      </c>
      <c r="F1405" s="1" t="s">
        <v>119</v>
      </c>
      <c r="G1405" s="1" t="s">
        <v>65</v>
      </c>
      <c r="H1405" s="1" t="s">
        <v>64</v>
      </c>
      <c r="K1405" s="1" t="s">
        <v>201</v>
      </c>
      <c r="L1405" s="1" t="s">
        <v>1558</v>
      </c>
      <c r="M1405" s="1" t="s">
        <v>104</v>
      </c>
      <c r="N1405" s="1" t="s">
        <v>123</v>
      </c>
      <c r="O1405" s="1" t="s">
        <v>124</v>
      </c>
      <c r="P1405" s="1" t="s">
        <v>4161</v>
      </c>
      <c r="U1405" s="1" t="s">
        <v>4784</v>
      </c>
      <c r="Z1405" s="1" t="s">
        <v>71</v>
      </c>
      <c r="AE1405" s="1" t="s">
        <v>4786</v>
      </c>
      <c r="AH1405" s="1" t="s">
        <v>73</v>
      </c>
      <c r="AK1405" s="1" t="s">
        <v>71</v>
      </c>
      <c r="AM1405" s="1" t="s">
        <v>71</v>
      </c>
      <c r="AN1405" s="1" t="s">
        <v>71</v>
      </c>
      <c r="AS1405" s="1" t="s">
        <v>71</v>
      </c>
      <c r="AX1405" s="1" t="s">
        <v>71</v>
      </c>
      <c r="AY1405" s="1" t="s">
        <v>59</v>
      </c>
      <c r="AZ1405" s="1" t="s">
        <v>74</v>
      </c>
      <c r="BH1405" s="1" t="s">
        <v>71</v>
      </c>
    </row>
    <row r="1406" customFormat="false" ht="15" hidden="false" customHeight="false" outlineLevel="0" collapsed="false">
      <c r="A1406" s="1" t="s">
        <v>4787</v>
      </c>
      <c r="B1406" s="1" t="s">
        <v>4788</v>
      </c>
      <c r="C1406" s="1" t="s">
        <v>1341</v>
      </c>
      <c r="D1406" s="1" t="s">
        <v>4789</v>
      </c>
      <c r="E1406" s="1" t="s">
        <v>82</v>
      </c>
      <c r="F1406" s="1" t="s">
        <v>391</v>
      </c>
      <c r="G1406" s="1" t="s">
        <v>443</v>
      </c>
      <c r="H1406" s="1" t="s">
        <v>444</v>
      </c>
      <c r="K1406" s="1" t="s">
        <v>61</v>
      </c>
      <c r="L1406" s="1" t="s">
        <v>445</v>
      </c>
      <c r="M1406" s="1" t="s">
        <v>496</v>
      </c>
      <c r="N1406" s="1" t="s">
        <v>4790</v>
      </c>
      <c r="O1406" s="1" t="s">
        <v>4791</v>
      </c>
      <c r="P1406" s="1" t="s">
        <v>4792</v>
      </c>
      <c r="Z1406" s="1" t="s">
        <v>71</v>
      </c>
      <c r="AE1406" s="1" t="s">
        <v>4793</v>
      </c>
      <c r="AH1406" s="1" t="s">
        <v>73</v>
      </c>
      <c r="AK1406" s="1" t="s">
        <v>71</v>
      </c>
      <c r="AM1406" s="1" t="s">
        <v>71</v>
      </c>
      <c r="AN1406" s="1" t="s">
        <v>71</v>
      </c>
      <c r="AS1406" s="1" t="s">
        <v>71</v>
      </c>
      <c r="AX1406" s="1" t="s">
        <v>71</v>
      </c>
      <c r="BH1406" s="1" t="s">
        <v>71</v>
      </c>
    </row>
    <row r="1407" customFormat="false" ht="15" hidden="false" customHeight="false" outlineLevel="0" collapsed="false">
      <c r="A1407" s="1" t="s">
        <v>4794</v>
      </c>
      <c r="B1407" s="1" t="s">
        <v>4795</v>
      </c>
      <c r="C1407" s="1" t="s">
        <v>4796</v>
      </c>
      <c r="D1407" s="1" t="s">
        <v>4797</v>
      </c>
      <c r="E1407" s="1" t="s">
        <v>82</v>
      </c>
      <c r="F1407" s="1" t="s">
        <v>391</v>
      </c>
      <c r="G1407" s="1" t="s">
        <v>443</v>
      </c>
      <c r="H1407" s="1" t="s">
        <v>444</v>
      </c>
      <c r="K1407" s="1" t="s">
        <v>582</v>
      </c>
      <c r="L1407" s="1" t="s">
        <v>860</v>
      </c>
      <c r="M1407" s="1" t="s">
        <v>496</v>
      </c>
      <c r="N1407" s="1" t="s">
        <v>3075</v>
      </c>
      <c r="O1407" s="1" t="s">
        <v>3076</v>
      </c>
      <c r="P1407" s="1" t="s">
        <v>4798</v>
      </c>
      <c r="Z1407" s="1" t="s">
        <v>71</v>
      </c>
      <c r="AE1407" s="1" t="s">
        <v>4799</v>
      </c>
      <c r="AH1407" s="1" t="s">
        <v>73</v>
      </c>
      <c r="AK1407" s="1" t="s">
        <v>71</v>
      </c>
      <c r="AM1407" s="1" t="s">
        <v>71</v>
      </c>
      <c r="AN1407" s="1" t="s">
        <v>71</v>
      </c>
      <c r="AS1407" s="1" t="s">
        <v>71</v>
      </c>
      <c r="AX1407" s="1" t="s">
        <v>71</v>
      </c>
      <c r="BH1407" s="1" t="s">
        <v>71</v>
      </c>
    </row>
    <row r="1408" customFormat="false" ht="15" hidden="false" customHeight="false" outlineLevel="0" collapsed="false">
      <c r="A1408" s="1" t="s">
        <v>4800</v>
      </c>
      <c r="B1408" s="1" t="s">
        <v>4801</v>
      </c>
      <c r="C1408" s="1" t="s">
        <v>4796</v>
      </c>
      <c r="D1408" s="1" t="s">
        <v>4797</v>
      </c>
      <c r="E1408" s="1" t="s">
        <v>82</v>
      </c>
      <c r="F1408" s="1" t="s">
        <v>391</v>
      </c>
      <c r="G1408" s="1" t="s">
        <v>443</v>
      </c>
      <c r="H1408" s="1" t="s">
        <v>444</v>
      </c>
      <c r="K1408" s="1" t="s">
        <v>582</v>
      </c>
      <c r="L1408" s="1" t="s">
        <v>860</v>
      </c>
      <c r="M1408" s="1" t="s">
        <v>496</v>
      </c>
      <c r="N1408" s="1" t="s">
        <v>551</v>
      </c>
      <c r="O1408" s="1" t="s">
        <v>447</v>
      </c>
      <c r="P1408" s="1" t="s">
        <v>3598</v>
      </c>
      <c r="Z1408" s="1" t="s">
        <v>71</v>
      </c>
      <c r="AE1408" s="1" t="s">
        <v>4799</v>
      </c>
      <c r="AH1408" s="1" t="s">
        <v>73</v>
      </c>
      <c r="AK1408" s="1" t="s">
        <v>71</v>
      </c>
      <c r="AM1408" s="1" t="s">
        <v>71</v>
      </c>
      <c r="AN1408" s="1" t="s">
        <v>71</v>
      </c>
      <c r="AS1408" s="1" t="s">
        <v>71</v>
      </c>
      <c r="AX1408" s="1" t="s">
        <v>71</v>
      </c>
      <c r="BH1408" s="1" t="s">
        <v>71</v>
      </c>
    </row>
    <row r="1409" customFormat="false" ht="15" hidden="false" customHeight="false" outlineLevel="0" collapsed="false">
      <c r="A1409" s="1" t="s">
        <v>4802</v>
      </c>
      <c r="B1409" s="1" t="s">
        <v>4803</v>
      </c>
      <c r="C1409" s="1" t="s">
        <v>4804</v>
      </c>
      <c r="D1409" s="1" t="s">
        <v>4805</v>
      </c>
      <c r="E1409" s="1" t="s">
        <v>82</v>
      </c>
      <c r="F1409" s="1" t="s">
        <v>391</v>
      </c>
      <c r="G1409" s="1" t="s">
        <v>443</v>
      </c>
      <c r="H1409" s="1" t="s">
        <v>444</v>
      </c>
      <c r="K1409" s="1" t="s">
        <v>582</v>
      </c>
      <c r="L1409" s="1" t="s">
        <v>860</v>
      </c>
      <c r="M1409" s="1" t="s">
        <v>496</v>
      </c>
      <c r="N1409" s="1" t="s">
        <v>4806</v>
      </c>
      <c r="O1409" s="1" t="s">
        <v>4807</v>
      </c>
      <c r="P1409" s="1" t="s">
        <v>4808</v>
      </c>
      <c r="Z1409" s="1" t="s">
        <v>71</v>
      </c>
      <c r="AE1409" s="1" t="s">
        <v>4799</v>
      </c>
      <c r="AH1409" s="1" t="s">
        <v>73</v>
      </c>
      <c r="AK1409" s="1" t="s">
        <v>71</v>
      </c>
      <c r="AM1409" s="1" t="s">
        <v>71</v>
      </c>
      <c r="AN1409" s="1" t="s">
        <v>71</v>
      </c>
      <c r="AS1409" s="1" t="s">
        <v>71</v>
      </c>
      <c r="AX1409" s="1" t="s">
        <v>71</v>
      </c>
      <c r="BH1409" s="1" t="s">
        <v>71</v>
      </c>
    </row>
    <row r="1410" customFormat="false" ht="15" hidden="false" customHeight="false" outlineLevel="0" collapsed="false">
      <c r="A1410" s="1" t="s">
        <v>4809</v>
      </c>
      <c r="B1410" s="1" t="s">
        <v>4810</v>
      </c>
      <c r="C1410" s="1" t="s">
        <v>1349</v>
      </c>
      <c r="D1410" s="1" t="s">
        <v>4811</v>
      </c>
      <c r="E1410" s="1" t="s">
        <v>82</v>
      </c>
      <c r="F1410" s="1" t="s">
        <v>391</v>
      </c>
      <c r="G1410" s="1" t="s">
        <v>443</v>
      </c>
      <c r="H1410" s="1" t="s">
        <v>444</v>
      </c>
      <c r="K1410" s="1" t="s">
        <v>618</v>
      </c>
      <c r="L1410" s="1" t="s">
        <v>619</v>
      </c>
      <c r="M1410" s="1" t="s">
        <v>2909</v>
      </c>
      <c r="N1410" s="1" t="s">
        <v>4812</v>
      </c>
      <c r="O1410" s="1" t="s">
        <v>4813</v>
      </c>
      <c r="P1410" s="1" t="s">
        <v>4814</v>
      </c>
      <c r="Z1410" s="1" t="s">
        <v>71</v>
      </c>
      <c r="AE1410" s="1" t="s">
        <v>4815</v>
      </c>
      <c r="AH1410" s="1" t="s">
        <v>73</v>
      </c>
      <c r="AK1410" s="1" t="s">
        <v>71</v>
      </c>
      <c r="AM1410" s="1" t="s">
        <v>71</v>
      </c>
      <c r="AN1410" s="1" t="s">
        <v>71</v>
      </c>
      <c r="AS1410" s="1" t="s">
        <v>71</v>
      </c>
      <c r="AX1410" s="1" t="s">
        <v>71</v>
      </c>
      <c r="BH1410" s="1" t="s">
        <v>71</v>
      </c>
    </row>
    <row r="1411" customFormat="false" ht="15" hidden="false" customHeight="false" outlineLevel="0" collapsed="false">
      <c r="A1411" s="1" t="s">
        <v>4816</v>
      </c>
      <c r="B1411" s="1" t="s">
        <v>4817</v>
      </c>
      <c r="C1411" s="1" t="s">
        <v>4818</v>
      </c>
      <c r="D1411" s="1" t="s">
        <v>4819</v>
      </c>
      <c r="E1411" s="1" t="s">
        <v>61</v>
      </c>
      <c r="F1411" s="1" t="s">
        <v>101</v>
      </c>
      <c r="G1411" s="1" t="s">
        <v>275</v>
      </c>
      <c r="H1411" s="1" t="s">
        <v>276</v>
      </c>
      <c r="K1411" s="1" t="s">
        <v>1479</v>
      </c>
      <c r="L1411" s="1" t="s">
        <v>1480</v>
      </c>
      <c r="M1411" s="1" t="s">
        <v>296</v>
      </c>
      <c r="N1411" s="1" t="s">
        <v>1365</v>
      </c>
      <c r="O1411" s="1" t="s">
        <v>1366</v>
      </c>
      <c r="P1411" s="1" t="s">
        <v>4820</v>
      </c>
      <c r="U1411" s="1" t="s">
        <v>4816</v>
      </c>
      <c r="Z1411" s="1" t="s">
        <v>71</v>
      </c>
      <c r="AE1411" s="1" t="s">
        <v>4821</v>
      </c>
      <c r="AH1411" s="1" t="s">
        <v>73</v>
      </c>
      <c r="AK1411" s="1" t="s">
        <v>71</v>
      </c>
      <c r="AM1411" s="1" t="s">
        <v>71</v>
      </c>
      <c r="AN1411" s="1" t="s">
        <v>71</v>
      </c>
      <c r="AS1411" s="1" t="s">
        <v>71</v>
      </c>
      <c r="AX1411" s="1" t="s">
        <v>71</v>
      </c>
      <c r="AY1411" s="1" t="s">
        <v>59</v>
      </c>
      <c r="AZ1411" s="1" t="s">
        <v>74</v>
      </c>
      <c r="BH1411" s="1" t="s">
        <v>71</v>
      </c>
    </row>
    <row r="1412" customFormat="false" ht="15" hidden="false" customHeight="false" outlineLevel="0" collapsed="false">
      <c r="A1412" s="1" t="s">
        <v>4822</v>
      </c>
      <c r="B1412" s="1" t="s">
        <v>4823</v>
      </c>
      <c r="C1412" s="1" t="s">
        <v>4818</v>
      </c>
      <c r="D1412" s="1" t="s">
        <v>4819</v>
      </c>
      <c r="E1412" s="1" t="s">
        <v>61</v>
      </c>
      <c r="F1412" s="1" t="s">
        <v>101</v>
      </c>
      <c r="G1412" s="1" t="s">
        <v>275</v>
      </c>
      <c r="H1412" s="1" t="s">
        <v>276</v>
      </c>
      <c r="K1412" s="1" t="s">
        <v>142</v>
      </c>
      <c r="L1412" s="1" t="s">
        <v>295</v>
      </c>
      <c r="M1412" s="1" t="s">
        <v>296</v>
      </c>
      <c r="N1412" s="1" t="s">
        <v>1470</v>
      </c>
      <c r="O1412" s="1" t="s">
        <v>1471</v>
      </c>
      <c r="P1412" s="1" t="s">
        <v>4824</v>
      </c>
      <c r="U1412" s="1" t="s">
        <v>4822</v>
      </c>
      <c r="Z1412" s="1" t="s">
        <v>71</v>
      </c>
      <c r="AE1412" s="1" t="s">
        <v>4821</v>
      </c>
      <c r="AH1412" s="1" t="s">
        <v>73</v>
      </c>
      <c r="AK1412" s="1" t="s">
        <v>71</v>
      </c>
      <c r="AM1412" s="1" t="s">
        <v>71</v>
      </c>
      <c r="AN1412" s="1" t="s">
        <v>71</v>
      </c>
      <c r="AS1412" s="1" t="s">
        <v>71</v>
      </c>
      <c r="AX1412" s="1" t="s">
        <v>71</v>
      </c>
      <c r="AY1412" s="1" t="s">
        <v>59</v>
      </c>
      <c r="AZ1412" s="1" t="s">
        <v>74</v>
      </c>
      <c r="BH1412" s="1" t="s">
        <v>71</v>
      </c>
    </row>
    <row r="1413" customFormat="false" ht="15" hidden="false" customHeight="false" outlineLevel="0" collapsed="false">
      <c r="A1413" s="1" t="s">
        <v>4825</v>
      </c>
      <c r="B1413" s="1" t="s">
        <v>4826</v>
      </c>
      <c r="C1413" s="1" t="s">
        <v>2300</v>
      </c>
      <c r="D1413" s="1" t="s">
        <v>3584</v>
      </c>
      <c r="E1413" s="1" t="s">
        <v>61</v>
      </c>
      <c r="F1413" s="1" t="s">
        <v>101</v>
      </c>
      <c r="G1413" s="1" t="s">
        <v>148</v>
      </c>
      <c r="H1413" s="1" t="s">
        <v>231</v>
      </c>
      <c r="K1413" s="1" t="s">
        <v>144</v>
      </c>
      <c r="L1413" s="1" t="s">
        <v>1654</v>
      </c>
      <c r="M1413" s="1" t="s">
        <v>242</v>
      </c>
      <c r="N1413" s="1" t="s">
        <v>243</v>
      </c>
      <c r="O1413" s="1" t="s">
        <v>244</v>
      </c>
      <c r="P1413" s="1" t="s">
        <v>3503</v>
      </c>
      <c r="U1413" s="1" t="s">
        <v>263</v>
      </c>
      <c r="Z1413" s="1" t="s">
        <v>71</v>
      </c>
      <c r="AE1413" s="1" t="s">
        <v>4827</v>
      </c>
      <c r="AH1413" s="1" t="s">
        <v>73</v>
      </c>
      <c r="AK1413" s="1" t="s">
        <v>71</v>
      </c>
      <c r="AM1413" s="1" t="s">
        <v>71</v>
      </c>
      <c r="AN1413" s="1" t="s">
        <v>71</v>
      </c>
      <c r="AS1413" s="1" t="s">
        <v>71</v>
      </c>
      <c r="AX1413" s="1" t="s">
        <v>71</v>
      </c>
      <c r="AY1413" s="1" t="s">
        <v>59</v>
      </c>
      <c r="AZ1413" s="1" t="s">
        <v>74</v>
      </c>
      <c r="BH1413" s="1" t="s">
        <v>71</v>
      </c>
    </row>
    <row r="1414" customFormat="false" ht="15" hidden="false" customHeight="false" outlineLevel="0" collapsed="false">
      <c r="A1414" s="1" t="s">
        <v>4828</v>
      </c>
      <c r="B1414" s="1" t="s">
        <v>4829</v>
      </c>
      <c r="C1414" s="1" t="s">
        <v>969</v>
      </c>
      <c r="D1414" s="1" t="s">
        <v>3352</v>
      </c>
      <c r="E1414" s="1" t="s">
        <v>82</v>
      </c>
      <c r="F1414" s="1" t="s">
        <v>391</v>
      </c>
      <c r="G1414" s="1" t="s">
        <v>443</v>
      </c>
      <c r="H1414" s="1" t="s">
        <v>444</v>
      </c>
      <c r="K1414" s="1" t="s">
        <v>582</v>
      </c>
      <c r="L1414" s="1" t="s">
        <v>860</v>
      </c>
      <c r="M1414" s="1" t="s">
        <v>496</v>
      </c>
      <c r="N1414" s="1" t="s">
        <v>4830</v>
      </c>
      <c r="O1414" s="1" t="s">
        <v>4831</v>
      </c>
      <c r="P1414" s="1" t="s">
        <v>4832</v>
      </c>
      <c r="Z1414" s="1" t="s">
        <v>71</v>
      </c>
      <c r="AE1414" s="1" t="s">
        <v>4833</v>
      </c>
      <c r="AH1414" s="1" t="s">
        <v>73</v>
      </c>
      <c r="AK1414" s="1" t="s">
        <v>71</v>
      </c>
      <c r="AM1414" s="1" t="s">
        <v>71</v>
      </c>
      <c r="AN1414" s="1" t="s">
        <v>71</v>
      </c>
      <c r="AS1414" s="1" t="s">
        <v>71</v>
      </c>
      <c r="AX1414" s="1" t="s">
        <v>71</v>
      </c>
      <c r="BH1414" s="1" t="s">
        <v>71</v>
      </c>
    </row>
    <row r="1415" customFormat="false" ht="15" hidden="false" customHeight="false" outlineLevel="0" collapsed="false">
      <c r="A1415" s="1" t="s">
        <v>4834</v>
      </c>
      <c r="B1415" s="1" t="s">
        <v>4835</v>
      </c>
      <c r="C1415" s="1" t="s">
        <v>982</v>
      </c>
      <c r="D1415" s="1" t="s">
        <v>3410</v>
      </c>
      <c r="E1415" s="1" t="s">
        <v>82</v>
      </c>
      <c r="F1415" s="1" t="s">
        <v>391</v>
      </c>
      <c r="G1415" s="1" t="s">
        <v>443</v>
      </c>
      <c r="H1415" s="1" t="s">
        <v>444</v>
      </c>
      <c r="K1415" s="1" t="s">
        <v>582</v>
      </c>
      <c r="L1415" s="1" t="s">
        <v>860</v>
      </c>
      <c r="M1415" s="1" t="s">
        <v>496</v>
      </c>
      <c r="N1415" s="1" t="s">
        <v>4836</v>
      </c>
      <c r="O1415" s="1" t="s">
        <v>4837</v>
      </c>
      <c r="P1415" s="1" t="s">
        <v>4838</v>
      </c>
      <c r="Z1415" s="1" t="s">
        <v>71</v>
      </c>
      <c r="AE1415" s="1" t="s">
        <v>4833</v>
      </c>
      <c r="AH1415" s="1" t="s">
        <v>73</v>
      </c>
      <c r="AK1415" s="1" t="s">
        <v>71</v>
      </c>
      <c r="AM1415" s="1" t="s">
        <v>71</v>
      </c>
      <c r="AN1415" s="1" t="s">
        <v>71</v>
      </c>
      <c r="AS1415" s="1" t="s">
        <v>71</v>
      </c>
      <c r="AX1415" s="1" t="s">
        <v>71</v>
      </c>
      <c r="BH1415" s="1" t="s">
        <v>71</v>
      </c>
    </row>
    <row r="1416" customFormat="false" ht="15" hidden="false" customHeight="false" outlineLevel="0" collapsed="false">
      <c r="A1416" s="1" t="s">
        <v>4839</v>
      </c>
      <c r="B1416" s="1" t="s">
        <v>4840</v>
      </c>
      <c r="C1416" s="1" t="s">
        <v>1038</v>
      </c>
      <c r="D1416" s="1" t="s">
        <v>3170</v>
      </c>
      <c r="E1416" s="1" t="s">
        <v>82</v>
      </c>
      <c r="F1416" s="1" t="s">
        <v>391</v>
      </c>
      <c r="G1416" s="1" t="s">
        <v>443</v>
      </c>
      <c r="H1416" s="1" t="s">
        <v>444</v>
      </c>
      <c r="K1416" s="1" t="s">
        <v>582</v>
      </c>
      <c r="L1416" s="1" t="s">
        <v>860</v>
      </c>
      <c r="M1416" s="1" t="s">
        <v>496</v>
      </c>
      <c r="N1416" s="1" t="s">
        <v>3225</v>
      </c>
      <c r="O1416" s="1" t="s">
        <v>3226</v>
      </c>
      <c r="P1416" s="1" t="s">
        <v>4479</v>
      </c>
      <c r="Z1416" s="1" t="s">
        <v>71</v>
      </c>
      <c r="AE1416" s="1" t="s">
        <v>4833</v>
      </c>
      <c r="AH1416" s="1" t="s">
        <v>73</v>
      </c>
      <c r="AK1416" s="1" t="s">
        <v>71</v>
      </c>
      <c r="AM1416" s="1" t="s">
        <v>71</v>
      </c>
      <c r="AN1416" s="1" t="s">
        <v>71</v>
      </c>
      <c r="AS1416" s="1" t="s">
        <v>71</v>
      </c>
      <c r="AX1416" s="1" t="s">
        <v>71</v>
      </c>
      <c r="BH1416" s="1" t="s">
        <v>71</v>
      </c>
    </row>
    <row r="1417" customFormat="false" ht="15" hidden="false" customHeight="false" outlineLevel="0" collapsed="false">
      <c r="A1417" s="1" t="s">
        <v>4841</v>
      </c>
      <c r="B1417" s="1" t="s">
        <v>4842</v>
      </c>
      <c r="C1417" s="1" t="s">
        <v>150</v>
      </c>
      <c r="D1417" s="1" t="s">
        <v>405</v>
      </c>
      <c r="E1417" s="1" t="s">
        <v>82</v>
      </c>
      <c r="F1417" s="1" t="s">
        <v>391</v>
      </c>
      <c r="G1417" s="1" t="s">
        <v>97</v>
      </c>
      <c r="H1417" s="1" t="s">
        <v>406</v>
      </c>
      <c r="K1417" s="1" t="s">
        <v>453</v>
      </c>
      <c r="L1417" s="1" t="s">
        <v>454</v>
      </c>
      <c r="M1417" s="1" t="s">
        <v>496</v>
      </c>
      <c r="N1417" s="1" t="s">
        <v>409</v>
      </c>
      <c r="O1417" s="1" t="s">
        <v>410</v>
      </c>
      <c r="P1417" s="1" t="s">
        <v>4843</v>
      </c>
      <c r="Z1417" s="1" t="s">
        <v>71</v>
      </c>
      <c r="AE1417" s="1" t="s">
        <v>4844</v>
      </c>
      <c r="AH1417" s="1" t="s">
        <v>73</v>
      </c>
      <c r="AK1417" s="1" t="s">
        <v>71</v>
      </c>
      <c r="AM1417" s="1" t="s">
        <v>71</v>
      </c>
      <c r="AN1417" s="1" t="s">
        <v>71</v>
      </c>
      <c r="AS1417" s="1" t="s">
        <v>71</v>
      </c>
      <c r="AX1417" s="1" t="s">
        <v>71</v>
      </c>
      <c r="BH1417" s="1" t="s">
        <v>71</v>
      </c>
    </row>
    <row r="1418" customFormat="false" ht="15" hidden="false" customHeight="false" outlineLevel="0" collapsed="false">
      <c r="A1418" s="1" t="s">
        <v>4845</v>
      </c>
      <c r="B1418" s="1" t="s">
        <v>4846</v>
      </c>
      <c r="C1418" s="1" t="s">
        <v>1361</v>
      </c>
      <c r="D1418" s="1" t="s">
        <v>4847</v>
      </c>
      <c r="E1418" s="1" t="s">
        <v>82</v>
      </c>
      <c r="F1418" s="1" t="s">
        <v>391</v>
      </c>
      <c r="G1418" s="1" t="s">
        <v>97</v>
      </c>
      <c r="H1418" s="1" t="s">
        <v>406</v>
      </c>
      <c r="K1418" s="1" t="s">
        <v>65</v>
      </c>
      <c r="L1418" s="1" t="s">
        <v>860</v>
      </c>
      <c r="M1418" s="1" t="s">
        <v>496</v>
      </c>
      <c r="N1418" s="1" t="s">
        <v>861</v>
      </c>
      <c r="O1418" s="1" t="s">
        <v>862</v>
      </c>
      <c r="P1418" s="1" t="s">
        <v>4122</v>
      </c>
      <c r="Z1418" s="1" t="s">
        <v>71</v>
      </c>
      <c r="AE1418" s="1" t="s">
        <v>4848</v>
      </c>
      <c r="AH1418" s="1" t="s">
        <v>73</v>
      </c>
      <c r="AK1418" s="1" t="s">
        <v>71</v>
      </c>
      <c r="AM1418" s="1" t="s">
        <v>71</v>
      </c>
      <c r="AN1418" s="1" t="s">
        <v>71</v>
      </c>
      <c r="AS1418" s="1" t="s">
        <v>71</v>
      </c>
      <c r="AX1418" s="1" t="s">
        <v>71</v>
      </c>
      <c r="BH1418" s="1" t="s">
        <v>71</v>
      </c>
    </row>
    <row r="1419" customFormat="false" ht="15" hidden="false" customHeight="false" outlineLevel="0" collapsed="false">
      <c r="A1419" s="1" t="s">
        <v>4849</v>
      </c>
      <c r="B1419" s="1" t="s">
        <v>4850</v>
      </c>
      <c r="C1419" s="1" t="s">
        <v>4851</v>
      </c>
      <c r="D1419" s="1" t="s">
        <v>4852</v>
      </c>
      <c r="E1419" s="1" t="s">
        <v>61</v>
      </c>
      <c r="F1419" s="1" t="s">
        <v>101</v>
      </c>
      <c r="G1419" s="1" t="s">
        <v>108</v>
      </c>
      <c r="H1419" s="1" t="s">
        <v>1495</v>
      </c>
      <c r="K1419" s="1" t="s">
        <v>102</v>
      </c>
      <c r="L1419" s="1" t="s">
        <v>4853</v>
      </c>
      <c r="M1419" s="1" t="s">
        <v>278</v>
      </c>
      <c r="N1419" s="1" t="s">
        <v>4854</v>
      </c>
      <c r="O1419" s="1" t="s">
        <v>4855</v>
      </c>
      <c r="P1419" s="1" t="s">
        <v>4856</v>
      </c>
      <c r="U1419" s="1" t="s">
        <v>4849</v>
      </c>
      <c r="Z1419" s="1" t="s">
        <v>71</v>
      </c>
      <c r="AE1419" s="1" t="s">
        <v>4848</v>
      </c>
      <c r="AH1419" s="1" t="s">
        <v>73</v>
      </c>
      <c r="AK1419" s="1" t="s">
        <v>71</v>
      </c>
      <c r="AM1419" s="1" t="s">
        <v>71</v>
      </c>
      <c r="AN1419" s="1" t="s">
        <v>71</v>
      </c>
      <c r="AS1419" s="1" t="s">
        <v>71</v>
      </c>
      <c r="AX1419" s="1" t="s">
        <v>71</v>
      </c>
      <c r="AY1419" s="1" t="s">
        <v>59</v>
      </c>
      <c r="AZ1419" s="1" t="s">
        <v>74</v>
      </c>
      <c r="BH1419" s="1" t="s">
        <v>71</v>
      </c>
    </row>
    <row r="1420" customFormat="false" ht="15" hidden="false" customHeight="false" outlineLevel="0" collapsed="false">
      <c r="A1420" s="1" t="s">
        <v>4857</v>
      </c>
      <c r="B1420" s="1" t="s">
        <v>4858</v>
      </c>
      <c r="C1420" s="1" t="s">
        <v>969</v>
      </c>
      <c r="D1420" s="1" t="s">
        <v>3352</v>
      </c>
      <c r="E1420" s="1" t="s">
        <v>82</v>
      </c>
      <c r="F1420" s="1" t="s">
        <v>391</v>
      </c>
      <c r="G1420" s="1" t="s">
        <v>443</v>
      </c>
      <c r="H1420" s="1" t="s">
        <v>444</v>
      </c>
      <c r="K1420" s="1" t="s">
        <v>618</v>
      </c>
      <c r="L1420" s="1" t="s">
        <v>619</v>
      </c>
      <c r="M1420" s="1" t="s">
        <v>496</v>
      </c>
      <c r="N1420" s="1" t="s">
        <v>4859</v>
      </c>
      <c r="O1420" s="1" t="s">
        <v>400</v>
      </c>
      <c r="P1420" s="1" t="s">
        <v>4860</v>
      </c>
      <c r="Z1420" s="1" t="s">
        <v>71</v>
      </c>
      <c r="AE1420" s="1" t="s">
        <v>4861</v>
      </c>
      <c r="AH1420" s="1" t="s">
        <v>73</v>
      </c>
      <c r="AK1420" s="1" t="s">
        <v>71</v>
      </c>
      <c r="AM1420" s="1" t="s">
        <v>71</v>
      </c>
      <c r="AN1420" s="1" t="s">
        <v>71</v>
      </c>
      <c r="AS1420" s="1" t="s">
        <v>71</v>
      </c>
      <c r="AX1420" s="1" t="s">
        <v>71</v>
      </c>
      <c r="BH1420" s="1" t="s">
        <v>71</v>
      </c>
    </row>
    <row r="1421" customFormat="false" ht="15" hidden="false" customHeight="false" outlineLevel="0" collapsed="false">
      <c r="A1421" s="1" t="s">
        <v>4862</v>
      </c>
      <c r="B1421" s="1" t="s">
        <v>4863</v>
      </c>
      <c r="C1421" s="1" t="s">
        <v>4864</v>
      </c>
      <c r="D1421" s="1" t="s">
        <v>4865</v>
      </c>
      <c r="E1421" s="1" t="s">
        <v>82</v>
      </c>
      <c r="F1421" s="1" t="s">
        <v>391</v>
      </c>
      <c r="G1421" s="1" t="s">
        <v>213</v>
      </c>
      <c r="H1421" s="1" t="s">
        <v>477</v>
      </c>
      <c r="K1421" s="1" t="s">
        <v>1904</v>
      </c>
      <c r="L1421" s="1" t="s">
        <v>1905</v>
      </c>
      <c r="M1421" s="1" t="s">
        <v>496</v>
      </c>
      <c r="N1421" s="1" t="s">
        <v>518</v>
      </c>
      <c r="O1421" s="1" t="s">
        <v>519</v>
      </c>
      <c r="P1421" s="1" t="s">
        <v>4181</v>
      </c>
      <c r="Z1421" s="1" t="s">
        <v>71</v>
      </c>
      <c r="AE1421" s="1" t="s">
        <v>4866</v>
      </c>
      <c r="AH1421" s="1" t="s">
        <v>73</v>
      </c>
      <c r="AK1421" s="1" t="s">
        <v>71</v>
      </c>
      <c r="AM1421" s="1" t="s">
        <v>71</v>
      </c>
      <c r="AN1421" s="1" t="s">
        <v>71</v>
      </c>
      <c r="AS1421" s="1" t="s">
        <v>71</v>
      </c>
      <c r="AX1421" s="1" t="s">
        <v>71</v>
      </c>
      <c r="BH1421" s="1" t="s">
        <v>71</v>
      </c>
    </row>
    <row r="1422" customFormat="false" ht="15" hidden="false" customHeight="false" outlineLevel="0" collapsed="false">
      <c r="A1422" s="1" t="s">
        <v>4867</v>
      </c>
      <c r="B1422" s="1" t="s">
        <v>4868</v>
      </c>
      <c r="C1422" s="1" t="s">
        <v>288</v>
      </c>
      <c r="D1422" s="1" t="s">
        <v>289</v>
      </c>
      <c r="E1422" s="1" t="s">
        <v>61</v>
      </c>
      <c r="F1422" s="1" t="s">
        <v>101</v>
      </c>
      <c r="G1422" s="1" t="s">
        <v>93</v>
      </c>
      <c r="H1422" s="1" t="s">
        <v>64</v>
      </c>
      <c r="K1422" s="1" t="s">
        <v>213</v>
      </c>
      <c r="L1422" s="1" t="s">
        <v>700</v>
      </c>
      <c r="M1422" s="1" t="s">
        <v>310</v>
      </c>
      <c r="N1422" s="1" t="s">
        <v>701</v>
      </c>
      <c r="O1422" s="1" t="s">
        <v>702</v>
      </c>
      <c r="P1422" s="1" t="s">
        <v>4869</v>
      </c>
      <c r="U1422" s="1" t="s">
        <v>4867</v>
      </c>
      <c r="Z1422" s="1" t="s">
        <v>71</v>
      </c>
      <c r="AE1422" s="1" t="s">
        <v>4870</v>
      </c>
      <c r="AH1422" s="1" t="s">
        <v>73</v>
      </c>
      <c r="AK1422" s="1" t="s">
        <v>71</v>
      </c>
      <c r="AM1422" s="1" t="s">
        <v>71</v>
      </c>
      <c r="AN1422" s="1" t="s">
        <v>71</v>
      </c>
      <c r="AS1422" s="1" t="s">
        <v>71</v>
      </c>
      <c r="AX1422" s="1" t="s">
        <v>71</v>
      </c>
      <c r="AY1422" s="1" t="s">
        <v>59</v>
      </c>
      <c r="AZ1422" s="1" t="s">
        <v>74</v>
      </c>
      <c r="BH1422" s="1" t="s">
        <v>71</v>
      </c>
    </row>
    <row r="1423" customFormat="false" ht="15" hidden="false" customHeight="false" outlineLevel="0" collapsed="false">
      <c r="A1423" s="1" t="s">
        <v>4871</v>
      </c>
      <c r="B1423" s="1" t="s">
        <v>4872</v>
      </c>
      <c r="C1423" s="1" t="s">
        <v>288</v>
      </c>
      <c r="D1423" s="1" t="s">
        <v>289</v>
      </c>
      <c r="E1423" s="1" t="s">
        <v>61</v>
      </c>
      <c r="F1423" s="1" t="s">
        <v>101</v>
      </c>
      <c r="G1423" s="1" t="s">
        <v>93</v>
      </c>
      <c r="H1423" s="1" t="s">
        <v>64</v>
      </c>
      <c r="K1423" s="1" t="s">
        <v>201</v>
      </c>
      <c r="L1423" s="1" t="s">
        <v>4102</v>
      </c>
      <c r="M1423" s="1" t="s">
        <v>104</v>
      </c>
      <c r="N1423" s="1" t="s">
        <v>105</v>
      </c>
      <c r="O1423" s="1" t="s">
        <v>106</v>
      </c>
      <c r="P1423" s="1" t="s">
        <v>3539</v>
      </c>
      <c r="U1423" s="1" t="s">
        <v>4871</v>
      </c>
      <c r="Z1423" s="1" t="s">
        <v>71</v>
      </c>
      <c r="AE1423" s="1" t="s">
        <v>4870</v>
      </c>
      <c r="AH1423" s="1" t="s">
        <v>73</v>
      </c>
      <c r="AK1423" s="1" t="s">
        <v>71</v>
      </c>
      <c r="AM1423" s="1" t="s">
        <v>71</v>
      </c>
      <c r="AN1423" s="1" t="s">
        <v>71</v>
      </c>
      <c r="AS1423" s="1" t="s">
        <v>71</v>
      </c>
      <c r="AX1423" s="1" t="s">
        <v>71</v>
      </c>
      <c r="AY1423" s="1" t="s">
        <v>59</v>
      </c>
      <c r="AZ1423" s="1" t="s">
        <v>74</v>
      </c>
      <c r="BH1423" s="1" t="s">
        <v>71</v>
      </c>
    </row>
    <row r="1424" customFormat="false" ht="15" hidden="false" customHeight="false" outlineLevel="0" collapsed="false">
      <c r="A1424" s="1" t="s">
        <v>4873</v>
      </c>
      <c r="B1424" s="1" t="s">
        <v>4874</v>
      </c>
      <c r="C1424" s="1" t="s">
        <v>288</v>
      </c>
      <c r="D1424" s="1" t="s">
        <v>289</v>
      </c>
      <c r="E1424" s="1" t="s">
        <v>61</v>
      </c>
      <c r="F1424" s="1" t="s">
        <v>101</v>
      </c>
      <c r="G1424" s="1" t="s">
        <v>134</v>
      </c>
      <c r="H1424" s="1" t="s">
        <v>4875</v>
      </c>
      <c r="K1424" s="1" t="s">
        <v>293</v>
      </c>
      <c r="L1424" s="1" t="s">
        <v>4876</v>
      </c>
      <c r="M1424" s="1" t="s">
        <v>1555</v>
      </c>
      <c r="N1424" s="1" t="s">
        <v>105</v>
      </c>
      <c r="O1424" s="1" t="s">
        <v>106</v>
      </c>
      <c r="P1424" s="1" t="s">
        <v>3539</v>
      </c>
      <c r="U1424" s="1" t="s">
        <v>4873</v>
      </c>
      <c r="Z1424" s="1" t="s">
        <v>71</v>
      </c>
      <c r="AE1424" s="1" t="s">
        <v>4870</v>
      </c>
      <c r="AH1424" s="1" t="s">
        <v>73</v>
      </c>
      <c r="AK1424" s="1" t="s">
        <v>71</v>
      </c>
      <c r="AM1424" s="1" t="s">
        <v>71</v>
      </c>
      <c r="AN1424" s="1" t="s">
        <v>71</v>
      </c>
      <c r="AS1424" s="1" t="s">
        <v>71</v>
      </c>
      <c r="AX1424" s="1" t="s">
        <v>71</v>
      </c>
      <c r="AY1424" s="1" t="s">
        <v>59</v>
      </c>
      <c r="AZ1424" s="1" t="s">
        <v>74</v>
      </c>
      <c r="BH1424" s="1" t="s">
        <v>71</v>
      </c>
    </row>
    <row r="1425" customFormat="false" ht="15" hidden="false" customHeight="false" outlineLevel="0" collapsed="false">
      <c r="A1425" s="1" t="s">
        <v>4877</v>
      </c>
      <c r="B1425" s="1" t="s">
        <v>4878</v>
      </c>
      <c r="C1425" s="1" t="s">
        <v>969</v>
      </c>
      <c r="D1425" s="1" t="s">
        <v>3352</v>
      </c>
      <c r="E1425" s="1" t="s">
        <v>82</v>
      </c>
      <c r="F1425" s="1" t="s">
        <v>391</v>
      </c>
      <c r="G1425" s="1" t="s">
        <v>443</v>
      </c>
      <c r="H1425" s="1" t="s">
        <v>444</v>
      </c>
      <c r="K1425" s="1" t="s">
        <v>61</v>
      </c>
      <c r="L1425" s="1" t="s">
        <v>445</v>
      </c>
      <c r="M1425" s="1" t="s">
        <v>496</v>
      </c>
      <c r="N1425" s="1" t="s">
        <v>4879</v>
      </c>
      <c r="O1425" s="1" t="s">
        <v>4880</v>
      </c>
      <c r="P1425" s="1" t="s">
        <v>4881</v>
      </c>
      <c r="Z1425" s="1" t="s">
        <v>71</v>
      </c>
      <c r="AE1425" s="1" t="s">
        <v>4882</v>
      </c>
      <c r="AH1425" s="1" t="s">
        <v>73</v>
      </c>
      <c r="AK1425" s="1" t="s">
        <v>71</v>
      </c>
      <c r="AM1425" s="1" t="s">
        <v>71</v>
      </c>
      <c r="AN1425" s="1" t="s">
        <v>71</v>
      </c>
      <c r="AS1425" s="1" t="s">
        <v>71</v>
      </c>
      <c r="AX1425" s="1" t="s">
        <v>71</v>
      </c>
      <c r="BH1425" s="1" t="s">
        <v>71</v>
      </c>
    </row>
    <row r="1426" customFormat="false" ht="15" hidden="false" customHeight="false" outlineLevel="0" collapsed="false">
      <c r="A1426" s="1" t="s">
        <v>4883</v>
      </c>
      <c r="B1426" s="1" t="s">
        <v>4884</v>
      </c>
      <c r="C1426" s="1" t="s">
        <v>520</v>
      </c>
      <c r="D1426" s="1" t="s">
        <v>1678</v>
      </c>
      <c r="E1426" s="1" t="s">
        <v>82</v>
      </c>
      <c r="F1426" s="1" t="s">
        <v>391</v>
      </c>
      <c r="G1426" s="1" t="s">
        <v>443</v>
      </c>
      <c r="H1426" s="1" t="s">
        <v>444</v>
      </c>
      <c r="K1426" s="1" t="s">
        <v>61</v>
      </c>
      <c r="L1426" s="1" t="s">
        <v>445</v>
      </c>
      <c r="M1426" s="1" t="s">
        <v>4885</v>
      </c>
      <c r="N1426" s="1" t="s">
        <v>4886</v>
      </c>
      <c r="O1426" s="1" t="s">
        <v>447</v>
      </c>
      <c r="P1426" s="1" t="s">
        <v>4887</v>
      </c>
      <c r="Z1426" s="1" t="s">
        <v>71</v>
      </c>
      <c r="AE1426" s="1" t="s">
        <v>4882</v>
      </c>
      <c r="AH1426" s="1" t="s">
        <v>73</v>
      </c>
      <c r="AK1426" s="1" t="s">
        <v>71</v>
      </c>
      <c r="AM1426" s="1" t="s">
        <v>71</v>
      </c>
      <c r="AN1426" s="1" t="s">
        <v>71</v>
      </c>
      <c r="AS1426" s="1" t="s">
        <v>71</v>
      </c>
      <c r="AX1426" s="1" t="s">
        <v>71</v>
      </c>
      <c r="BH1426" s="1" t="s">
        <v>71</v>
      </c>
    </row>
    <row r="1427" customFormat="false" ht="15" hidden="false" customHeight="false" outlineLevel="0" collapsed="false">
      <c r="A1427" s="1" t="s">
        <v>4888</v>
      </c>
      <c r="B1427" s="1" t="s">
        <v>4889</v>
      </c>
      <c r="C1427" s="1" t="s">
        <v>969</v>
      </c>
      <c r="D1427" s="1" t="s">
        <v>3352</v>
      </c>
      <c r="E1427" s="1" t="s">
        <v>82</v>
      </c>
      <c r="F1427" s="1" t="s">
        <v>391</v>
      </c>
      <c r="G1427" s="1" t="s">
        <v>443</v>
      </c>
      <c r="H1427" s="1" t="s">
        <v>444</v>
      </c>
      <c r="K1427" s="1" t="s">
        <v>61</v>
      </c>
      <c r="L1427" s="1" t="s">
        <v>445</v>
      </c>
      <c r="M1427" s="1" t="s">
        <v>496</v>
      </c>
      <c r="N1427" s="1" t="s">
        <v>4890</v>
      </c>
      <c r="O1427" s="1" t="s">
        <v>447</v>
      </c>
      <c r="P1427" s="1" t="s">
        <v>4891</v>
      </c>
      <c r="Z1427" s="1" t="s">
        <v>71</v>
      </c>
      <c r="AE1427" s="1" t="s">
        <v>4882</v>
      </c>
      <c r="AH1427" s="1" t="s">
        <v>73</v>
      </c>
      <c r="AK1427" s="1" t="s">
        <v>71</v>
      </c>
      <c r="AM1427" s="1" t="s">
        <v>71</v>
      </c>
      <c r="AN1427" s="1" t="s">
        <v>71</v>
      </c>
      <c r="AS1427" s="1" t="s">
        <v>71</v>
      </c>
      <c r="AX1427" s="1" t="s">
        <v>71</v>
      </c>
      <c r="BH1427" s="1" t="s">
        <v>71</v>
      </c>
    </row>
    <row r="1428" customFormat="false" ht="15" hidden="false" customHeight="false" outlineLevel="0" collapsed="false">
      <c r="A1428" s="1" t="s">
        <v>4892</v>
      </c>
      <c r="B1428" s="1" t="s">
        <v>4893</v>
      </c>
      <c r="C1428" s="1" t="s">
        <v>4818</v>
      </c>
      <c r="D1428" s="1" t="s">
        <v>4819</v>
      </c>
      <c r="E1428" s="1" t="s">
        <v>61</v>
      </c>
      <c r="F1428" s="1" t="s">
        <v>101</v>
      </c>
      <c r="G1428" s="1" t="s">
        <v>275</v>
      </c>
      <c r="H1428" s="1" t="s">
        <v>276</v>
      </c>
      <c r="K1428" s="1" t="s">
        <v>126</v>
      </c>
      <c r="L1428" s="1" t="s">
        <v>4894</v>
      </c>
      <c r="M1428" s="1" t="s">
        <v>296</v>
      </c>
      <c r="N1428" s="1" t="s">
        <v>279</v>
      </c>
      <c r="O1428" s="1" t="s">
        <v>280</v>
      </c>
      <c r="P1428" s="1" t="s">
        <v>4895</v>
      </c>
      <c r="U1428" s="1" t="s">
        <v>4892</v>
      </c>
      <c r="Z1428" s="1" t="s">
        <v>71</v>
      </c>
      <c r="AE1428" s="1" t="s">
        <v>4896</v>
      </c>
      <c r="AH1428" s="1" t="s">
        <v>73</v>
      </c>
      <c r="AK1428" s="1" t="s">
        <v>71</v>
      </c>
      <c r="AM1428" s="1" t="s">
        <v>71</v>
      </c>
      <c r="AN1428" s="1" t="s">
        <v>71</v>
      </c>
      <c r="AS1428" s="1" t="s">
        <v>71</v>
      </c>
      <c r="AX1428" s="1" t="s">
        <v>71</v>
      </c>
      <c r="AY1428" s="1" t="s">
        <v>59</v>
      </c>
      <c r="AZ1428" s="1" t="s">
        <v>74</v>
      </c>
      <c r="BH1428" s="1" t="s">
        <v>71</v>
      </c>
    </row>
    <row r="1429" customFormat="false" ht="15" hidden="false" customHeight="false" outlineLevel="0" collapsed="false">
      <c r="A1429" s="1" t="s">
        <v>4897</v>
      </c>
      <c r="B1429" s="1" t="s">
        <v>4898</v>
      </c>
      <c r="C1429" s="1" t="s">
        <v>4899</v>
      </c>
      <c r="D1429" s="1" t="s">
        <v>4900</v>
      </c>
      <c r="E1429" s="1" t="s">
        <v>82</v>
      </c>
      <c r="F1429" s="1" t="s">
        <v>391</v>
      </c>
      <c r="G1429" s="1" t="s">
        <v>182</v>
      </c>
      <c r="H1429" s="1" t="s">
        <v>392</v>
      </c>
      <c r="K1429" s="1" t="s">
        <v>65</v>
      </c>
      <c r="L1429" s="1" t="s">
        <v>517</v>
      </c>
      <c r="M1429" s="1" t="s">
        <v>496</v>
      </c>
      <c r="N1429" s="1" t="s">
        <v>2676</v>
      </c>
      <c r="O1429" s="1" t="s">
        <v>2677</v>
      </c>
      <c r="P1429" s="1" t="s">
        <v>4901</v>
      </c>
      <c r="Z1429" s="1" t="s">
        <v>71</v>
      </c>
      <c r="AE1429" s="1" t="s">
        <v>4896</v>
      </c>
      <c r="AH1429" s="1" t="s">
        <v>73</v>
      </c>
      <c r="AK1429" s="1" t="s">
        <v>71</v>
      </c>
      <c r="AM1429" s="1" t="s">
        <v>71</v>
      </c>
      <c r="AN1429" s="1" t="s">
        <v>71</v>
      </c>
      <c r="AS1429" s="1" t="s">
        <v>71</v>
      </c>
      <c r="AX1429" s="1" t="s">
        <v>71</v>
      </c>
      <c r="BH1429" s="1" t="s">
        <v>71</v>
      </c>
    </row>
    <row r="1430" customFormat="false" ht="15" hidden="false" customHeight="false" outlineLevel="0" collapsed="false">
      <c r="A1430" s="1" t="s">
        <v>4902</v>
      </c>
      <c r="B1430" s="1" t="s">
        <v>4903</v>
      </c>
      <c r="C1430" s="1" t="s">
        <v>4899</v>
      </c>
      <c r="D1430" s="1" t="s">
        <v>4900</v>
      </c>
      <c r="E1430" s="1" t="s">
        <v>82</v>
      </c>
      <c r="F1430" s="1" t="s">
        <v>391</v>
      </c>
      <c r="G1430" s="1" t="s">
        <v>182</v>
      </c>
      <c r="H1430" s="1" t="s">
        <v>392</v>
      </c>
      <c r="K1430" s="1" t="s">
        <v>65</v>
      </c>
      <c r="L1430" s="1" t="s">
        <v>517</v>
      </c>
      <c r="M1430" s="1" t="s">
        <v>496</v>
      </c>
      <c r="N1430" s="1" t="s">
        <v>2676</v>
      </c>
      <c r="O1430" s="1" t="s">
        <v>2677</v>
      </c>
      <c r="P1430" s="1" t="s">
        <v>4901</v>
      </c>
      <c r="Z1430" s="1" t="s">
        <v>71</v>
      </c>
      <c r="AE1430" s="1" t="s">
        <v>4896</v>
      </c>
      <c r="AH1430" s="1" t="s">
        <v>73</v>
      </c>
      <c r="AK1430" s="1" t="s">
        <v>71</v>
      </c>
      <c r="AM1430" s="1" t="s">
        <v>71</v>
      </c>
      <c r="AN1430" s="1" t="s">
        <v>71</v>
      </c>
      <c r="AS1430" s="1" t="s">
        <v>71</v>
      </c>
      <c r="AX1430" s="1" t="s">
        <v>71</v>
      </c>
      <c r="BH1430" s="1" t="s">
        <v>71</v>
      </c>
    </row>
    <row r="1431" customFormat="false" ht="15" hidden="false" customHeight="false" outlineLevel="0" collapsed="false">
      <c r="A1431" s="1" t="s">
        <v>4904</v>
      </c>
      <c r="B1431" s="1" t="s">
        <v>4905</v>
      </c>
      <c r="C1431" s="1" t="s">
        <v>1378</v>
      </c>
      <c r="D1431" s="1" t="s">
        <v>4906</v>
      </c>
      <c r="E1431" s="1" t="s">
        <v>82</v>
      </c>
      <c r="F1431" s="1" t="s">
        <v>391</v>
      </c>
      <c r="G1431" s="1" t="s">
        <v>182</v>
      </c>
      <c r="H1431" s="1" t="s">
        <v>392</v>
      </c>
      <c r="K1431" s="1" t="s">
        <v>65</v>
      </c>
      <c r="L1431" s="1" t="s">
        <v>517</v>
      </c>
      <c r="M1431" s="1" t="s">
        <v>496</v>
      </c>
      <c r="N1431" s="1" t="s">
        <v>3906</v>
      </c>
      <c r="O1431" s="1" t="s">
        <v>447</v>
      </c>
      <c r="P1431" s="1" t="s">
        <v>3907</v>
      </c>
      <c r="Z1431" s="1" t="s">
        <v>71</v>
      </c>
      <c r="AE1431" s="1" t="s">
        <v>4896</v>
      </c>
      <c r="AH1431" s="1" t="s">
        <v>73</v>
      </c>
      <c r="AK1431" s="1" t="s">
        <v>71</v>
      </c>
      <c r="AM1431" s="1" t="s">
        <v>71</v>
      </c>
      <c r="AN1431" s="1" t="s">
        <v>71</v>
      </c>
      <c r="AS1431" s="1" t="s">
        <v>71</v>
      </c>
      <c r="AX1431" s="1" t="s">
        <v>71</v>
      </c>
      <c r="BH1431" s="1" t="s">
        <v>71</v>
      </c>
    </row>
    <row r="1432" customFormat="false" ht="15" hidden="false" customHeight="false" outlineLevel="0" collapsed="false">
      <c r="A1432" s="1" t="s">
        <v>4907</v>
      </c>
      <c r="B1432" s="1" t="s">
        <v>4908</v>
      </c>
      <c r="C1432" s="1" t="s">
        <v>1378</v>
      </c>
      <c r="D1432" s="1" t="s">
        <v>4906</v>
      </c>
      <c r="E1432" s="1" t="s">
        <v>82</v>
      </c>
      <c r="F1432" s="1" t="s">
        <v>391</v>
      </c>
      <c r="G1432" s="1" t="s">
        <v>182</v>
      </c>
      <c r="H1432" s="1" t="s">
        <v>392</v>
      </c>
      <c r="K1432" s="1" t="s">
        <v>65</v>
      </c>
      <c r="L1432" s="1" t="s">
        <v>517</v>
      </c>
      <c r="M1432" s="1" t="s">
        <v>496</v>
      </c>
      <c r="N1432" s="1" t="s">
        <v>4909</v>
      </c>
      <c r="O1432" s="1" t="s">
        <v>4910</v>
      </c>
      <c r="P1432" s="1" t="s">
        <v>4911</v>
      </c>
      <c r="Z1432" s="1" t="s">
        <v>71</v>
      </c>
      <c r="AE1432" s="1" t="s">
        <v>4896</v>
      </c>
      <c r="AH1432" s="1" t="s">
        <v>73</v>
      </c>
      <c r="AK1432" s="1" t="s">
        <v>71</v>
      </c>
      <c r="AM1432" s="1" t="s">
        <v>71</v>
      </c>
      <c r="AN1432" s="1" t="s">
        <v>71</v>
      </c>
      <c r="AS1432" s="1" t="s">
        <v>71</v>
      </c>
      <c r="AX1432" s="1" t="s">
        <v>71</v>
      </c>
      <c r="BH1432" s="1" t="s">
        <v>71</v>
      </c>
    </row>
    <row r="1433" customFormat="false" ht="15" hidden="false" customHeight="false" outlineLevel="0" collapsed="false">
      <c r="A1433" s="1" t="s">
        <v>4912</v>
      </c>
      <c r="B1433" s="1" t="s">
        <v>4913</v>
      </c>
      <c r="C1433" s="1" t="s">
        <v>706</v>
      </c>
      <c r="D1433" s="1" t="s">
        <v>707</v>
      </c>
      <c r="E1433" s="1" t="s">
        <v>82</v>
      </c>
      <c r="F1433" s="1" t="s">
        <v>391</v>
      </c>
      <c r="G1433" s="1" t="s">
        <v>213</v>
      </c>
      <c r="H1433" s="1" t="s">
        <v>477</v>
      </c>
      <c r="K1433" s="1" t="s">
        <v>478</v>
      </c>
      <c r="L1433" s="1" t="s">
        <v>479</v>
      </c>
      <c r="M1433" s="1" t="s">
        <v>496</v>
      </c>
      <c r="N1433" s="1" t="s">
        <v>518</v>
      </c>
      <c r="O1433" s="1" t="s">
        <v>519</v>
      </c>
      <c r="P1433" s="1" t="s">
        <v>4181</v>
      </c>
      <c r="Z1433" s="1" t="s">
        <v>71</v>
      </c>
      <c r="AE1433" s="1" t="s">
        <v>4914</v>
      </c>
      <c r="AH1433" s="1" t="s">
        <v>73</v>
      </c>
      <c r="AK1433" s="1" t="s">
        <v>71</v>
      </c>
      <c r="AM1433" s="1" t="s">
        <v>71</v>
      </c>
      <c r="AN1433" s="1" t="s">
        <v>71</v>
      </c>
      <c r="AS1433" s="1" t="s">
        <v>71</v>
      </c>
      <c r="AX1433" s="1" t="s">
        <v>71</v>
      </c>
      <c r="BH1433" s="1" t="s">
        <v>71</v>
      </c>
    </row>
    <row r="1434" customFormat="false" ht="15" hidden="false" customHeight="false" outlineLevel="0" collapsed="false">
      <c r="A1434" s="1" t="s">
        <v>4915</v>
      </c>
      <c r="B1434" s="1" t="s">
        <v>4916</v>
      </c>
      <c r="C1434" s="1" t="s">
        <v>1381</v>
      </c>
      <c r="D1434" s="1" t="s">
        <v>4917</v>
      </c>
      <c r="E1434" s="1" t="s">
        <v>82</v>
      </c>
      <c r="F1434" s="1" t="s">
        <v>391</v>
      </c>
      <c r="G1434" s="1" t="s">
        <v>97</v>
      </c>
      <c r="H1434" s="1" t="s">
        <v>406</v>
      </c>
      <c r="K1434" s="1" t="s">
        <v>407</v>
      </c>
      <c r="L1434" s="1" t="s">
        <v>408</v>
      </c>
      <c r="M1434" s="1" t="s">
        <v>496</v>
      </c>
      <c r="N1434" s="1" t="s">
        <v>4918</v>
      </c>
      <c r="O1434" s="1" t="s">
        <v>400</v>
      </c>
      <c r="P1434" s="1" t="s">
        <v>4919</v>
      </c>
      <c r="Z1434" s="1" t="s">
        <v>71</v>
      </c>
      <c r="AE1434" s="1" t="s">
        <v>4914</v>
      </c>
      <c r="AH1434" s="1" t="s">
        <v>73</v>
      </c>
      <c r="AK1434" s="1" t="s">
        <v>71</v>
      </c>
      <c r="AM1434" s="1" t="s">
        <v>71</v>
      </c>
      <c r="AN1434" s="1" t="s">
        <v>71</v>
      </c>
      <c r="AS1434" s="1" t="s">
        <v>71</v>
      </c>
      <c r="AX1434" s="1" t="s">
        <v>71</v>
      </c>
      <c r="BH1434" s="1" t="s">
        <v>71</v>
      </c>
    </row>
    <row r="1435" customFormat="false" ht="15" hidden="false" customHeight="false" outlineLevel="0" collapsed="false">
      <c r="A1435" s="1" t="s">
        <v>4920</v>
      </c>
      <c r="B1435" s="1" t="s">
        <v>4921</v>
      </c>
      <c r="C1435" s="1" t="s">
        <v>1381</v>
      </c>
      <c r="D1435" s="1" t="s">
        <v>4917</v>
      </c>
      <c r="E1435" s="1" t="s">
        <v>82</v>
      </c>
      <c r="F1435" s="1" t="s">
        <v>391</v>
      </c>
      <c r="G1435" s="1" t="s">
        <v>97</v>
      </c>
      <c r="H1435" s="1" t="s">
        <v>406</v>
      </c>
      <c r="K1435" s="1" t="s">
        <v>407</v>
      </c>
      <c r="L1435" s="1" t="s">
        <v>408</v>
      </c>
      <c r="M1435" s="1" t="s">
        <v>496</v>
      </c>
      <c r="N1435" s="1" t="s">
        <v>4922</v>
      </c>
      <c r="O1435" s="1" t="s">
        <v>4923</v>
      </c>
      <c r="P1435" s="1" t="s">
        <v>4924</v>
      </c>
      <c r="Z1435" s="1" t="s">
        <v>71</v>
      </c>
      <c r="AE1435" s="1" t="s">
        <v>4914</v>
      </c>
      <c r="AH1435" s="1" t="s">
        <v>73</v>
      </c>
      <c r="AK1435" s="1" t="s">
        <v>71</v>
      </c>
      <c r="AM1435" s="1" t="s">
        <v>71</v>
      </c>
      <c r="AN1435" s="1" t="s">
        <v>71</v>
      </c>
      <c r="AS1435" s="1" t="s">
        <v>71</v>
      </c>
      <c r="AX1435" s="1" t="s">
        <v>71</v>
      </c>
      <c r="BH1435" s="1" t="s">
        <v>71</v>
      </c>
    </row>
    <row r="1436" customFormat="false" ht="15" hidden="false" customHeight="false" outlineLevel="0" collapsed="false">
      <c r="A1436" s="1" t="s">
        <v>4925</v>
      </c>
      <c r="B1436" s="1" t="s">
        <v>4926</v>
      </c>
      <c r="C1436" s="1" t="s">
        <v>1381</v>
      </c>
      <c r="D1436" s="1" t="s">
        <v>4917</v>
      </c>
      <c r="E1436" s="1" t="s">
        <v>82</v>
      </c>
      <c r="F1436" s="1" t="s">
        <v>391</v>
      </c>
      <c r="G1436" s="1" t="s">
        <v>97</v>
      </c>
      <c r="H1436" s="1" t="s">
        <v>406</v>
      </c>
      <c r="K1436" s="1" t="s">
        <v>407</v>
      </c>
      <c r="L1436" s="1" t="s">
        <v>408</v>
      </c>
      <c r="M1436" s="1" t="s">
        <v>496</v>
      </c>
      <c r="N1436" s="1" t="s">
        <v>4927</v>
      </c>
      <c r="O1436" s="1" t="s">
        <v>4928</v>
      </c>
      <c r="P1436" s="1" t="s">
        <v>4929</v>
      </c>
      <c r="Z1436" s="1" t="s">
        <v>71</v>
      </c>
      <c r="AE1436" s="1" t="s">
        <v>4914</v>
      </c>
      <c r="AH1436" s="1" t="s">
        <v>73</v>
      </c>
      <c r="AK1436" s="1" t="s">
        <v>71</v>
      </c>
      <c r="AM1436" s="1" t="s">
        <v>71</v>
      </c>
      <c r="AN1436" s="1" t="s">
        <v>71</v>
      </c>
      <c r="AS1436" s="1" t="s">
        <v>71</v>
      </c>
      <c r="AX1436" s="1" t="s">
        <v>71</v>
      </c>
      <c r="BH1436" s="1" t="s">
        <v>71</v>
      </c>
    </row>
    <row r="1437" customFormat="false" ht="15" hidden="false" customHeight="false" outlineLevel="0" collapsed="false">
      <c r="A1437" s="1" t="s">
        <v>4930</v>
      </c>
      <c r="B1437" s="1" t="s">
        <v>4931</v>
      </c>
      <c r="C1437" s="1" t="s">
        <v>934</v>
      </c>
      <c r="D1437" s="1" t="s">
        <v>3891</v>
      </c>
      <c r="E1437" s="1" t="s">
        <v>82</v>
      </c>
      <c r="F1437" s="1" t="s">
        <v>391</v>
      </c>
      <c r="G1437" s="1" t="s">
        <v>443</v>
      </c>
      <c r="H1437" s="1" t="s">
        <v>444</v>
      </c>
      <c r="K1437" s="1" t="s">
        <v>61</v>
      </c>
      <c r="L1437" s="1" t="s">
        <v>445</v>
      </c>
      <c r="M1437" s="1" t="s">
        <v>496</v>
      </c>
      <c r="N1437" s="1" t="s">
        <v>4661</v>
      </c>
      <c r="O1437" s="1" t="s">
        <v>4662</v>
      </c>
      <c r="P1437" s="1" t="s">
        <v>4663</v>
      </c>
      <c r="Z1437" s="1" t="s">
        <v>71</v>
      </c>
      <c r="AE1437" s="1" t="s">
        <v>4914</v>
      </c>
      <c r="AH1437" s="1" t="s">
        <v>73</v>
      </c>
      <c r="AK1437" s="1" t="s">
        <v>71</v>
      </c>
      <c r="AM1437" s="1" t="s">
        <v>71</v>
      </c>
      <c r="AN1437" s="1" t="s">
        <v>71</v>
      </c>
      <c r="AS1437" s="1" t="s">
        <v>71</v>
      </c>
      <c r="AX1437" s="1" t="s">
        <v>71</v>
      </c>
      <c r="BH1437" s="1" t="s">
        <v>71</v>
      </c>
    </row>
    <row r="1438" customFormat="false" ht="15" hidden="false" customHeight="false" outlineLevel="0" collapsed="false">
      <c r="A1438" s="1" t="s">
        <v>4932</v>
      </c>
      <c r="B1438" s="1" t="s">
        <v>4933</v>
      </c>
      <c r="C1438" s="1" t="s">
        <v>4633</v>
      </c>
      <c r="D1438" s="1" t="s">
        <v>4634</v>
      </c>
      <c r="E1438" s="1" t="s">
        <v>82</v>
      </c>
      <c r="F1438" s="1" t="s">
        <v>391</v>
      </c>
      <c r="G1438" s="1" t="s">
        <v>97</v>
      </c>
      <c r="H1438" s="1" t="s">
        <v>406</v>
      </c>
      <c r="K1438" s="1" t="s">
        <v>407</v>
      </c>
      <c r="L1438" s="1" t="s">
        <v>408</v>
      </c>
      <c r="M1438" s="1" t="s">
        <v>465</v>
      </c>
      <c r="N1438" s="1" t="s">
        <v>4779</v>
      </c>
      <c r="O1438" s="1" t="s">
        <v>4780</v>
      </c>
      <c r="P1438" s="1" t="s">
        <v>4781</v>
      </c>
      <c r="Z1438" s="1" t="s">
        <v>71</v>
      </c>
      <c r="AE1438" s="1" t="s">
        <v>4914</v>
      </c>
      <c r="AH1438" s="1" t="s">
        <v>73</v>
      </c>
      <c r="AK1438" s="1" t="s">
        <v>71</v>
      </c>
      <c r="AM1438" s="1" t="s">
        <v>71</v>
      </c>
      <c r="AN1438" s="1" t="s">
        <v>71</v>
      </c>
      <c r="AS1438" s="1" t="s">
        <v>71</v>
      </c>
      <c r="AX1438" s="1" t="s">
        <v>71</v>
      </c>
      <c r="BH1438" s="1" t="s">
        <v>71</v>
      </c>
    </row>
    <row r="1439" customFormat="false" ht="15" hidden="false" customHeight="false" outlineLevel="0" collapsed="false">
      <c r="A1439" s="1" t="s">
        <v>4934</v>
      </c>
      <c r="B1439" s="1" t="s">
        <v>4935</v>
      </c>
      <c r="C1439" s="1" t="s">
        <v>4633</v>
      </c>
      <c r="D1439" s="1" t="s">
        <v>4634</v>
      </c>
      <c r="E1439" s="1" t="s">
        <v>82</v>
      </c>
      <c r="F1439" s="1" t="s">
        <v>391</v>
      </c>
      <c r="G1439" s="1" t="s">
        <v>97</v>
      </c>
      <c r="H1439" s="1" t="s">
        <v>406</v>
      </c>
      <c r="K1439" s="1" t="s">
        <v>65</v>
      </c>
      <c r="L1439" s="1" t="s">
        <v>860</v>
      </c>
      <c r="M1439" s="1" t="s">
        <v>4936</v>
      </c>
      <c r="N1439" s="1" t="s">
        <v>4937</v>
      </c>
      <c r="O1439" s="1" t="s">
        <v>4938</v>
      </c>
      <c r="P1439" s="1" t="s">
        <v>4939</v>
      </c>
      <c r="Z1439" s="1" t="s">
        <v>71</v>
      </c>
      <c r="AE1439" s="1" t="s">
        <v>4914</v>
      </c>
      <c r="AH1439" s="1" t="s">
        <v>73</v>
      </c>
      <c r="AK1439" s="1" t="s">
        <v>71</v>
      </c>
      <c r="AM1439" s="1" t="s">
        <v>71</v>
      </c>
      <c r="AN1439" s="1" t="s">
        <v>71</v>
      </c>
      <c r="AS1439" s="1" t="s">
        <v>71</v>
      </c>
      <c r="AX1439" s="1" t="s">
        <v>71</v>
      </c>
      <c r="BH1439" s="1" t="s">
        <v>71</v>
      </c>
    </row>
    <row r="1440" customFormat="false" ht="15" hidden="false" customHeight="false" outlineLevel="0" collapsed="false">
      <c r="A1440" s="1" t="s">
        <v>4940</v>
      </c>
      <c r="B1440" s="1" t="s">
        <v>4941</v>
      </c>
      <c r="C1440" s="1" t="s">
        <v>343</v>
      </c>
      <c r="D1440" s="1" t="s">
        <v>344</v>
      </c>
      <c r="E1440" s="1" t="s">
        <v>59</v>
      </c>
      <c r="F1440" s="1" t="s">
        <v>63</v>
      </c>
      <c r="G1440" s="1" t="s">
        <v>59</v>
      </c>
      <c r="H1440" s="1" t="s">
        <v>64</v>
      </c>
      <c r="K1440" s="1" t="s">
        <v>65</v>
      </c>
      <c r="L1440" s="1" t="s">
        <v>66</v>
      </c>
      <c r="M1440" s="1" t="s">
        <v>1546</v>
      </c>
      <c r="N1440" s="1" t="s">
        <v>68</v>
      </c>
      <c r="O1440" s="1" t="s">
        <v>69</v>
      </c>
      <c r="P1440" s="1" t="s">
        <v>4942</v>
      </c>
      <c r="U1440" s="1" t="s">
        <v>4940</v>
      </c>
      <c r="Z1440" s="1" t="s">
        <v>71</v>
      </c>
      <c r="AE1440" s="1" t="s">
        <v>4914</v>
      </c>
      <c r="AH1440" s="1" t="s">
        <v>73</v>
      </c>
      <c r="AK1440" s="1" t="s">
        <v>71</v>
      </c>
      <c r="AM1440" s="1" t="s">
        <v>71</v>
      </c>
      <c r="AN1440" s="1" t="s">
        <v>71</v>
      </c>
      <c r="AS1440" s="1" t="s">
        <v>71</v>
      </c>
      <c r="AX1440" s="1" t="s">
        <v>71</v>
      </c>
      <c r="AY1440" s="1" t="s">
        <v>59</v>
      </c>
      <c r="AZ1440" s="1" t="s">
        <v>74</v>
      </c>
      <c r="BH1440" s="1" t="s">
        <v>71</v>
      </c>
    </row>
    <row r="1441" customFormat="false" ht="15" hidden="false" customHeight="false" outlineLevel="0" collapsed="false">
      <c r="A1441" s="1" t="s">
        <v>4943</v>
      </c>
      <c r="B1441" s="1" t="s">
        <v>4944</v>
      </c>
      <c r="C1441" s="1" t="s">
        <v>1158</v>
      </c>
      <c r="D1441" s="1" t="s">
        <v>4456</v>
      </c>
      <c r="E1441" s="1" t="s">
        <v>82</v>
      </c>
      <c r="F1441" s="1" t="s">
        <v>391</v>
      </c>
      <c r="G1441" s="1" t="s">
        <v>213</v>
      </c>
      <c r="H1441" s="1" t="s">
        <v>477</v>
      </c>
      <c r="K1441" s="1" t="s">
        <v>478</v>
      </c>
      <c r="L1441" s="1" t="s">
        <v>479</v>
      </c>
      <c r="M1441" s="1" t="s">
        <v>496</v>
      </c>
      <c r="N1441" s="1" t="s">
        <v>489</v>
      </c>
      <c r="O1441" s="1" t="s">
        <v>490</v>
      </c>
      <c r="P1441" s="1" t="s">
        <v>4049</v>
      </c>
      <c r="Z1441" s="1" t="s">
        <v>71</v>
      </c>
      <c r="AE1441" s="1" t="s">
        <v>4914</v>
      </c>
      <c r="AH1441" s="1" t="s">
        <v>73</v>
      </c>
      <c r="AK1441" s="1" t="s">
        <v>71</v>
      </c>
      <c r="AM1441" s="1" t="s">
        <v>71</v>
      </c>
      <c r="AN1441" s="1" t="s">
        <v>71</v>
      </c>
      <c r="AS1441" s="1" t="s">
        <v>71</v>
      </c>
      <c r="AX1441" s="1" t="s">
        <v>71</v>
      </c>
      <c r="BH1441" s="1" t="s">
        <v>71</v>
      </c>
    </row>
    <row r="1442" customFormat="false" ht="15" hidden="false" customHeight="false" outlineLevel="0" collapsed="false">
      <c r="A1442" s="1" t="s">
        <v>4945</v>
      </c>
      <c r="B1442" s="1" t="s">
        <v>4946</v>
      </c>
      <c r="C1442" s="1" t="s">
        <v>1383</v>
      </c>
      <c r="D1442" s="1" t="s">
        <v>4947</v>
      </c>
      <c r="E1442" s="1" t="s">
        <v>82</v>
      </c>
      <c r="F1442" s="1" t="s">
        <v>391</v>
      </c>
      <c r="G1442" s="1" t="s">
        <v>97</v>
      </c>
      <c r="H1442" s="1" t="s">
        <v>406</v>
      </c>
      <c r="K1442" s="1" t="s">
        <v>65</v>
      </c>
      <c r="L1442" s="1" t="s">
        <v>860</v>
      </c>
      <c r="M1442" s="1" t="s">
        <v>496</v>
      </c>
      <c r="N1442" s="1" t="s">
        <v>4948</v>
      </c>
      <c r="O1442" s="1" t="s">
        <v>4949</v>
      </c>
      <c r="P1442" s="1" t="s">
        <v>4950</v>
      </c>
      <c r="Z1442" s="1" t="s">
        <v>71</v>
      </c>
      <c r="AE1442" s="1" t="s">
        <v>4914</v>
      </c>
      <c r="AH1442" s="1" t="s">
        <v>73</v>
      </c>
      <c r="AK1442" s="1" t="s">
        <v>71</v>
      </c>
      <c r="AM1442" s="1" t="s">
        <v>71</v>
      </c>
      <c r="AN1442" s="1" t="s">
        <v>71</v>
      </c>
      <c r="AS1442" s="1" t="s">
        <v>71</v>
      </c>
      <c r="AX1442" s="1" t="s">
        <v>71</v>
      </c>
      <c r="BH1442" s="1" t="s">
        <v>71</v>
      </c>
    </row>
    <row r="1443" customFormat="false" ht="15" hidden="false" customHeight="false" outlineLevel="0" collapsed="false">
      <c r="A1443" s="1" t="s">
        <v>4951</v>
      </c>
      <c r="B1443" s="1" t="s">
        <v>4952</v>
      </c>
      <c r="C1443" s="1" t="s">
        <v>1736</v>
      </c>
      <c r="D1443" s="1" t="s">
        <v>4953</v>
      </c>
      <c r="E1443" s="1" t="s">
        <v>61</v>
      </c>
      <c r="F1443" s="1" t="s">
        <v>101</v>
      </c>
      <c r="G1443" s="1" t="s">
        <v>93</v>
      </c>
      <c r="H1443" s="1" t="s">
        <v>64</v>
      </c>
      <c r="K1443" s="1" t="s">
        <v>126</v>
      </c>
      <c r="L1443" s="1" t="s">
        <v>335</v>
      </c>
      <c r="M1443" s="1" t="s">
        <v>310</v>
      </c>
      <c r="N1443" s="1" t="s">
        <v>105</v>
      </c>
      <c r="O1443" s="1" t="s">
        <v>106</v>
      </c>
      <c r="P1443" s="1" t="s">
        <v>3539</v>
      </c>
      <c r="U1443" s="1" t="s">
        <v>4951</v>
      </c>
      <c r="Z1443" s="1" t="s">
        <v>71</v>
      </c>
      <c r="AE1443" s="1" t="s">
        <v>4954</v>
      </c>
      <c r="AH1443" s="1" t="s">
        <v>73</v>
      </c>
      <c r="AK1443" s="1" t="s">
        <v>71</v>
      </c>
      <c r="AM1443" s="1" t="s">
        <v>71</v>
      </c>
      <c r="AN1443" s="1" t="s">
        <v>71</v>
      </c>
      <c r="AS1443" s="1" t="s">
        <v>71</v>
      </c>
      <c r="AX1443" s="1" t="s">
        <v>71</v>
      </c>
      <c r="AY1443" s="1" t="s">
        <v>59</v>
      </c>
      <c r="AZ1443" s="1" t="s">
        <v>74</v>
      </c>
      <c r="BH1443" s="1" t="s">
        <v>71</v>
      </c>
    </row>
    <row r="1444" customFormat="false" ht="15" hidden="false" customHeight="false" outlineLevel="0" collapsed="false">
      <c r="A1444" s="1" t="s">
        <v>4955</v>
      </c>
      <c r="B1444" s="1" t="s">
        <v>4956</v>
      </c>
      <c r="C1444" s="1" t="s">
        <v>288</v>
      </c>
      <c r="D1444" s="1" t="s">
        <v>289</v>
      </c>
      <c r="E1444" s="1" t="s">
        <v>61</v>
      </c>
      <c r="F1444" s="1" t="s">
        <v>101</v>
      </c>
      <c r="G1444" s="1" t="s">
        <v>93</v>
      </c>
      <c r="H1444" s="1" t="s">
        <v>64</v>
      </c>
      <c r="K1444" s="1" t="s">
        <v>126</v>
      </c>
      <c r="L1444" s="1" t="s">
        <v>335</v>
      </c>
      <c r="M1444" s="1" t="s">
        <v>1555</v>
      </c>
      <c r="N1444" s="1" t="s">
        <v>105</v>
      </c>
      <c r="O1444" s="1" t="s">
        <v>106</v>
      </c>
      <c r="P1444" s="1" t="s">
        <v>3539</v>
      </c>
      <c r="U1444" s="1" t="s">
        <v>4955</v>
      </c>
      <c r="Z1444" s="1" t="s">
        <v>71</v>
      </c>
      <c r="AE1444" s="1" t="s">
        <v>4954</v>
      </c>
      <c r="AH1444" s="1" t="s">
        <v>73</v>
      </c>
      <c r="AK1444" s="1" t="s">
        <v>71</v>
      </c>
      <c r="AM1444" s="1" t="s">
        <v>71</v>
      </c>
      <c r="AN1444" s="1" t="s">
        <v>71</v>
      </c>
      <c r="AS1444" s="1" t="s">
        <v>71</v>
      </c>
      <c r="AX1444" s="1" t="s">
        <v>71</v>
      </c>
      <c r="AY1444" s="1" t="s">
        <v>59</v>
      </c>
      <c r="AZ1444" s="1" t="s">
        <v>74</v>
      </c>
      <c r="BH1444" s="1" t="s">
        <v>71</v>
      </c>
    </row>
    <row r="1445" customFormat="false" ht="15" hidden="false" customHeight="false" outlineLevel="0" collapsed="false">
      <c r="A1445" s="1" t="s">
        <v>4957</v>
      </c>
      <c r="B1445" s="1" t="s">
        <v>4958</v>
      </c>
      <c r="C1445" s="1" t="s">
        <v>1740</v>
      </c>
      <c r="D1445" s="1" t="s">
        <v>4959</v>
      </c>
      <c r="E1445" s="1" t="s">
        <v>61</v>
      </c>
      <c r="F1445" s="1" t="s">
        <v>101</v>
      </c>
      <c r="G1445" s="1" t="s">
        <v>93</v>
      </c>
      <c r="H1445" s="1" t="s">
        <v>64</v>
      </c>
      <c r="K1445" s="1" t="s">
        <v>126</v>
      </c>
      <c r="L1445" s="1" t="s">
        <v>335</v>
      </c>
      <c r="M1445" s="1" t="s">
        <v>310</v>
      </c>
      <c r="N1445" s="1" t="s">
        <v>105</v>
      </c>
      <c r="O1445" s="1" t="s">
        <v>106</v>
      </c>
      <c r="P1445" s="1" t="s">
        <v>3539</v>
      </c>
      <c r="U1445" s="1" t="s">
        <v>4957</v>
      </c>
      <c r="Z1445" s="1" t="s">
        <v>71</v>
      </c>
      <c r="AE1445" s="1" t="s">
        <v>4954</v>
      </c>
      <c r="AH1445" s="1" t="s">
        <v>73</v>
      </c>
      <c r="AK1445" s="1" t="s">
        <v>71</v>
      </c>
      <c r="AM1445" s="1" t="s">
        <v>71</v>
      </c>
      <c r="AN1445" s="1" t="s">
        <v>71</v>
      </c>
      <c r="AS1445" s="1" t="s">
        <v>71</v>
      </c>
      <c r="AX1445" s="1" t="s">
        <v>71</v>
      </c>
      <c r="AY1445" s="1" t="s">
        <v>59</v>
      </c>
      <c r="AZ1445" s="1" t="s">
        <v>74</v>
      </c>
      <c r="BH1445" s="1" t="s">
        <v>71</v>
      </c>
    </row>
    <row r="1446" customFormat="false" ht="15" hidden="false" customHeight="false" outlineLevel="0" collapsed="false">
      <c r="A1446" s="1" t="s">
        <v>4960</v>
      </c>
      <c r="B1446" s="1" t="s">
        <v>4961</v>
      </c>
      <c r="C1446" s="1" t="s">
        <v>4962</v>
      </c>
      <c r="D1446" s="1" t="s">
        <v>4963</v>
      </c>
      <c r="E1446" s="1" t="s">
        <v>82</v>
      </c>
      <c r="F1446" s="1" t="s">
        <v>391</v>
      </c>
      <c r="G1446" s="1" t="s">
        <v>443</v>
      </c>
      <c r="H1446" s="1" t="s">
        <v>444</v>
      </c>
      <c r="K1446" s="1" t="s">
        <v>61</v>
      </c>
      <c r="L1446" s="1" t="s">
        <v>445</v>
      </c>
      <c r="M1446" s="1" t="s">
        <v>496</v>
      </c>
      <c r="N1446" s="1" t="s">
        <v>2841</v>
      </c>
      <c r="O1446" s="1" t="s">
        <v>2842</v>
      </c>
      <c r="P1446" s="1" t="s">
        <v>4964</v>
      </c>
      <c r="Z1446" s="1" t="s">
        <v>71</v>
      </c>
      <c r="AE1446" s="1" t="s">
        <v>4954</v>
      </c>
      <c r="AH1446" s="1" t="s">
        <v>73</v>
      </c>
      <c r="AK1446" s="1" t="s">
        <v>71</v>
      </c>
      <c r="AM1446" s="1" t="s">
        <v>71</v>
      </c>
      <c r="AN1446" s="1" t="s">
        <v>71</v>
      </c>
      <c r="AS1446" s="1" t="s">
        <v>71</v>
      </c>
      <c r="AX1446" s="1" t="s">
        <v>71</v>
      </c>
      <c r="BH1446" s="1" t="s">
        <v>71</v>
      </c>
    </row>
    <row r="1447" customFormat="false" ht="15" hidden="false" customHeight="false" outlineLevel="0" collapsed="false">
      <c r="A1447" s="1" t="s">
        <v>4965</v>
      </c>
      <c r="B1447" s="1" t="s">
        <v>4966</v>
      </c>
      <c r="C1447" s="1" t="s">
        <v>4962</v>
      </c>
      <c r="D1447" s="1" t="s">
        <v>4963</v>
      </c>
      <c r="E1447" s="1" t="s">
        <v>82</v>
      </c>
      <c r="F1447" s="1" t="s">
        <v>391</v>
      </c>
      <c r="G1447" s="1" t="s">
        <v>443</v>
      </c>
      <c r="H1447" s="1" t="s">
        <v>444</v>
      </c>
      <c r="K1447" s="1" t="s">
        <v>61</v>
      </c>
      <c r="L1447" s="1" t="s">
        <v>445</v>
      </c>
      <c r="M1447" s="1" t="s">
        <v>496</v>
      </c>
      <c r="N1447" s="1" t="s">
        <v>4967</v>
      </c>
      <c r="O1447" s="1" t="s">
        <v>400</v>
      </c>
      <c r="P1447" s="1" t="s">
        <v>4968</v>
      </c>
      <c r="Z1447" s="1" t="s">
        <v>71</v>
      </c>
      <c r="AE1447" s="1" t="s">
        <v>4969</v>
      </c>
      <c r="AH1447" s="1" t="s">
        <v>73</v>
      </c>
      <c r="AK1447" s="1" t="s">
        <v>71</v>
      </c>
      <c r="AM1447" s="1" t="s">
        <v>71</v>
      </c>
      <c r="AN1447" s="1" t="s">
        <v>71</v>
      </c>
      <c r="AS1447" s="1" t="s">
        <v>71</v>
      </c>
      <c r="AX1447" s="1" t="s">
        <v>71</v>
      </c>
      <c r="BH1447" s="1" t="s">
        <v>71</v>
      </c>
    </row>
    <row r="1448" customFormat="false" ht="15" hidden="false" customHeight="false" outlineLevel="0" collapsed="false">
      <c r="A1448" s="1" t="s">
        <v>4970</v>
      </c>
      <c r="B1448" s="1" t="s">
        <v>4971</v>
      </c>
      <c r="C1448" s="1" t="s">
        <v>4962</v>
      </c>
      <c r="D1448" s="1" t="s">
        <v>4963</v>
      </c>
      <c r="E1448" s="1" t="s">
        <v>82</v>
      </c>
      <c r="F1448" s="1" t="s">
        <v>391</v>
      </c>
      <c r="G1448" s="1" t="s">
        <v>443</v>
      </c>
      <c r="H1448" s="1" t="s">
        <v>444</v>
      </c>
      <c r="K1448" s="1" t="s">
        <v>61</v>
      </c>
      <c r="L1448" s="1" t="s">
        <v>445</v>
      </c>
      <c r="M1448" s="1" t="s">
        <v>496</v>
      </c>
      <c r="N1448" s="1" t="s">
        <v>4972</v>
      </c>
      <c r="O1448" s="1" t="s">
        <v>4973</v>
      </c>
      <c r="P1448" s="1" t="s">
        <v>4974</v>
      </c>
      <c r="Z1448" s="1" t="s">
        <v>71</v>
      </c>
      <c r="AE1448" s="1" t="s">
        <v>4969</v>
      </c>
      <c r="AH1448" s="1" t="s">
        <v>73</v>
      </c>
      <c r="AK1448" s="1" t="s">
        <v>71</v>
      </c>
      <c r="AM1448" s="1" t="s">
        <v>71</v>
      </c>
      <c r="AN1448" s="1" t="s">
        <v>71</v>
      </c>
      <c r="AS1448" s="1" t="s">
        <v>71</v>
      </c>
      <c r="AX1448" s="1" t="s">
        <v>71</v>
      </c>
      <c r="BH1448" s="1" t="s">
        <v>71</v>
      </c>
    </row>
    <row r="1449" customFormat="false" ht="15" hidden="false" customHeight="false" outlineLevel="0" collapsed="false">
      <c r="A1449" s="1" t="s">
        <v>4975</v>
      </c>
      <c r="B1449" s="1" t="s">
        <v>4976</v>
      </c>
      <c r="C1449" s="1" t="s">
        <v>4962</v>
      </c>
      <c r="D1449" s="1" t="s">
        <v>4963</v>
      </c>
      <c r="E1449" s="1" t="s">
        <v>82</v>
      </c>
      <c r="F1449" s="1" t="s">
        <v>391</v>
      </c>
      <c r="G1449" s="1" t="s">
        <v>443</v>
      </c>
      <c r="H1449" s="1" t="s">
        <v>444</v>
      </c>
      <c r="K1449" s="1" t="s">
        <v>61</v>
      </c>
      <c r="L1449" s="1" t="s">
        <v>445</v>
      </c>
      <c r="M1449" s="1" t="s">
        <v>496</v>
      </c>
      <c r="N1449" s="1" t="s">
        <v>2841</v>
      </c>
      <c r="O1449" s="1" t="s">
        <v>2842</v>
      </c>
      <c r="P1449" s="1" t="s">
        <v>4964</v>
      </c>
      <c r="Z1449" s="1" t="s">
        <v>71</v>
      </c>
      <c r="AE1449" s="1" t="s">
        <v>4969</v>
      </c>
      <c r="AH1449" s="1" t="s">
        <v>73</v>
      </c>
      <c r="AK1449" s="1" t="s">
        <v>71</v>
      </c>
      <c r="AM1449" s="1" t="s">
        <v>71</v>
      </c>
      <c r="AN1449" s="1" t="s">
        <v>71</v>
      </c>
      <c r="AS1449" s="1" t="s">
        <v>71</v>
      </c>
      <c r="AX1449" s="1" t="s">
        <v>71</v>
      </c>
      <c r="BH1449" s="1" t="s">
        <v>71</v>
      </c>
    </row>
    <row r="1450" customFormat="false" ht="15" hidden="false" customHeight="false" outlineLevel="0" collapsed="false">
      <c r="A1450" s="1" t="s">
        <v>4977</v>
      </c>
      <c r="B1450" s="1" t="s">
        <v>4978</v>
      </c>
      <c r="C1450" s="1" t="s">
        <v>4962</v>
      </c>
      <c r="D1450" s="1" t="s">
        <v>4963</v>
      </c>
      <c r="E1450" s="1" t="s">
        <v>82</v>
      </c>
      <c r="F1450" s="1" t="s">
        <v>391</v>
      </c>
      <c r="G1450" s="1" t="s">
        <v>443</v>
      </c>
      <c r="H1450" s="1" t="s">
        <v>444</v>
      </c>
      <c r="K1450" s="1" t="s">
        <v>61</v>
      </c>
      <c r="L1450" s="1" t="s">
        <v>445</v>
      </c>
      <c r="M1450" s="1" t="s">
        <v>496</v>
      </c>
      <c r="N1450" s="1" t="s">
        <v>2871</v>
      </c>
      <c r="O1450" s="1" t="s">
        <v>2872</v>
      </c>
      <c r="P1450" s="1" t="s">
        <v>4979</v>
      </c>
      <c r="Z1450" s="1" t="s">
        <v>71</v>
      </c>
      <c r="AE1450" s="1" t="s">
        <v>4969</v>
      </c>
      <c r="AH1450" s="1" t="s">
        <v>73</v>
      </c>
      <c r="AK1450" s="1" t="s">
        <v>71</v>
      </c>
      <c r="AM1450" s="1" t="s">
        <v>71</v>
      </c>
      <c r="AN1450" s="1" t="s">
        <v>71</v>
      </c>
      <c r="AS1450" s="1" t="s">
        <v>71</v>
      </c>
      <c r="AX1450" s="1" t="s">
        <v>71</v>
      </c>
      <c r="BH1450" s="1" t="s">
        <v>71</v>
      </c>
    </row>
    <row r="1451" customFormat="false" ht="15" hidden="false" customHeight="false" outlineLevel="0" collapsed="false">
      <c r="A1451" s="1" t="s">
        <v>4980</v>
      </c>
      <c r="B1451" s="1" t="s">
        <v>4981</v>
      </c>
      <c r="C1451" s="1" t="s">
        <v>4982</v>
      </c>
      <c r="D1451" s="1" t="s">
        <v>4983</v>
      </c>
      <c r="E1451" s="1" t="s">
        <v>82</v>
      </c>
      <c r="F1451" s="1" t="s">
        <v>391</v>
      </c>
      <c r="G1451" s="1" t="s">
        <v>443</v>
      </c>
      <c r="H1451" s="1" t="s">
        <v>444</v>
      </c>
      <c r="K1451" s="1" t="s">
        <v>61</v>
      </c>
      <c r="L1451" s="1" t="s">
        <v>445</v>
      </c>
      <c r="M1451" s="1" t="s">
        <v>496</v>
      </c>
      <c r="N1451" s="1" t="s">
        <v>2691</v>
      </c>
      <c r="O1451" s="1" t="s">
        <v>400</v>
      </c>
      <c r="P1451" s="1" t="s">
        <v>3527</v>
      </c>
      <c r="Z1451" s="1" t="s">
        <v>71</v>
      </c>
      <c r="AE1451" s="1" t="s">
        <v>4984</v>
      </c>
      <c r="AH1451" s="1" t="s">
        <v>73</v>
      </c>
      <c r="AK1451" s="1" t="s">
        <v>71</v>
      </c>
      <c r="AM1451" s="1" t="s">
        <v>71</v>
      </c>
      <c r="AN1451" s="1" t="s">
        <v>71</v>
      </c>
      <c r="AS1451" s="1" t="s">
        <v>71</v>
      </c>
      <c r="AX1451" s="1" t="s">
        <v>71</v>
      </c>
      <c r="BH1451" s="1" t="s">
        <v>71</v>
      </c>
    </row>
    <row r="1452" customFormat="false" ht="15" hidden="false" customHeight="false" outlineLevel="0" collapsed="false">
      <c r="A1452" s="1" t="s">
        <v>4985</v>
      </c>
      <c r="B1452" s="1" t="s">
        <v>4986</v>
      </c>
      <c r="C1452" s="1" t="s">
        <v>4982</v>
      </c>
      <c r="D1452" s="1" t="s">
        <v>4983</v>
      </c>
      <c r="E1452" s="1" t="s">
        <v>82</v>
      </c>
      <c r="F1452" s="1" t="s">
        <v>391</v>
      </c>
      <c r="G1452" s="1" t="s">
        <v>443</v>
      </c>
      <c r="H1452" s="1" t="s">
        <v>444</v>
      </c>
      <c r="K1452" s="1" t="s">
        <v>61</v>
      </c>
      <c r="L1452" s="1" t="s">
        <v>445</v>
      </c>
      <c r="M1452" s="1" t="s">
        <v>496</v>
      </c>
      <c r="N1452" s="1" t="s">
        <v>2691</v>
      </c>
      <c r="O1452" s="1" t="s">
        <v>400</v>
      </c>
      <c r="P1452" s="1" t="s">
        <v>3527</v>
      </c>
      <c r="Z1452" s="1" t="s">
        <v>71</v>
      </c>
      <c r="AE1452" s="1" t="s">
        <v>4984</v>
      </c>
      <c r="AH1452" s="1" t="s">
        <v>73</v>
      </c>
      <c r="AK1452" s="1" t="s">
        <v>71</v>
      </c>
      <c r="AM1452" s="1" t="s">
        <v>71</v>
      </c>
      <c r="AN1452" s="1" t="s">
        <v>71</v>
      </c>
      <c r="AS1452" s="1" t="s">
        <v>71</v>
      </c>
      <c r="AX1452" s="1" t="s">
        <v>71</v>
      </c>
      <c r="BH1452" s="1" t="s">
        <v>71</v>
      </c>
    </row>
    <row r="1453" customFormat="false" ht="15" hidden="false" customHeight="false" outlineLevel="0" collapsed="false">
      <c r="A1453" s="1" t="s">
        <v>4987</v>
      </c>
      <c r="B1453" s="1" t="s">
        <v>4988</v>
      </c>
      <c r="C1453" s="1" t="s">
        <v>4982</v>
      </c>
      <c r="D1453" s="1" t="s">
        <v>4983</v>
      </c>
      <c r="E1453" s="1" t="s">
        <v>82</v>
      </c>
      <c r="F1453" s="1" t="s">
        <v>391</v>
      </c>
      <c r="G1453" s="1" t="s">
        <v>443</v>
      </c>
      <c r="H1453" s="1" t="s">
        <v>444</v>
      </c>
      <c r="K1453" s="1" t="s">
        <v>61</v>
      </c>
      <c r="L1453" s="1" t="s">
        <v>445</v>
      </c>
      <c r="M1453" s="1" t="s">
        <v>496</v>
      </c>
      <c r="N1453" s="1" t="s">
        <v>2691</v>
      </c>
      <c r="O1453" s="1" t="s">
        <v>400</v>
      </c>
      <c r="P1453" s="1" t="s">
        <v>3527</v>
      </c>
      <c r="Z1453" s="1" t="s">
        <v>71</v>
      </c>
      <c r="AE1453" s="1" t="s">
        <v>4984</v>
      </c>
      <c r="AH1453" s="1" t="s">
        <v>73</v>
      </c>
      <c r="AK1453" s="1" t="s">
        <v>71</v>
      </c>
      <c r="AM1453" s="1" t="s">
        <v>71</v>
      </c>
      <c r="AN1453" s="1" t="s">
        <v>71</v>
      </c>
      <c r="AS1453" s="1" t="s">
        <v>71</v>
      </c>
      <c r="AX1453" s="1" t="s">
        <v>71</v>
      </c>
      <c r="BH1453" s="1" t="s">
        <v>71</v>
      </c>
    </row>
    <row r="1454" customFormat="false" ht="15" hidden="false" customHeight="false" outlineLevel="0" collapsed="false">
      <c r="A1454" s="1" t="s">
        <v>4989</v>
      </c>
      <c r="B1454" s="1" t="s">
        <v>4990</v>
      </c>
      <c r="C1454" s="1" t="s">
        <v>59</v>
      </c>
      <c r="D1454" s="1" t="s">
        <v>4991</v>
      </c>
      <c r="E1454" s="1" t="s">
        <v>88</v>
      </c>
      <c r="F1454" s="1" t="s">
        <v>432</v>
      </c>
      <c r="G1454" s="1" t="s">
        <v>232</v>
      </c>
      <c r="H1454" s="1" t="s">
        <v>4194</v>
      </c>
      <c r="K1454" s="1" t="s">
        <v>61</v>
      </c>
      <c r="L1454" s="1" t="s">
        <v>4990</v>
      </c>
      <c r="M1454" s="1" t="s">
        <v>496</v>
      </c>
      <c r="N1454" s="1" t="s">
        <v>399</v>
      </c>
      <c r="O1454" s="1" t="s">
        <v>400</v>
      </c>
      <c r="P1454" s="1" t="s">
        <v>4992</v>
      </c>
      <c r="Z1454" s="1" t="s">
        <v>71</v>
      </c>
      <c r="AE1454" s="1" t="s">
        <v>4984</v>
      </c>
      <c r="AH1454" s="1" t="s">
        <v>73</v>
      </c>
      <c r="AK1454" s="1" t="s">
        <v>71</v>
      </c>
      <c r="AM1454" s="1" t="s">
        <v>71</v>
      </c>
      <c r="AN1454" s="1" t="s">
        <v>71</v>
      </c>
      <c r="AS1454" s="1" t="s">
        <v>71</v>
      </c>
      <c r="AX1454" s="1" t="s">
        <v>71</v>
      </c>
      <c r="BH1454" s="1" t="s">
        <v>71</v>
      </c>
    </row>
    <row r="1455" customFormat="false" ht="15" hidden="false" customHeight="false" outlineLevel="0" collapsed="false">
      <c r="A1455" s="1" t="s">
        <v>4993</v>
      </c>
      <c r="B1455" s="1" t="s">
        <v>4994</v>
      </c>
      <c r="C1455" s="1" t="s">
        <v>4995</v>
      </c>
      <c r="D1455" s="1" t="s">
        <v>4996</v>
      </c>
      <c r="E1455" s="1" t="s">
        <v>82</v>
      </c>
      <c r="F1455" s="1" t="s">
        <v>391</v>
      </c>
      <c r="G1455" s="1" t="s">
        <v>182</v>
      </c>
      <c r="H1455" s="1" t="s">
        <v>392</v>
      </c>
      <c r="K1455" s="1" t="s">
        <v>65</v>
      </c>
      <c r="L1455" s="1" t="s">
        <v>517</v>
      </c>
      <c r="M1455" s="1" t="s">
        <v>496</v>
      </c>
      <c r="N1455" s="1" t="s">
        <v>2326</v>
      </c>
      <c r="O1455" s="1" t="s">
        <v>2327</v>
      </c>
      <c r="P1455" s="1" t="s">
        <v>4997</v>
      </c>
      <c r="Z1455" s="1" t="s">
        <v>71</v>
      </c>
      <c r="AE1455" s="1" t="s">
        <v>4998</v>
      </c>
      <c r="AH1455" s="1" t="s">
        <v>73</v>
      </c>
      <c r="AK1455" s="1" t="s">
        <v>71</v>
      </c>
      <c r="AM1455" s="1" t="s">
        <v>71</v>
      </c>
      <c r="AN1455" s="1" t="s">
        <v>71</v>
      </c>
      <c r="AS1455" s="1" t="s">
        <v>71</v>
      </c>
      <c r="AX1455" s="1" t="s">
        <v>71</v>
      </c>
      <c r="BH1455" s="1" t="s">
        <v>71</v>
      </c>
    </row>
    <row r="1456" customFormat="false" ht="15" hidden="false" customHeight="false" outlineLevel="0" collapsed="false">
      <c r="A1456" s="1" t="s">
        <v>4999</v>
      </c>
      <c r="B1456" s="1" t="s">
        <v>5000</v>
      </c>
      <c r="C1456" s="1" t="s">
        <v>969</v>
      </c>
      <c r="D1456" s="1" t="s">
        <v>3352</v>
      </c>
      <c r="E1456" s="1" t="s">
        <v>82</v>
      </c>
      <c r="F1456" s="1" t="s">
        <v>391</v>
      </c>
      <c r="G1456" s="1" t="s">
        <v>443</v>
      </c>
      <c r="H1456" s="1" t="s">
        <v>444</v>
      </c>
      <c r="K1456" s="1" t="s">
        <v>61</v>
      </c>
      <c r="L1456" s="1" t="s">
        <v>445</v>
      </c>
      <c r="M1456" s="1" t="s">
        <v>496</v>
      </c>
      <c r="N1456" s="1" t="s">
        <v>807</v>
      </c>
      <c r="O1456" s="1" t="s">
        <v>808</v>
      </c>
      <c r="P1456" s="1" t="s">
        <v>3645</v>
      </c>
      <c r="Z1456" s="1" t="s">
        <v>71</v>
      </c>
      <c r="AE1456" s="1" t="s">
        <v>4998</v>
      </c>
      <c r="AH1456" s="1" t="s">
        <v>73</v>
      </c>
      <c r="AK1456" s="1" t="s">
        <v>71</v>
      </c>
      <c r="AM1456" s="1" t="s">
        <v>71</v>
      </c>
      <c r="AN1456" s="1" t="s">
        <v>71</v>
      </c>
      <c r="AS1456" s="1" t="s">
        <v>71</v>
      </c>
      <c r="AX1456" s="1" t="s">
        <v>71</v>
      </c>
      <c r="BH1456" s="1" t="s">
        <v>71</v>
      </c>
    </row>
    <row r="1457" customFormat="false" ht="15" hidden="false" customHeight="false" outlineLevel="0" collapsed="false">
      <c r="A1457" s="1" t="s">
        <v>5001</v>
      </c>
      <c r="B1457" s="1" t="s">
        <v>5002</v>
      </c>
      <c r="C1457" s="1" t="s">
        <v>969</v>
      </c>
      <c r="D1457" s="1" t="s">
        <v>3352</v>
      </c>
      <c r="E1457" s="1" t="s">
        <v>82</v>
      </c>
      <c r="F1457" s="1" t="s">
        <v>391</v>
      </c>
      <c r="G1457" s="1" t="s">
        <v>443</v>
      </c>
      <c r="H1457" s="1" t="s">
        <v>444</v>
      </c>
      <c r="K1457" s="1" t="s">
        <v>61</v>
      </c>
      <c r="L1457" s="1" t="s">
        <v>445</v>
      </c>
      <c r="M1457" s="1" t="s">
        <v>496</v>
      </c>
      <c r="N1457" s="1" t="s">
        <v>2691</v>
      </c>
      <c r="O1457" s="1" t="s">
        <v>400</v>
      </c>
      <c r="P1457" s="1" t="s">
        <v>3527</v>
      </c>
      <c r="U1457" s="1" t="s">
        <v>5001</v>
      </c>
      <c r="Z1457" s="1" t="s">
        <v>71</v>
      </c>
      <c r="AE1457" s="1" t="s">
        <v>4998</v>
      </c>
      <c r="AH1457" s="1" t="s">
        <v>73</v>
      </c>
      <c r="AK1457" s="1" t="s">
        <v>71</v>
      </c>
      <c r="AM1457" s="1" t="s">
        <v>71</v>
      </c>
      <c r="AN1457" s="1" t="s">
        <v>71</v>
      </c>
      <c r="AS1457" s="1" t="s">
        <v>71</v>
      </c>
      <c r="AX1457" s="1" t="s">
        <v>71</v>
      </c>
      <c r="BH1457" s="1" t="s">
        <v>71</v>
      </c>
    </row>
    <row r="1458" customFormat="false" ht="15" hidden="false" customHeight="false" outlineLevel="0" collapsed="false">
      <c r="A1458" s="1" t="s">
        <v>5003</v>
      </c>
      <c r="B1458" s="1" t="s">
        <v>5004</v>
      </c>
      <c r="C1458" s="1" t="s">
        <v>769</v>
      </c>
      <c r="D1458" s="1" t="s">
        <v>390</v>
      </c>
      <c r="E1458" s="1" t="s">
        <v>82</v>
      </c>
      <c r="F1458" s="1" t="s">
        <v>391</v>
      </c>
      <c r="G1458" s="1" t="s">
        <v>182</v>
      </c>
      <c r="H1458" s="1" t="s">
        <v>392</v>
      </c>
      <c r="K1458" s="1" t="s">
        <v>65</v>
      </c>
      <c r="L1458" s="1" t="s">
        <v>517</v>
      </c>
      <c r="M1458" s="1" t="s">
        <v>496</v>
      </c>
      <c r="N1458" s="1" t="s">
        <v>2796</v>
      </c>
      <c r="O1458" s="1" t="s">
        <v>2797</v>
      </c>
      <c r="P1458" s="1" t="s">
        <v>4294</v>
      </c>
      <c r="Z1458" s="1" t="s">
        <v>71</v>
      </c>
      <c r="AE1458" s="1" t="s">
        <v>4998</v>
      </c>
      <c r="AH1458" s="1" t="s">
        <v>73</v>
      </c>
      <c r="AK1458" s="1" t="s">
        <v>71</v>
      </c>
      <c r="AM1458" s="1" t="s">
        <v>71</v>
      </c>
      <c r="AN1458" s="1" t="s">
        <v>71</v>
      </c>
      <c r="AS1458" s="1" t="s">
        <v>71</v>
      </c>
      <c r="AX1458" s="1" t="s">
        <v>71</v>
      </c>
      <c r="BH1458" s="1" t="s">
        <v>71</v>
      </c>
    </row>
    <row r="1459" customFormat="false" ht="15" hidden="false" customHeight="false" outlineLevel="0" collapsed="false">
      <c r="A1459" s="1" t="s">
        <v>5005</v>
      </c>
      <c r="B1459" s="1" t="s">
        <v>5006</v>
      </c>
      <c r="C1459" s="1" t="s">
        <v>161</v>
      </c>
      <c r="D1459" s="1" t="s">
        <v>162</v>
      </c>
      <c r="E1459" s="1" t="s">
        <v>61</v>
      </c>
      <c r="F1459" s="1" t="s">
        <v>101</v>
      </c>
      <c r="G1459" s="1" t="s">
        <v>93</v>
      </c>
      <c r="H1459" s="1" t="s">
        <v>64</v>
      </c>
      <c r="K1459" s="1" t="s">
        <v>582</v>
      </c>
      <c r="L1459" s="1" t="s">
        <v>4731</v>
      </c>
      <c r="M1459" s="1" t="s">
        <v>104</v>
      </c>
      <c r="N1459" s="1" t="s">
        <v>1177</v>
      </c>
      <c r="O1459" s="1" t="s">
        <v>1178</v>
      </c>
      <c r="P1459" s="1" t="s">
        <v>4732</v>
      </c>
      <c r="U1459" s="1" t="s">
        <v>5005</v>
      </c>
      <c r="Z1459" s="1" t="s">
        <v>71</v>
      </c>
      <c r="AE1459" s="1" t="s">
        <v>4998</v>
      </c>
      <c r="AH1459" s="1" t="s">
        <v>73</v>
      </c>
      <c r="AK1459" s="1" t="s">
        <v>71</v>
      </c>
      <c r="AM1459" s="1" t="s">
        <v>71</v>
      </c>
      <c r="AN1459" s="1" t="s">
        <v>71</v>
      </c>
      <c r="AS1459" s="1" t="s">
        <v>71</v>
      </c>
      <c r="AX1459" s="1" t="s">
        <v>71</v>
      </c>
      <c r="AY1459" s="1" t="s">
        <v>59</v>
      </c>
      <c r="AZ1459" s="1" t="s">
        <v>74</v>
      </c>
      <c r="BH1459" s="1" t="s">
        <v>71</v>
      </c>
    </row>
    <row r="1460" customFormat="false" ht="15" hidden="false" customHeight="false" outlineLevel="0" collapsed="false">
      <c r="A1460" s="1" t="s">
        <v>5007</v>
      </c>
      <c r="B1460" s="1" t="s">
        <v>5008</v>
      </c>
      <c r="C1460" s="1" t="s">
        <v>769</v>
      </c>
      <c r="D1460" s="1" t="s">
        <v>390</v>
      </c>
      <c r="E1460" s="1" t="s">
        <v>82</v>
      </c>
      <c r="F1460" s="1" t="s">
        <v>391</v>
      </c>
      <c r="G1460" s="1" t="s">
        <v>443</v>
      </c>
      <c r="H1460" s="1" t="s">
        <v>444</v>
      </c>
      <c r="K1460" s="1" t="s">
        <v>61</v>
      </c>
      <c r="L1460" s="1" t="s">
        <v>445</v>
      </c>
      <c r="M1460" s="1" t="s">
        <v>496</v>
      </c>
      <c r="N1460" s="1" t="s">
        <v>2691</v>
      </c>
      <c r="O1460" s="1" t="s">
        <v>400</v>
      </c>
      <c r="P1460" s="1" t="s">
        <v>3527</v>
      </c>
      <c r="Z1460" s="1" t="s">
        <v>71</v>
      </c>
      <c r="AE1460" s="1" t="s">
        <v>4998</v>
      </c>
      <c r="AH1460" s="1" t="s">
        <v>73</v>
      </c>
      <c r="AK1460" s="1" t="s">
        <v>71</v>
      </c>
      <c r="AM1460" s="1" t="s">
        <v>71</v>
      </c>
      <c r="AN1460" s="1" t="s">
        <v>71</v>
      </c>
      <c r="AS1460" s="1" t="s">
        <v>71</v>
      </c>
      <c r="AX1460" s="1" t="s">
        <v>71</v>
      </c>
      <c r="BH1460" s="1" t="s">
        <v>71</v>
      </c>
    </row>
    <row r="1461" customFormat="false" ht="15" hidden="false" customHeight="false" outlineLevel="0" collapsed="false">
      <c r="A1461" s="1" t="s">
        <v>5009</v>
      </c>
      <c r="B1461" s="1" t="s">
        <v>5010</v>
      </c>
      <c r="C1461" s="1" t="s">
        <v>1394</v>
      </c>
      <c r="D1461" s="1" t="s">
        <v>5011</v>
      </c>
      <c r="E1461" s="1" t="s">
        <v>82</v>
      </c>
      <c r="F1461" s="1" t="s">
        <v>391</v>
      </c>
      <c r="G1461" s="1" t="s">
        <v>97</v>
      </c>
      <c r="H1461" s="1" t="s">
        <v>406</v>
      </c>
      <c r="K1461" s="1" t="s">
        <v>65</v>
      </c>
      <c r="L1461" s="1" t="s">
        <v>860</v>
      </c>
      <c r="M1461" s="1" t="s">
        <v>496</v>
      </c>
      <c r="N1461" s="1" t="s">
        <v>4590</v>
      </c>
      <c r="O1461" s="1" t="s">
        <v>447</v>
      </c>
      <c r="P1461" s="1" t="s">
        <v>4591</v>
      </c>
      <c r="Z1461" s="1" t="s">
        <v>71</v>
      </c>
      <c r="AE1461" s="1" t="s">
        <v>5012</v>
      </c>
      <c r="AH1461" s="1" t="s">
        <v>73</v>
      </c>
      <c r="AK1461" s="1" t="s">
        <v>71</v>
      </c>
      <c r="AM1461" s="1" t="s">
        <v>71</v>
      </c>
      <c r="AN1461" s="1" t="s">
        <v>71</v>
      </c>
      <c r="AS1461" s="1" t="s">
        <v>71</v>
      </c>
      <c r="AX1461" s="1" t="s">
        <v>71</v>
      </c>
      <c r="BH1461" s="1" t="s">
        <v>71</v>
      </c>
    </row>
    <row r="1462" customFormat="false" ht="15" hidden="false" customHeight="false" outlineLevel="0" collapsed="false">
      <c r="A1462" s="1" t="s">
        <v>5013</v>
      </c>
      <c r="B1462" s="1" t="s">
        <v>5014</v>
      </c>
      <c r="C1462" s="1" t="s">
        <v>520</v>
      </c>
      <c r="D1462" s="1" t="s">
        <v>1678</v>
      </c>
      <c r="E1462" s="1" t="s">
        <v>82</v>
      </c>
      <c r="F1462" s="1" t="s">
        <v>391</v>
      </c>
      <c r="G1462" s="1" t="s">
        <v>443</v>
      </c>
      <c r="H1462" s="1" t="s">
        <v>444</v>
      </c>
      <c r="K1462" s="1" t="s">
        <v>618</v>
      </c>
      <c r="L1462" s="1" t="s">
        <v>619</v>
      </c>
      <c r="M1462" s="1" t="s">
        <v>4885</v>
      </c>
      <c r="N1462" s="1" t="s">
        <v>3092</v>
      </c>
      <c r="O1462" s="1" t="s">
        <v>3093</v>
      </c>
      <c r="P1462" s="1" t="s">
        <v>4095</v>
      </c>
      <c r="Z1462" s="1" t="s">
        <v>71</v>
      </c>
      <c r="AE1462" s="1" t="s">
        <v>5012</v>
      </c>
      <c r="AH1462" s="1" t="s">
        <v>73</v>
      </c>
      <c r="AK1462" s="1" t="s">
        <v>71</v>
      </c>
      <c r="AM1462" s="1" t="s">
        <v>71</v>
      </c>
      <c r="AN1462" s="1" t="s">
        <v>71</v>
      </c>
      <c r="AS1462" s="1" t="s">
        <v>71</v>
      </c>
      <c r="AX1462" s="1" t="s">
        <v>71</v>
      </c>
      <c r="BH1462" s="1" t="s">
        <v>71</v>
      </c>
    </row>
    <row r="1463" customFormat="false" ht="15" hidden="false" customHeight="false" outlineLevel="0" collapsed="false">
      <c r="A1463" s="1" t="s">
        <v>5015</v>
      </c>
      <c r="B1463" s="1" t="s">
        <v>5016</v>
      </c>
      <c r="C1463" s="1" t="s">
        <v>520</v>
      </c>
      <c r="D1463" s="1" t="s">
        <v>1678</v>
      </c>
      <c r="E1463" s="1" t="s">
        <v>82</v>
      </c>
      <c r="F1463" s="1" t="s">
        <v>391</v>
      </c>
      <c r="G1463" s="1" t="s">
        <v>443</v>
      </c>
      <c r="H1463" s="1" t="s">
        <v>444</v>
      </c>
      <c r="K1463" s="1" t="s">
        <v>618</v>
      </c>
      <c r="L1463" s="1" t="s">
        <v>619</v>
      </c>
      <c r="M1463" s="1" t="s">
        <v>1681</v>
      </c>
      <c r="N1463" s="1" t="s">
        <v>1682</v>
      </c>
      <c r="O1463" s="1" t="s">
        <v>1001</v>
      </c>
      <c r="P1463" s="1" t="s">
        <v>3472</v>
      </c>
      <c r="Z1463" s="1" t="s">
        <v>71</v>
      </c>
      <c r="AE1463" s="1" t="s">
        <v>5012</v>
      </c>
      <c r="AH1463" s="1" t="s">
        <v>73</v>
      </c>
      <c r="AK1463" s="1" t="s">
        <v>71</v>
      </c>
      <c r="AM1463" s="1" t="s">
        <v>71</v>
      </c>
      <c r="AN1463" s="1" t="s">
        <v>71</v>
      </c>
      <c r="AS1463" s="1" t="s">
        <v>71</v>
      </c>
      <c r="AX1463" s="1" t="s">
        <v>71</v>
      </c>
      <c r="BH1463" s="1" t="s">
        <v>71</v>
      </c>
    </row>
    <row r="1464" customFormat="false" ht="15" hidden="false" customHeight="false" outlineLevel="0" collapsed="false">
      <c r="A1464" s="1" t="s">
        <v>5017</v>
      </c>
      <c r="B1464" s="1" t="s">
        <v>5018</v>
      </c>
      <c r="C1464" s="1" t="s">
        <v>520</v>
      </c>
      <c r="D1464" s="1" t="s">
        <v>1678</v>
      </c>
      <c r="E1464" s="1" t="s">
        <v>82</v>
      </c>
      <c r="F1464" s="1" t="s">
        <v>391</v>
      </c>
      <c r="G1464" s="1" t="s">
        <v>443</v>
      </c>
      <c r="H1464" s="1" t="s">
        <v>444</v>
      </c>
      <c r="K1464" s="1" t="s">
        <v>618</v>
      </c>
      <c r="L1464" s="1" t="s">
        <v>619</v>
      </c>
      <c r="M1464" s="1" t="s">
        <v>5019</v>
      </c>
      <c r="N1464" s="1" t="s">
        <v>5020</v>
      </c>
      <c r="O1464" s="1" t="s">
        <v>5021</v>
      </c>
      <c r="P1464" s="1" t="s">
        <v>5022</v>
      </c>
      <c r="Z1464" s="1" t="s">
        <v>71</v>
      </c>
      <c r="AE1464" s="1" t="s">
        <v>5012</v>
      </c>
      <c r="AH1464" s="1" t="s">
        <v>73</v>
      </c>
      <c r="AK1464" s="1" t="s">
        <v>71</v>
      </c>
      <c r="AM1464" s="1" t="s">
        <v>71</v>
      </c>
      <c r="AN1464" s="1" t="s">
        <v>71</v>
      </c>
      <c r="AS1464" s="1" t="s">
        <v>71</v>
      </c>
      <c r="AX1464" s="1" t="s">
        <v>71</v>
      </c>
      <c r="BH1464" s="1" t="s">
        <v>71</v>
      </c>
    </row>
    <row r="1465" customFormat="false" ht="15" hidden="false" customHeight="false" outlineLevel="0" collapsed="false">
      <c r="A1465" s="1" t="s">
        <v>5023</v>
      </c>
      <c r="B1465" s="1" t="s">
        <v>5024</v>
      </c>
      <c r="C1465" s="1" t="s">
        <v>1213</v>
      </c>
      <c r="D1465" s="1" t="s">
        <v>4651</v>
      </c>
      <c r="E1465" s="1" t="s">
        <v>82</v>
      </c>
      <c r="F1465" s="1" t="s">
        <v>391</v>
      </c>
      <c r="G1465" s="1" t="s">
        <v>213</v>
      </c>
      <c r="H1465" s="1" t="s">
        <v>477</v>
      </c>
      <c r="K1465" s="1" t="s">
        <v>478</v>
      </c>
      <c r="L1465" s="1" t="s">
        <v>479</v>
      </c>
      <c r="M1465" s="1" t="s">
        <v>496</v>
      </c>
      <c r="N1465" s="1" t="s">
        <v>1777</v>
      </c>
      <c r="O1465" s="1" t="s">
        <v>1778</v>
      </c>
      <c r="P1465" s="1" t="s">
        <v>5025</v>
      </c>
      <c r="Z1465" s="1" t="s">
        <v>71</v>
      </c>
      <c r="AE1465" s="1" t="s">
        <v>5026</v>
      </c>
      <c r="AH1465" s="1" t="s">
        <v>73</v>
      </c>
      <c r="AK1465" s="1" t="s">
        <v>71</v>
      </c>
      <c r="AM1465" s="1" t="s">
        <v>71</v>
      </c>
      <c r="AN1465" s="1" t="s">
        <v>71</v>
      </c>
      <c r="AS1465" s="1" t="s">
        <v>71</v>
      </c>
      <c r="AX1465" s="1" t="s">
        <v>71</v>
      </c>
      <c r="BH1465" s="1" t="s">
        <v>71</v>
      </c>
    </row>
    <row r="1466" customFormat="false" ht="15" hidden="false" customHeight="false" outlineLevel="0" collapsed="false">
      <c r="A1466" s="1" t="s">
        <v>5027</v>
      </c>
      <c r="B1466" s="1" t="s">
        <v>5028</v>
      </c>
      <c r="C1466" s="1" t="s">
        <v>1399</v>
      </c>
      <c r="D1466" s="1" t="s">
        <v>1400</v>
      </c>
      <c r="E1466" s="1" t="s">
        <v>82</v>
      </c>
      <c r="F1466" s="1" t="s">
        <v>391</v>
      </c>
      <c r="G1466" s="1" t="s">
        <v>1356</v>
      </c>
      <c r="H1466" s="1" t="s">
        <v>1825</v>
      </c>
      <c r="K1466" s="1" t="s">
        <v>251</v>
      </c>
      <c r="L1466" s="1" t="s">
        <v>3580</v>
      </c>
      <c r="M1466" s="1" t="s">
        <v>496</v>
      </c>
      <c r="N1466" s="1" t="s">
        <v>5029</v>
      </c>
      <c r="O1466" s="1" t="s">
        <v>5030</v>
      </c>
      <c r="P1466" s="1" t="s">
        <v>5031</v>
      </c>
      <c r="Z1466" s="1" t="s">
        <v>71</v>
      </c>
      <c r="AE1466" s="1" t="s">
        <v>5026</v>
      </c>
      <c r="AH1466" s="1" t="s">
        <v>73</v>
      </c>
      <c r="AK1466" s="1" t="s">
        <v>71</v>
      </c>
      <c r="AM1466" s="1" t="s">
        <v>71</v>
      </c>
      <c r="AN1466" s="1" t="s">
        <v>71</v>
      </c>
      <c r="AS1466" s="1" t="s">
        <v>71</v>
      </c>
      <c r="AX1466" s="1" t="s">
        <v>71</v>
      </c>
      <c r="BH1466" s="1" t="s">
        <v>71</v>
      </c>
    </row>
    <row r="1467" customFormat="false" ht="15" hidden="false" customHeight="false" outlineLevel="0" collapsed="false">
      <c r="A1467" s="1" t="s">
        <v>5032</v>
      </c>
      <c r="B1467" s="1" t="s">
        <v>5033</v>
      </c>
      <c r="C1467" s="1" t="s">
        <v>992</v>
      </c>
      <c r="D1467" s="1" t="s">
        <v>3306</v>
      </c>
      <c r="E1467" s="1" t="s">
        <v>82</v>
      </c>
      <c r="F1467" s="1" t="s">
        <v>391</v>
      </c>
      <c r="G1467" s="1" t="s">
        <v>443</v>
      </c>
      <c r="H1467" s="1" t="s">
        <v>444</v>
      </c>
      <c r="K1467" s="1" t="s">
        <v>61</v>
      </c>
      <c r="L1467" s="1" t="s">
        <v>445</v>
      </c>
      <c r="M1467" s="1" t="s">
        <v>2020</v>
      </c>
      <c r="N1467" s="1" t="s">
        <v>3309</v>
      </c>
      <c r="O1467" s="1" t="s">
        <v>3310</v>
      </c>
      <c r="P1467" s="1" t="s">
        <v>3762</v>
      </c>
      <c r="Z1467" s="1" t="s">
        <v>71</v>
      </c>
      <c r="AE1467" s="1" t="s">
        <v>5034</v>
      </c>
      <c r="AH1467" s="1" t="s">
        <v>73</v>
      </c>
      <c r="AK1467" s="1" t="s">
        <v>71</v>
      </c>
      <c r="AM1467" s="1" t="s">
        <v>71</v>
      </c>
      <c r="AN1467" s="1" t="s">
        <v>71</v>
      </c>
      <c r="AS1467" s="1" t="s">
        <v>71</v>
      </c>
      <c r="AX1467" s="1" t="s">
        <v>71</v>
      </c>
      <c r="BH1467" s="1" t="s">
        <v>71</v>
      </c>
    </row>
    <row r="1468" customFormat="false" ht="15" hidden="false" customHeight="false" outlineLevel="0" collapsed="false">
      <c r="A1468" s="1" t="s">
        <v>5035</v>
      </c>
      <c r="B1468" s="1" t="s">
        <v>5036</v>
      </c>
      <c r="C1468" s="1" t="s">
        <v>969</v>
      </c>
      <c r="D1468" s="1" t="s">
        <v>3352</v>
      </c>
      <c r="E1468" s="1" t="s">
        <v>82</v>
      </c>
      <c r="F1468" s="1" t="s">
        <v>391</v>
      </c>
      <c r="G1468" s="1" t="s">
        <v>443</v>
      </c>
      <c r="H1468" s="1" t="s">
        <v>444</v>
      </c>
      <c r="K1468" s="1" t="s">
        <v>61</v>
      </c>
      <c r="L1468" s="1" t="s">
        <v>445</v>
      </c>
      <c r="M1468" s="1" t="s">
        <v>3458</v>
      </c>
      <c r="N1468" s="1" t="s">
        <v>807</v>
      </c>
      <c r="O1468" s="1" t="s">
        <v>808</v>
      </c>
      <c r="P1468" s="1" t="s">
        <v>3645</v>
      </c>
      <c r="Z1468" s="1" t="s">
        <v>71</v>
      </c>
      <c r="AE1468" s="1" t="s">
        <v>5034</v>
      </c>
      <c r="AH1468" s="1" t="s">
        <v>73</v>
      </c>
      <c r="AK1468" s="1" t="s">
        <v>71</v>
      </c>
      <c r="AM1468" s="1" t="s">
        <v>71</v>
      </c>
      <c r="AN1468" s="1" t="s">
        <v>71</v>
      </c>
      <c r="AS1468" s="1" t="s">
        <v>71</v>
      </c>
      <c r="AX1468" s="1" t="s">
        <v>71</v>
      </c>
      <c r="BH1468" s="1" t="s">
        <v>71</v>
      </c>
    </row>
    <row r="1469" customFormat="false" ht="15" hidden="false" customHeight="false" outlineLevel="0" collapsed="false">
      <c r="A1469" s="1" t="s">
        <v>5037</v>
      </c>
      <c r="B1469" s="1" t="s">
        <v>5038</v>
      </c>
      <c r="C1469" s="1" t="s">
        <v>969</v>
      </c>
      <c r="D1469" s="1" t="s">
        <v>3352</v>
      </c>
      <c r="E1469" s="1" t="s">
        <v>82</v>
      </c>
      <c r="F1469" s="1" t="s">
        <v>391</v>
      </c>
      <c r="G1469" s="1" t="s">
        <v>443</v>
      </c>
      <c r="H1469" s="1" t="s">
        <v>444</v>
      </c>
      <c r="K1469" s="1" t="s">
        <v>61</v>
      </c>
      <c r="L1469" s="1" t="s">
        <v>445</v>
      </c>
      <c r="M1469" s="1" t="s">
        <v>2225</v>
      </c>
      <c r="N1469" s="1" t="s">
        <v>905</v>
      </c>
      <c r="O1469" s="1" t="s">
        <v>906</v>
      </c>
      <c r="P1469" s="1" t="s">
        <v>4315</v>
      </c>
      <c r="S1469" s="1" t="s">
        <v>433</v>
      </c>
      <c r="Z1469" s="1" t="s">
        <v>71</v>
      </c>
      <c r="AE1469" s="1" t="s">
        <v>5034</v>
      </c>
      <c r="AH1469" s="1" t="s">
        <v>73</v>
      </c>
      <c r="AK1469" s="1" t="s">
        <v>71</v>
      </c>
      <c r="AM1469" s="1" t="s">
        <v>71</v>
      </c>
      <c r="AN1469" s="1" t="s">
        <v>71</v>
      </c>
      <c r="AS1469" s="1" t="s">
        <v>71</v>
      </c>
      <c r="AX1469" s="1" t="s">
        <v>71</v>
      </c>
      <c r="BH1469" s="1" t="s">
        <v>71</v>
      </c>
    </row>
    <row r="1470" customFormat="false" ht="15" hidden="false" customHeight="false" outlineLevel="0" collapsed="false">
      <c r="A1470" s="1" t="s">
        <v>5039</v>
      </c>
      <c r="B1470" s="1" t="s">
        <v>5040</v>
      </c>
      <c r="C1470" s="1" t="s">
        <v>969</v>
      </c>
      <c r="D1470" s="1" t="s">
        <v>3352</v>
      </c>
      <c r="E1470" s="1" t="s">
        <v>82</v>
      </c>
      <c r="F1470" s="1" t="s">
        <v>391</v>
      </c>
      <c r="G1470" s="1" t="s">
        <v>443</v>
      </c>
      <c r="H1470" s="1" t="s">
        <v>444</v>
      </c>
      <c r="K1470" s="1" t="s">
        <v>61</v>
      </c>
      <c r="L1470" s="1" t="s">
        <v>445</v>
      </c>
      <c r="M1470" s="1" t="s">
        <v>496</v>
      </c>
      <c r="N1470" s="1" t="s">
        <v>668</v>
      </c>
      <c r="O1470" s="1" t="s">
        <v>669</v>
      </c>
      <c r="P1470" s="1" t="s">
        <v>3931</v>
      </c>
      <c r="Z1470" s="1" t="s">
        <v>71</v>
      </c>
      <c r="AE1470" s="1" t="s">
        <v>5034</v>
      </c>
      <c r="AH1470" s="1" t="s">
        <v>73</v>
      </c>
      <c r="AK1470" s="1" t="s">
        <v>71</v>
      </c>
      <c r="AM1470" s="1" t="s">
        <v>71</v>
      </c>
      <c r="AN1470" s="1" t="s">
        <v>71</v>
      </c>
      <c r="AS1470" s="1" t="s">
        <v>71</v>
      </c>
      <c r="AX1470" s="1" t="s">
        <v>71</v>
      </c>
      <c r="BH1470" s="1" t="s">
        <v>71</v>
      </c>
    </row>
    <row r="1471" customFormat="false" ht="15" hidden="false" customHeight="false" outlineLevel="0" collapsed="false">
      <c r="A1471" s="1" t="s">
        <v>5041</v>
      </c>
      <c r="B1471" s="1" t="s">
        <v>5042</v>
      </c>
      <c r="C1471" s="1" t="s">
        <v>969</v>
      </c>
      <c r="D1471" s="1" t="s">
        <v>3352</v>
      </c>
      <c r="E1471" s="1" t="s">
        <v>82</v>
      </c>
      <c r="F1471" s="1" t="s">
        <v>391</v>
      </c>
      <c r="G1471" s="1" t="s">
        <v>443</v>
      </c>
      <c r="H1471" s="1" t="s">
        <v>444</v>
      </c>
      <c r="K1471" s="1" t="s">
        <v>61</v>
      </c>
      <c r="L1471" s="1" t="s">
        <v>445</v>
      </c>
      <c r="M1471" s="1" t="s">
        <v>496</v>
      </c>
      <c r="N1471" s="1" t="s">
        <v>3234</v>
      </c>
      <c r="O1471" s="1" t="s">
        <v>3235</v>
      </c>
      <c r="P1471" s="1" t="s">
        <v>5043</v>
      </c>
      <c r="Z1471" s="1" t="s">
        <v>71</v>
      </c>
      <c r="AE1471" s="1" t="s">
        <v>5034</v>
      </c>
      <c r="AH1471" s="1" t="s">
        <v>73</v>
      </c>
      <c r="AK1471" s="1" t="s">
        <v>71</v>
      </c>
      <c r="AM1471" s="1" t="s">
        <v>71</v>
      </c>
      <c r="AN1471" s="1" t="s">
        <v>71</v>
      </c>
      <c r="AS1471" s="1" t="s">
        <v>71</v>
      </c>
      <c r="AX1471" s="1" t="s">
        <v>71</v>
      </c>
      <c r="BH1471" s="1" t="s">
        <v>71</v>
      </c>
    </row>
    <row r="1472" customFormat="false" ht="15" hidden="false" customHeight="false" outlineLevel="0" collapsed="false">
      <c r="A1472" s="1" t="s">
        <v>5044</v>
      </c>
      <c r="B1472" s="1" t="s">
        <v>5045</v>
      </c>
      <c r="C1472" s="1" t="s">
        <v>969</v>
      </c>
      <c r="D1472" s="1" t="s">
        <v>3352</v>
      </c>
      <c r="E1472" s="1" t="s">
        <v>82</v>
      </c>
      <c r="F1472" s="1" t="s">
        <v>391</v>
      </c>
      <c r="G1472" s="1" t="s">
        <v>443</v>
      </c>
      <c r="H1472" s="1" t="s">
        <v>444</v>
      </c>
      <c r="K1472" s="1" t="s">
        <v>61</v>
      </c>
      <c r="L1472" s="1" t="s">
        <v>445</v>
      </c>
      <c r="M1472" s="1" t="s">
        <v>496</v>
      </c>
      <c r="N1472" s="1" t="s">
        <v>5046</v>
      </c>
      <c r="O1472" s="1" t="s">
        <v>400</v>
      </c>
      <c r="P1472" s="1" t="s">
        <v>5047</v>
      </c>
      <c r="Z1472" s="1" t="s">
        <v>71</v>
      </c>
      <c r="AE1472" s="1" t="s">
        <v>5034</v>
      </c>
      <c r="AH1472" s="1" t="s">
        <v>73</v>
      </c>
      <c r="AK1472" s="1" t="s">
        <v>71</v>
      </c>
      <c r="AM1472" s="1" t="s">
        <v>71</v>
      </c>
      <c r="AN1472" s="1" t="s">
        <v>71</v>
      </c>
      <c r="AS1472" s="1" t="s">
        <v>71</v>
      </c>
      <c r="AX1472" s="1" t="s">
        <v>71</v>
      </c>
      <c r="BH1472" s="1" t="s">
        <v>71</v>
      </c>
    </row>
    <row r="1473" customFormat="false" ht="15" hidden="false" customHeight="false" outlineLevel="0" collapsed="false">
      <c r="A1473" s="1" t="s">
        <v>5048</v>
      </c>
      <c r="B1473" s="1" t="s">
        <v>5049</v>
      </c>
      <c r="C1473" s="1" t="s">
        <v>969</v>
      </c>
      <c r="D1473" s="1" t="s">
        <v>3352</v>
      </c>
      <c r="E1473" s="1" t="s">
        <v>82</v>
      </c>
      <c r="F1473" s="1" t="s">
        <v>391</v>
      </c>
      <c r="G1473" s="1" t="s">
        <v>443</v>
      </c>
      <c r="H1473" s="1" t="s">
        <v>444</v>
      </c>
      <c r="K1473" s="1" t="s">
        <v>61</v>
      </c>
      <c r="L1473" s="1" t="s">
        <v>445</v>
      </c>
      <c r="M1473" s="1" t="s">
        <v>1681</v>
      </c>
      <c r="N1473" s="1" t="s">
        <v>3092</v>
      </c>
      <c r="O1473" s="1" t="s">
        <v>3093</v>
      </c>
      <c r="P1473" s="1" t="s">
        <v>4095</v>
      </c>
      <c r="Z1473" s="1" t="s">
        <v>71</v>
      </c>
      <c r="AE1473" s="1" t="s">
        <v>5034</v>
      </c>
      <c r="AH1473" s="1" t="s">
        <v>73</v>
      </c>
      <c r="AK1473" s="1" t="s">
        <v>71</v>
      </c>
      <c r="AM1473" s="1" t="s">
        <v>71</v>
      </c>
      <c r="AN1473" s="1" t="s">
        <v>71</v>
      </c>
      <c r="AS1473" s="1" t="s">
        <v>71</v>
      </c>
      <c r="AX1473" s="1" t="s">
        <v>71</v>
      </c>
      <c r="BH1473" s="1" t="s">
        <v>71</v>
      </c>
    </row>
    <row r="1474" customFormat="false" ht="15" hidden="false" customHeight="false" outlineLevel="0" collapsed="false">
      <c r="A1474" s="1" t="s">
        <v>5050</v>
      </c>
      <c r="B1474" s="1" t="s">
        <v>5051</v>
      </c>
      <c r="C1474" s="1" t="s">
        <v>969</v>
      </c>
      <c r="D1474" s="1" t="s">
        <v>3352</v>
      </c>
      <c r="E1474" s="1" t="s">
        <v>82</v>
      </c>
      <c r="F1474" s="1" t="s">
        <v>391</v>
      </c>
      <c r="G1474" s="1" t="s">
        <v>443</v>
      </c>
      <c r="H1474" s="1" t="s">
        <v>444</v>
      </c>
      <c r="K1474" s="1" t="s">
        <v>61</v>
      </c>
      <c r="L1474" s="1" t="s">
        <v>445</v>
      </c>
      <c r="M1474" s="1" t="s">
        <v>496</v>
      </c>
      <c r="N1474" s="1" t="s">
        <v>2691</v>
      </c>
      <c r="O1474" s="1" t="s">
        <v>400</v>
      </c>
      <c r="P1474" s="1" t="s">
        <v>3527</v>
      </c>
      <c r="Z1474" s="1" t="s">
        <v>71</v>
      </c>
      <c r="AE1474" s="1" t="s">
        <v>5034</v>
      </c>
      <c r="AH1474" s="1" t="s">
        <v>73</v>
      </c>
      <c r="AK1474" s="1" t="s">
        <v>71</v>
      </c>
      <c r="AM1474" s="1" t="s">
        <v>71</v>
      </c>
      <c r="AN1474" s="1" t="s">
        <v>71</v>
      </c>
      <c r="AS1474" s="1" t="s">
        <v>71</v>
      </c>
      <c r="AX1474" s="1" t="s">
        <v>71</v>
      </c>
      <c r="BH1474" s="1" t="s">
        <v>71</v>
      </c>
    </row>
    <row r="1475" customFormat="false" ht="15" hidden="false" customHeight="false" outlineLevel="0" collapsed="false">
      <c r="A1475" s="1" t="s">
        <v>5052</v>
      </c>
      <c r="B1475" s="1" t="s">
        <v>5053</v>
      </c>
      <c r="C1475" s="1" t="s">
        <v>1354</v>
      </c>
      <c r="D1475" s="1" t="s">
        <v>5054</v>
      </c>
      <c r="E1475" s="1" t="s">
        <v>82</v>
      </c>
      <c r="F1475" s="1" t="s">
        <v>391</v>
      </c>
      <c r="G1475" s="1" t="s">
        <v>443</v>
      </c>
      <c r="H1475" s="1" t="s">
        <v>444</v>
      </c>
      <c r="K1475" s="1" t="s">
        <v>618</v>
      </c>
      <c r="L1475" s="1" t="s">
        <v>619</v>
      </c>
      <c r="M1475" s="1" t="s">
        <v>2020</v>
      </c>
      <c r="N1475" s="1" t="s">
        <v>5055</v>
      </c>
      <c r="O1475" s="1" t="s">
        <v>447</v>
      </c>
      <c r="P1475" s="1" t="s">
        <v>5056</v>
      </c>
      <c r="Z1475" s="1" t="s">
        <v>71</v>
      </c>
      <c r="AE1475" s="1" t="s">
        <v>5034</v>
      </c>
      <c r="AH1475" s="1" t="s">
        <v>73</v>
      </c>
      <c r="AK1475" s="1" t="s">
        <v>71</v>
      </c>
      <c r="AM1475" s="1" t="s">
        <v>71</v>
      </c>
      <c r="AN1475" s="1" t="s">
        <v>71</v>
      </c>
      <c r="AS1475" s="1" t="s">
        <v>71</v>
      </c>
      <c r="AX1475" s="1" t="s">
        <v>71</v>
      </c>
      <c r="BH1475" s="1" t="s">
        <v>71</v>
      </c>
    </row>
    <row r="1476" customFormat="false" ht="15" hidden="false" customHeight="false" outlineLevel="0" collapsed="false">
      <c r="A1476" s="1" t="s">
        <v>5057</v>
      </c>
      <c r="B1476" s="1" t="s">
        <v>5058</v>
      </c>
      <c r="C1476" s="1" t="s">
        <v>1354</v>
      </c>
      <c r="D1476" s="1" t="s">
        <v>5054</v>
      </c>
      <c r="E1476" s="1" t="s">
        <v>82</v>
      </c>
      <c r="F1476" s="1" t="s">
        <v>391</v>
      </c>
      <c r="G1476" s="1" t="s">
        <v>443</v>
      </c>
      <c r="H1476" s="1" t="s">
        <v>444</v>
      </c>
      <c r="K1476" s="1" t="s">
        <v>618</v>
      </c>
      <c r="L1476" s="1" t="s">
        <v>619</v>
      </c>
      <c r="M1476" s="1" t="s">
        <v>2020</v>
      </c>
      <c r="N1476" s="1" t="s">
        <v>3831</v>
      </c>
      <c r="O1476" s="1" t="s">
        <v>3832</v>
      </c>
      <c r="P1476" s="1" t="s">
        <v>3833</v>
      </c>
      <c r="Z1476" s="1" t="s">
        <v>71</v>
      </c>
      <c r="AE1476" s="1" t="s">
        <v>5034</v>
      </c>
      <c r="AH1476" s="1" t="s">
        <v>73</v>
      </c>
      <c r="AK1476" s="1" t="s">
        <v>71</v>
      </c>
      <c r="AM1476" s="1" t="s">
        <v>71</v>
      </c>
      <c r="AN1476" s="1" t="s">
        <v>71</v>
      </c>
      <c r="AS1476" s="1" t="s">
        <v>71</v>
      </c>
      <c r="AX1476" s="1" t="s">
        <v>71</v>
      </c>
      <c r="BH1476" s="1" t="s">
        <v>71</v>
      </c>
    </row>
    <row r="1477" customFormat="false" ht="15" hidden="false" customHeight="false" outlineLevel="0" collapsed="false">
      <c r="A1477" s="1" t="s">
        <v>5059</v>
      </c>
      <c r="B1477" s="1" t="s">
        <v>5060</v>
      </c>
      <c r="C1477" s="1" t="s">
        <v>1354</v>
      </c>
      <c r="D1477" s="1" t="s">
        <v>5054</v>
      </c>
      <c r="E1477" s="1" t="s">
        <v>82</v>
      </c>
      <c r="F1477" s="1" t="s">
        <v>391</v>
      </c>
      <c r="G1477" s="1" t="s">
        <v>443</v>
      </c>
      <c r="H1477" s="1" t="s">
        <v>444</v>
      </c>
      <c r="K1477" s="1" t="s">
        <v>618</v>
      </c>
      <c r="L1477" s="1" t="s">
        <v>619</v>
      </c>
      <c r="M1477" s="1" t="s">
        <v>2020</v>
      </c>
      <c r="N1477" s="1" t="s">
        <v>4041</v>
      </c>
      <c r="O1477" s="1" t="s">
        <v>4042</v>
      </c>
      <c r="P1477" s="1" t="s">
        <v>4043</v>
      </c>
      <c r="Z1477" s="1" t="s">
        <v>71</v>
      </c>
      <c r="AE1477" s="1" t="s">
        <v>5034</v>
      </c>
      <c r="AH1477" s="1" t="s">
        <v>73</v>
      </c>
      <c r="AK1477" s="1" t="s">
        <v>71</v>
      </c>
      <c r="AM1477" s="1" t="s">
        <v>71</v>
      </c>
      <c r="AN1477" s="1" t="s">
        <v>71</v>
      </c>
      <c r="AS1477" s="1" t="s">
        <v>71</v>
      </c>
      <c r="AX1477" s="1" t="s">
        <v>71</v>
      </c>
      <c r="BH1477" s="1" t="s">
        <v>71</v>
      </c>
    </row>
    <row r="1478" customFormat="false" ht="15" hidden="false" customHeight="false" outlineLevel="0" collapsed="false">
      <c r="A1478" s="1" t="s">
        <v>5061</v>
      </c>
      <c r="B1478" s="1" t="s">
        <v>5062</v>
      </c>
      <c r="C1478" s="1" t="s">
        <v>182</v>
      </c>
      <c r="D1478" s="1" t="s">
        <v>239</v>
      </c>
      <c r="E1478" s="1" t="s">
        <v>61</v>
      </c>
      <c r="F1478" s="1" t="s">
        <v>101</v>
      </c>
      <c r="G1478" s="1" t="s">
        <v>275</v>
      </c>
      <c r="H1478" s="1" t="s">
        <v>276</v>
      </c>
      <c r="K1478" s="1" t="s">
        <v>1118</v>
      </c>
      <c r="L1478" s="1" t="s">
        <v>3151</v>
      </c>
      <c r="M1478" s="1" t="s">
        <v>5063</v>
      </c>
      <c r="N1478" s="1" t="s">
        <v>5064</v>
      </c>
      <c r="O1478" s="1" t="s">
        <v>5065</v>
      </c>
      <c r="P1478" s="1" t="s">
        <v>5066</v>
      </c>
      <c r="U1478" s="1" t="s">
        <v>245</v>
      </c>
      <c r="Z1478" s="1" t="s">
        <v>71</v>
      </c>
      <c r="AE1478" s="1" t="s">
        <v>5034</v>
      </c>
      <c r="AH1478" s="1" t="s">
        <v>73</v>
      </c>
      <c r="AK1478" s="1" t="s">
        <v>71</v>
      </c>
      <c r="AM1478" s="1" t="s">
        <v>71</v>
      </c>
      <c r="AN1478" s="1" t="s">
        <v>71</v>
      </c>
      <c r="AS1478" s="1" t="s">
        <v>71</v>
      </c>
      <c r="AX1478" s="1" t="s">
        <v>71</v>
      </c>
      <c r="AY1478" s="1" t="s">
        <v>59</v>
      </c>
      <c r="AZ1478" s="1" t="s">
        <v>74</v>
      </c>
      <c r="BH1478" s="1" t="s">
        <v>71</v>
      </c>
    </row>
    <row r="1479" customFormat="false" ht="15" hidden="false" customHeight="false" outlineLevel="0" collapsed="false">
      <c r="A1479" s="1" t="s">
        <v>5067</v>
      </c>
      <c r="B1479" s="1" t="s">
        <v>5068</v>
      </c>
      <c r="C1479" s="1" t="s">
        <v>1354</v>
      </c>
      <c r="D1479" s="1" t="s">
        <v>5054</v>
      </c>
      <c r="E1479" s="1" t="s">
        <v>82</v>
      </c>
      <c r="F1479" s="1" t="s">
        <v>391</v>
      </c>
      <c r="G1479" s="1" t="s">
        <v>443</v>
      </c>
      <c r="H1479" s="1" t="s">
        <v>444</v>
      </c>
      <c r="K1479" s="1" t="s">
        <v>618</v>
      </c>
      <c r="L1479" s="1" t="s">
        <v>619</v>
      </c>
      <c r="M1479" s="1" t="s">
        <v>2020</v>
      </c>
      <c r="N1479" s="1" t="s">
        <v>5069</v>
      </c>
      <c r="O1479" s="1" t="s">
        <v>5070</v>
      </c>
      <c r="P1479" s="1" t="s">
        <v>5071</v>
      </c>
      <c r="Z1479" s="1" t="s">
        <v>71</v>
      </c>
      <c r="AE1479" s="1" t="s">
        <v>5034</v>
      </c>
      <c r="AH1479" s="1" t="s">
        <v>73</v>
      </c>
      <c r="AK1479" s="1" t="s">
        <v>71</v>
      </c>
      <c r="AM1479" s="1" t="s">
        <v>71</v>
      </c>
      <c r="AN1479" s="1" t="s">
        <v>71</v>
      </c>
      <c r="AS1479" s="1" t="s">
        <v>71</v>
      </c>
      <c r="AX1479" s="1" t="s">
        <v>71</v>
      </c>
      <c r="BH1479" s="1" t="s">
        <v>71</v>
      </c>
    </row>
    <row r="1480" customFormat="false" ht="15" hidden="false" customHeight="false" outlineLevel="0" collapsed="false">
      <c r="A1480" s="1" t="s">
        <v>5072</v>
      </c>
      <c r="B1480" s="1" t="s">
        <v>5073</v>
      </c>
      <c r="C1480" s="1" t="s">
        <v>4633</v>
      </c>
      <c r="D1480" s="1" t="s">
        <v>4634</v>
      </c>
      <c r="E1480" s="1" t="s">
        <v>82</v>
      </c>
      <c r="F1480" s="1" t="s">
        <v>391</v>
      </c>
      <c r="G1480" s="1" t="s">
        <v>443</v>
      </c>
      <c r="H1480" s="1" t="s">
        <v>444</v>
      </c>
      <c r="K1480" s="1" t="s">
        <v>61</v>
      </c>
      <c r="L1480" s="1" t="s">
        <v>445</v>
      </c>
      <c r="M1480" s="1" t="s">
        <v>465</v>
      </c>
      <c r="N1480" s="1" t="s">
        <v>2888</v>
      </c>
      <c r="O1480" s="1" t="s">
        <v>400</v>
      </c>
      <c r="P1480" s="1" t="s">
        <v>4327</v>
      </c>
      <c r="Z1480" s="1" t="s">
        <v>71</v>
      </c>
      <c r="AE1480" s="1" t="s">
        <v>5074</v>
      </c>
      <c r="AH1480" s="1" t="s">
        <v>73</v>
      </c>
      <c r="AK1480" s="1" t="s">
        <v>71</v>
      </c>
      <c r="AM1480" s="1" t="s">
        <v>71</v>
      </c>
      <c r="AN1480" s="1" t="s">
        <v>71</v>
      </c>
      <c r="AS1480" s="1" t="s">
        <v>71</v>
      </c>
      <c r="AX1480" s="1" t="s">
        <v>71</v>
      </c>
      <c r="BH1480" s="1" t="s">
        <v>71</v>
      </c>
    </row>
    <row r="1481" customFormat="false" ht="15" hidden="false" customHeight="false" outlineLevel="0" collapsed="false">
      <c r="A1481" s="1" t="s">
        <v>5075</v>
      </c>
      <c r="B1481" s="1" t="s">
        <v>5076</v>
      </c>
      <c r="C1481" s="1" t="s">
        <v>4962</v>
      </c>
      <c r="D1481" s="1" t="s">
        <v>4963</v>
      </c>
      <c r="E1481" s="1" t="s">
        <v>82</v>
      </c>
      <c r="F1481" s="1" t="s">
        <v>391</v>
      </c>
      <c r="G1481" s="1" t="s">
        <v>443</v>
      </c>
      <c r="H1481" s="1" t="s">
        <v>444</v>
      </c>
      <c r="K1481" s="1" t="s">
        <v>61</v>
      </c>
      <c r="L1481" s="1" t="s">
        <v>445</v>
      </c>
      <c r="M1481" s="1" t="s">
        <v>496</v>
      </c>
      <c r="N1481" s="1" t="s">
        <v>5077</v>
      </c>
      <c r="O1481" s="1" t="s">
        <v>5078</v>
      </c>
      <c r="P1481" s="1" t="s">
        <v>5079</v>
      </c>
      <c r="Z1481" s="1" t="s">
        <v>71</v>
      </c>
      <c r="AE1481" s="1" t="s">
        <v>5074</v>
      </c>
      <c r="AH1481" s="1" t="s">
        <v>73</v>
      </c>
      <c r="AK1481" s="1" t="s">
        <v>71</v>
      </c>
      <c r="AM1481" s="1" t="s">
        <v>71</v>
      </c>
      <c r="AN1481" s="1" t="s">
        <v>71</v>
      </c>
      <c r="AS1481" s="1" t="s">
        <v>71</v>
      </c>
      <c r="AX1481" s="1" t="s">
        <v>71</v>
      </c>
      <c r="BH1481" s="1" t="s">
        <v>71</v>
      </c>
    </row>
    <row r="1482" customFormat="false" ht="15" hidden="false" customHeight="false" outlineLevel="0" collapsed="false">
      <c r="A1482" s="1" t="s">
        <v>5080</v>
      </c>
      <c r="B1482" s="1" t="s">
        <v>5081</v>
      </c>
      <c r="C1482" s="1" t="s">
        <v>4962</v>
      </c>
      <c r="D1482" s="1" t="s">
        <v>4963</v>
      </c>
      <c r="E1482" s="1" t="s">
        <v>82</v>
      </c>
      <c r="F1482" s="1" t="s">
        <v>391</v>
      </c>
      <c r="G1482" s="1" t="s">
        <v>443</v>
      </c>
      <c r="H1482" s="1" t="s">
        <v>444</v>
      </c>
      <c r="K1482" s="1" t="s">
        <v>61</v>
      </c>
      <c r="L1482" s="1" t="s">
        <v>445</v>
      </c>
      <c r="M1482" s="1" t="s">
        <v>496</v>
      </c>
      <c r="N1482" s="1" t="s">
        <v>3309</v>
      </c>
      <c r="O1482" s="1" t="s">
        <v>3310</v>
      </c>
      <c r="P1482" s="1" t="s">
        <v>3762</v>
      </c>
      <c r="Z1482" s="1" t="s">
        <v>71</v>
      </c>
      <c r="AE1482" s="1" t="s">
        <v>5074</v>
      </c>
      <c r="AH1482" s="1" t="s">
        <v>73</v>
      </c>
      <c r="AK1482" s="1" t="s">
        <v>71</v>
      </c>
      <c r="AM1482" s="1" t="s">
        <v>71</v>
      </c>
      <c r="AN1482" s="1" t="s">
        <v>71</v>
      </c>
      <c r="AS1482" s="1" t="s">
        <v>71</v>
      </c>
      <c r="AX1482" s="1" t="s">
        <v>71</v>
      </c>
      <c r="BH1482" s="1" t="s">
        <v>71</v>
      </c>
    </row>
    <row r="1483" customFormat="false" ht="15" hidden="false" customHeight="false" outlineLevel="0" collapsed="false">
      <c r="A1483" s="1" t="s">
        <v>5082</v>
      </c>
      <c r="B1483" s="1" t="s">
        <v>5083</v>
      </c>
      <c r="C1483" s="1" t="s">
        <v>4962</v>
      </c>
      <c r="D1483" s="1" t="s">
        <v>4963</v>
      </c>
      <c r="E1483" s="1" t="s">
        <v>82</v>
      </c>
      <c r="F1483" s="1" t="s">
        <v>391</v>
      </c>
      <c r="G1483" s="1" t="s">
        <v>443</v>
      </c>
      <c r="H1483" s="1" t="s">
        <v>444</v>
      </c>
      <c r="K1483" s="1" t="s">
        <v>61</v>
      </c>
      <c r="L1483" s="1" t="s">
        <v>445</v>
      </c>
      <c r="M1483" s="1" t="s">
        <v>496</v>
      </c>
      <c r="N1483" s="1" t="s">
        <v>394</v>
      </c>
      <c r="O1483" s="1" t="s">
        <v>395</v>
      </c>
      <c r="P1483" s="1" t="s">
        <v>3674</v>
      </c>
      <c r="Z1483" s="1" t="s">
        <v>71</v>
      </c>
      <c r="AE1483" s="1" t="s">
        <v>5074</v>
      </c>
      <c r="AH1483" s="1" t="s">
        <v>73</v>
      </c>
      <c r="AK1483" s="1" t="s">
        <v>71</v>
      </c>
      <c r="AM1483" s="1" t="s">
        <v>71</v>
      </c>
      <c r="AN1483" s="1" t="s">
        <v>71</v>
      </c>
      <c r="AS1483" s="1" t="s">
        <v>71</v>
      </c>
      <c r="AX1483" s="1" t="s">
        <v>71</v>
      </c>
      <c r="BH1483" s="1" t="s">
        <v>71</v>
      </c>
    </row>
    <row r="1484" customFormat="false" ht="15" hidden="false" customHeight="false" outlineLevel="0" collapsed="false">
      <c r="A1484" s="1" t="s">
        <v>5084</v>
      </c>
      <c r="B1484" s="1" t="s">
        <v>5085</v>
      </c>
      <c r="C1484" s="1" t="s">
        <v>4962</v>
      </c>
      <c r="D1484" s="1" t="s">
        <v>4963</v>
      </c>
      <c r="E1484" s="1" t="s">
        <v>82</v>
      </c>
      <c r="F1484" s="1" t="s">
        <v>391</v>
      </c>
      <c r="G1484" s="1" t="s">
        <v>443</v>
      </c>
      <c r="H1484" s="1" t="s">
        <v>444</v>
      </c>
      <c r="K1484" s="1" t="s">
        <v>61</v>
      </c>
      <c r="L1484" s="1" t="s">
        <v>445</v>
      </c>
      <c r="M1484" s="1" t="s">
        <v>496</v>
      </c>
      <c r="N1484" s="1" t="s">
        <v>394</v>
      </c>
      <c r="O1484" s="1" t="s">
        <v>395</v>
      </c>
      <c r="P1484" s="1" t="s">
        <v>3674</v>
      </c>
      <c r="Z1484" s="1" t="s">
        <v>71</v>
      </c>
      <c r="AE1484" s="1" t="s">
        <v>5074</v>
      </c>
      <c r="AH1484" s="1" t="s">
        <v>73</v>
      </c>
      <c r="AK1484" s="1" t="s">
        <v>71</v>
      </c>
      <c r="AM1484" s="1" t="s">
        <v>71</v>
      </c>
      <c r="AN1484" s="1" t="s">
        <v>71</v>
      </c>
      <c r="AS1484" s="1" t="s">
        <v>71</v>
      </c>
      <c r="AX1484" s="1" t="s">
        <v>71</v>
      </c>
      <c r="BH1484" s="1" t="s">
        <v>71</v>
      </c>
    </row>
    <row r="1485" customFormat="false" ht="15" hidden="false" customHeight="false" outlineLevel="0" collapsed="false">
      <c r="A1485" s="1" t="s">
        <v>5086</v>
      </c>
      <c r="B1485" s="1" t="s">
        <v>5087</v>
      </c>
      <c r="C1485" s="1" t="s">
        <v>4962</v>
      </c>
      <c r="D1485" s="1" t="s">
        <v>4963</v>
      </c>
      <c r="E1485" s="1" t="s">
        <v>82</v>
      </c>
      <c r="F1485" s="1" t="s">
        <v>391</v>
      </c>
      <c r="G1485" s="1" t="s">
        <v>443</v>
      </c>
      <c r="H1485" s="1" t="s">
        <v>444</v>
      </c>
      <c r="K1485" s="1" t="s">
        <v>61</v>
      </c>
      <c r="L1485" s="1" t="s">
        <v>445</v>
      </c>
      <c r="M1485" s="1" t="s">
        <v>496</v>
      </c>
      <c r="N1485" s="1" t="s">
        <v>4909</v>
      </c>
      <c r="O1485" s="1" t="s">
        <v>4910</v>
      </c>
      <c r="P1485" s="1" t="s">
        <v>4911</v>
      </c>
      <c r="Z1485" s="1" t="s">
        <v>71</v>
      </c>
      <c r="AE1485" s="1" t="s">
        <v>5074</v>
      </c>
      <c r="AH1485" s="1" t="s">
        <v>73</v>
      </c>
      <c r="AK1485" s="1" t="s">
        <v>71</v>
      </c>
      <c r="AM1485" s="1" t="s">
        <v>71</v>
      </c>
      <c r="AN1485" s="1" t="s">
        <v>71</v>
      </c>
      <c r="AS1485" s="1" t="s">
        <v>71</v>
      </c>
      <c r="AX1485" s="1" t="s">
        <v>71</v>
      </c>
      <c r="BH1485" s="1" t="s">
        <v>71</v>
      </c>
    </row>
    <row r="1486" customFormat="false" ht="15" hidden="false" customHeight="false" outlineLevel="0" collapsed="false">
      <c r="A1486" s="1" t="s">
        <v>5088</v>
      </c>
      <c r="B1486" s="1" t="s">
        <v>5089</v>
      </c>
      <c r="C1486" s="1" t="s">
        <v>4962</v>
      </c>
      <c r="D1486" s="1" t="s">
        <v>4963</v>
      </c>
      <c r="E1486" s="1" t="s">
        <v>82</v>
      </c>
      <c r="F1486" s="1" t="s">
        <v>391</v>
      </c>
      <c r="G1486" s="1" t="s">
        <v>443</v>
      </c>
      <c r="H1486" s="1" t="s">
        <v>444</v>
      </c>
      <c r="K1486" s="1" t="s">
        <v>61</v>
      </c>
      <c r="L1486" s="1" t="s">
        <v>445</v>
      </c>
      <c r="M1486" s="1" t="s">
        <v>496</v>
      </c>
      <c r="N1486" s="1" t="s">
        <v>4909</v>
      </c>
      <c r="O1486" s="1" t="s">
        <v>4910</v>
      </c>
      <c r="P1486" s="1" t="s">
        <v>4911</v>
      </c>
      <c r="Z1486" s="1" t="s">
        <v>71</v>
      </c>
      <c r="AE1486" s="1" t="s">
        <v>5074</v>
      </c>
      <c r="AH1486" s="1" t="s">
        <v>73</v>
      </c>
      <c r="AK1486" s="1" t="s">
        <v>71</v>
      </c>
      <c r="AM1486" s="1" t="s">
        <v>71</v>
      </c>
      <c r="AN1486" s="1" t="s">
        <v>71</v>
      </c>
      <c r="AS1486" s="1" t="s">
        <v>71</v>
      </c>
      <c r="AX1486" s="1" t="s">
        <v>71</v>
      </c>
      <c r="BH1486" s="1" t="s">
        <v>71</v>
      </c>
    </row>
    <row r="1487" customFormat="false" ht="15" hidden="false" customHeight="false" outlineLevel="0" collapsed="false">
      <c r="A1487" s="1" t="s">
        <v>5090</v>
      </c>
      <c r="B1487" s="1" t="s">
        <v>5091</v>
      </c>
      <c r="C1487" s="1" t="s">
        <v>288</v>
      </c>
      <c r="D1487" s="1" t="s">
        <v>289</v>
      </c>
      <c r="E1487" s="1" t="s">
        <v>61</v>
      </c>
      <c r="F1487" s="1" t="s">
        <v>101</v>
      </c>
      <c r="G1487" s="1" t="s">
        <v>93</v>
      </c>
      <c r="H1487" s="1" t="s">
        <v>64</v>
      </c>
      <c r="K1487" s="1" t="s">
        <v>1018</v>
      </c>
      <c r="L1487" s="1" t="s">
        <v>1019</v>
      </c>
      <c r="M1487" s="1" t="s">
        <v>1563</v>
      </c>
      <c r="N1487" s="1" t="s">
        <v>123</v>
      </c>
      <c r="O1487" s="1" t="s">
        <v>124</v>
      </c>
      <c r="P1487" s="1" t="s">
        <v>4161</v>
      </c>
      <c r="U1487" s="1" t="s">
        <v>5090</v>
      </c>
      <c r="Z1487" s="1" t="s">
        <v>71</v>
      </c>
      <c r="AE1487" s="1" t="s">
        <v>5074</v>
      </c>
      <c r="AH1487" s="1" t="s">
        <v>73</v>
      </c>
      <c r="AK1487" s="1" t="s">
        <v>71</v>
      </c>
      <c r="AM1487" s="1" t="s">
        <v>71</v>
      </c>
      <c r="AN1487" s="1" t="s">
        <v>71</v>
      </c>
      <c r="AS1487" s="1" t="s">
        <v>71</v>
      </c>
      <c r="AX1487" s="1" t="s">
        <v>71</v>
      </c>
      <c r="AY1487" s="1" t="s">
        <v>59</v>
      </c>
      <c r="AZ1487" s="1" t="s">
        <v>74</v>
      </c>
      <c r="BH1487" s="1" t="s">
        <v>71</v>
      </c>
    </row>
    <row r="1488" customFormat="false" ht="15" hidden="false" customHeight="false" outlineLevel="0" collapsed="false">
      <c r="A1488" s="1" t="s">
        <v>5092</v>
      </c>
      <c r="B1488" s="1" t="s">
        <v>5093</v>
      </c>
      <c r="C1488" s="1" t="s">
        <v>288</v>
      </c>
      <c r="D1488" s="1" t="s">
        <v>289</v>
      </c>
      <c r="E1488" s="1" t="s">
        <v>61</v>
      </c>
      <c r="F1488" s="1" t="s">
        <v>101</v>
      </c>
      <c r="G1488" s="1" t="s">
        <v>93</v>
      </c>
      <c r="H1488" s="1" t="s">
        <v>64</v>
      </c>
      <c r="K1488" s="1" t="s">
        <v>2113</v>
      </c>
      <c r="L1488" s="1" t="s">
        <v>4189</v>
      </c>
      <c r="M1488" s="1" t="s">
        <v>104</v>
      </c>
      <c r="N1488" s="1" t="s">
        <v>105</v>
      </c>
      <c r="O1488" s="1" t="s">
        <v>106</v>
      </c>
      <c r="P1488" s="1" t="s">
        <v>3539</v>
      </c>
      <c r="U1488" s="1" t="s">
        <v>5092</v>
      </c>
      <c r="Z1488" s="1" t="s">
        <v>71</v>
      </c>
      <c r="AE1488" s="1" t="s">
        <v>5074</v>
      </c>
      <c r="AH1488" s="1" t="s">
        <v>73</v>
      </c>
      <c r="AK1488" s="1" t="s">
        <v>71</v>
      </c>
      <c r="AM1488" s="1" t="s">
        <v>71</v>
      </c>
      <c r="AN1488" s="1" t="s">
        <v>71</v>
      </c>
      <c r="AS1488" s="1" t="s">
        <v>71</v>
      </c>
      <c r="AX1488" s="1" t="s">
        <v>71</v>
      </c>
      <c r="AY1488" s="1" t="s">
        <v>59</v>
      </c>
      <c r="AZ1488" s="1" t="s">
        <v>74</v>
      </c>
      <c r="BH1488" s="1" t="s">
        <v>71</v>
      </c>
    </row>
    <row r="1489" customFormat="false" ht="15" hidden="false" customHeight="false" outlineLevel="0" collapsed="false">
      <c r="A1489" s="1" t="s">
        <v>5094</v>
      </c>
      <c r="B1489" s="1" t="s">
        <v>5095</v>
      </c>
      <c r="C1489" s="1" t="s">
        <v>288</v>
      </c>
      <c r="D1489" s="1" t="s">
        <v>289</v>
      </c>
      <c r="E1489" s="1" t="s">
        <v>61</v>
      </c>
      <c r="F1489" s="1" t="s">
        <v>101</v>
      </c>
      <c r="G1489" s="1" t="s">
        <v>134</v>
      </c>
      <c r="H1489" s="1" t="s">
        <v>4875</v>
      </c>
      <c r="K1489" s="1" t="s">
        <v>5096</v>
      </c>
      <c r="L1489" s="1" t="s">
        <v>5097</v>
      </c>
      <c r="M1489" s="1" t="s">
        <v>5098</v>
      </c>
      <c r="N1489" s="1" t="s">
        <v>123</v>
      </c>
      <c r="O1489" s="1" t="s">
        <v>124</v>
      </c>
      <c r="P1489" s="1" t="s">
        <v>4161</v>
      </c>
      <c r="U1489" s="1" t="s">
        <v>5094</v>
      </c>
      <c r="Z1489" s="1" t="s">
        <v>71</v>
      </c>
      <c r="AE1489" s="1" t="s">
        <v>5074</v>
      </c>
      <c r="AH1489" s="1" t="s">
        <v>73</v>
      </c>
      <c r="AK1489" s="1" t="s">
        <v>71</v>
      </c>
      <c r="AM1489" s="1" t="s">
        <v>71</v>
      </c>
      <c r="AN1489" s="1" t="s">
        <v>71</v>
      </c>
      <c r="AS1489" s="1" t="s">
        <v>71</v>
      </c>
      <c r="AX1489" s="1" t="s">
        <v>71</v>
      </c>
      <c r="AY1489" s="1" t="s">
        <v>59</v>
      </c>
      <c r="AZ1489" s="1" t="s">
        <v>74</v>
      </c>
      <c r="BH1489" s="1" t="s">
        <v>71</v>
      </c>
    </row>
    <row r="1490" customFormat="false" ht="15" hidden="false" customHeight="false" outlineLevel="0" collapsed="false">
      <c r="A1490" s="1" t="s">
        <v>5099</v>
      </c>
      <c r="B1490" s="1" t="s">
        <v>5100</v>
      </c>
      <c r="C1490" s="1" t="s">
        <v>288</v>
      </c>
      <c r="D1490" s="1" t="s">
        <v>289</v>
      </c>
      <c r="E1490" s="1" t="s">
        <v>61</v>
      </c>
      <c r="F1490" s="1" t="s">
        <v>101</v>
      </c>
      <c r="G1490" s="1" t="s">
        <v>93</v>
      </c>
      <c r="H1490" s="1" t="s">
        <v>64</v>
      </c>
      <c r="K1490" s="1" t="s">
        <v>211</v>
      </c>
      <c r="L1490" s="1" t="s">
        <v>1661</v>
      </c>
      <c r="M1490" s="1" t="s">
        <v>122</v>
      </c>
      <c r="N1490" s="1" t="s">
        <v>105</v>
      </c>
      <c r="O1490" s="1" t="s">
        <v>106</v>
      </c>
      <c r="P1490" s="1" t="s">
        <v>3539</v>
      </c>
      <c r="U1490" s="1" t="s">
        <v>5099</v>
      </c>
      <c r="Z1490" s="1" t="s">
        <v>71</v>
      </c>
      <c r="AE1490" s="1" t="s">
        <v>5074</v>
      </c>
      <c r="AH1490" s="1" t="s">
        <v>73</v>
      </c>
      <c r="AK1490" s="1" t="s">
        <v>71</v>
      </c>
      <c r="AM1490" s="1" t="s">
        <v>71</v>
      </c>
      <c r="AN1490" s="1" t="s">
        <v>71</v>
      </c>
      <c r="AS1490" s="1" t="s">
        <v>71</v>
      </c>
      <c r="AX1490" s="1" t="s">
        <v>71</v>
      </c>
      <c r="AY1490" s="1" t="s">
        <v>59</v>
      </c>
      <c r="AZ1490" s="1" t="s">
        <v>74</v>
      </c>
      <c r="BH1490" s="1" t="s">
        <v>71</v>
      </c>
    </row>
    <row r="1491" customFormat="false" ht="15" hidden="false" customHeight="false" outlineLevel="0" collapsed="false">
      <c r="A1491" s="1" t="s">
        <v>5101</v>
      </c>
      <c r="B1491" s="1" t="s">
        <v>5102</v>
      </c>
      <c r="C1491" s="1" t="s">
        <v>1158</v>
      </c>
      <c r="D1491" s="1" t="s">
        <v>4456</v>
      </c>
      <c r="E1491" s="1" t="s">
        <v>82</v>
      </c>
      <c r="F1491" s="1" t="s">
        <v>391</v>
      </c>
      <c r="G1491" s="1" t="s">
        <v>213</v>
      </c>
      <c r="H1491" s="1" t="s">
        <v>477</v>
      </c>
      <c r="K1491" s="1" t="s">
        <v>478</v>
      </c>
      <c r="L1491" s="1" t="s">
        <v>479</v>
      </c>
      <c r="M1491" s="1" t="s">
        <v>496</v>
      </c>
      <c r="N1491" s="1" t="s">
        <v>5103</v>
      </c>
      <c r="O1491" s="1" t="s">
        <v>1841</v>
      </c>
      <c r="P1491" s="1" t="s">
        <v>5104</v>
      </c>
      <c r="Z1491" s="1" t="s">
        <v>71</v>
      </c>
      <c r="AE1491" s="1" t="s">
        <v>5105</v>
      </c>
      <c r="AH1491" s="1" t="s">
        <v>73</v>
      </c>
      <c r="AK1491" s="1" t="s">
        <v>71</v>
      </c>
      <c r="AM1491" s="1" t="s">
        <v>71</v>
      </c>
      <c r="AN1491" s="1" t="s">
        <v>71</v>
      </c>
      <c r="AS1491" s="1" t="s">
        <v>71</v>
      </c>
      <c r="AX1491" s="1" t="s">
        <v>71</v>
      </c>
      <c r="BH1491" s="1" t="s">
        <v>71</v>
      </c>
    </row>
    <row r="1492" customFormat="false" ht="15" hidden="false" customHeight="false" outlineLevel="0" collapsed="false">
      <c r="A1492" s="1" t="s">
        <v>5106</v>
      </c>
      <c r="B1492" s="1" t="s">
        <v>5107</v>
      </c>
      <c r="C1492" s="1" t="s">
        <v>1407</v>
      </c>
      <c r="D1492" s="1" t="s">
        <v>5108</v>
      </c>
      <c r="E1492" s="1" t="s">
        <v>61</v>
      </c>
      <c r="F1492" s="1" t="s">
        <v>101</v>
      </c>
      <c r="G1492" s="1" t="s">
        <v>148</v>
      </c>
      <c r="H1492" s="1" t="s">
        <v>231</v>
      </c>
      <c r="K1492" s="1" t="s">
        <v>240</v>
      </c>
      <c r="L1492" s="1" t="s">
        <v>241</v>
      </c>
      <c r="M1492" s="1" t="s">
        <v>310</v>
      </c>
      <c r="N1492" s="1" t="s">
        <v>243</v>
      </c>
      <c r="O1492" s="1" t="s">
        <v>244</v>
      </c>
      <c r="P1492" s="1" t="s">
        <v>3503</v>
      </c>
      <c r="U1492" s="1" t="s">
        <v>5106</v>
      </c>
      <c r="Z1492" s="1" t="s">
        <v>71</v>
      </c>
      <c r="AE1492" s="1" t="s">
        <v>5109</v>
      </c>
      <c r="AH1492" s="1" t="s">
        <v>73</v>
      </c>
      <c r="AK1492" s="1" t="s">
        <v>71</v>
      </c>
      <c r="AM1492" s="1" t="s">
        <v>71</v>
      </c>
      <c r="AN1492" s="1" t="s">
        <v>71</v>
      </c>
      <c r="AS1492" s="1" t="s">
        <v>71</v>
      </c>
      <c r="AX1492" s="1" t="s">
        <v>71</v>
      </c>
      <c r="AY1492" s="1" t="s">
        <v>59</v>
      </c>
      <c r="AZ1492" s="1" t="s">
        <v>74</v>
      </c>
      <c r="BH1492" s="1" t="s">
        <v>71</v>
      </c>
    </row>
    <row r="1493" customFormat="false" ht="15" hidden="false" customHeight="false" outlineLevel="0" collapsed="false">
      <c r="A1493" s="1" t="s">
        <v>5110</v>
      </c>
      <c r="B1493" s="1" t="s">
        <v>5111</v>
      </c>
      <c r="C1493" s="1" t="s">
        <v>1407</v>
      </c>
      <c r="D1493" s="1" t="s">
        <v>5108</v>
      </c>
      <c r="E1493" s="1" t="s">
        <v>61</v>
      </c>
      <c r="F1493" s="1" t="s">
        <v>101</v>
      </c>
      <c r="G1493" s="1" t="s">
        <v>148</v>
      </c>
      <c r="H1493" s="1" t="s">
        <v>231</v>
      </c>
      <c r="K1493" s="1" t="s">
        <v>573</v>
      </c>
      <c r="L1493" s="1" t="s">
        <v>1671</v>
      </c>
      <c r="M1493" s="1" t="s">
        <v>310</v>
      </c>
      <c r="N1493" s="1" t="s">
        <v>243</v>
      </c>
      <c r="O1493" s="1" t="s">
        <v>244</v>
      </c>
      <c r="P1493" s="1" t="s">
        <v>3503</v>
      </c>
      <c r="U1493" s="1" t="s">
        <v>5110</v>
      </c>
      <c r="Z1493" s="1" t="s">
        <v>71</v>
      </c>
      <c r="AE1493" s="1" t="s">
        <v>5109</v>
      </c>
      <c r="AH1493" s="1" t="s">
        <v>73</v>
      </c>
      <c r="AK1493" s="1" t="s">
        <v>71</v>
      </c>
      <c r="AM1493" s="1" t="s">
        <v>71</v>
      </c>
      <c r="AN1493" s="1" t="s">
        <v>71</v>
      </c>
      <c r="AS1493" s="1" t="s">
        <v>71</v>
      </c>
      <c r="AX1493" s="1" t="s">
        <v>71</v>
      </c>
      <c r="AY1493" s="1" t="s">
        <v>59</v>
      </c>
      <c r="AZ1493" s="1" t="s">
        <v>74</v>
      </c>
      <c r="BH1493" s="1" t="s">
        <v>71</v>
      </c>
    </row>
    <row r="1494" customFormat="false" ht="15" hidden="false" customHeight="false" outlineLevel="0" collapsed="false">
      <c r="A1494" s="1" t="s">
        <v>5112</v>
      </c>
      <c r="B1494" s="1" t="s">
        <v>5113</v>
      </c>
      <c r="C1494" s="1" t="s">
        <v>1221</v>
      </c>
      <c r="D1494" s="1" t="s">
        <v>2466</v>
      </c>
      <c r="E1494" s="1" t="s">
        <v>82</v>
      </c>
      <c r="F1494" s="1" t="s">
        <v>391</v>
      </c>
      <c r="G1494" s="1" t="s">
        <v>213</v>
      </c>
      <c r="H1494" s="1" t="s">
        <v>477</v>
      </c>
      <c r="K1494" s="1" t="s">
        <v>478</v>
      </c>
      <c r="L1494" s="1" t="s">
        <v>479</v>
      </c>
      <c r="M1494" s="1" t="s">
        <v>5114</v>
      </c>
      <c r="N1494" s="1" t="s">
        <v>5115</v>
      </c>
      <c r="O1494" s="1" t="s">
        <v>5116</v>
      </c>
      <c r="P1494" s="1" t="s">
        <v>5117</v>
      </c>
      <c r="Z1494" s="1" t="s">
        <v>71</v>
      </c>
      <c r="AE1494" s="1" t="s">
        <v>5118</v>
      </c>
      <c r="AH1494" s="1" t="s">
        <v>73</v>
      </c>
      <c r="AK1494" s="1" t="s">
        <v>71</v>
      </c>
      <c r="AM1494" s="1" t="s">
        <v>71</v>
      </c>
      <c r="AN1494" s="1" t="s">
        <v>71</v>
      </c>
      <c r="AS1494" s="1" t="s">
        <v>71</v>
      </c>
      <c r="AX1494" s="1" t="s">
        <v>71</v>
      </c>
      <c r="BH1494" s="1" t="s">
        <v>71</v>
      </c>
    </row>
    <row r="1495" customFormat="false" ht="15" hidden="false" customHeight="false" outlineLevel="0" collapsed="false">
      <c r="A1495" s="1" t="s">
        <v>5119</v>
      </c>
      <c r="B1495" s="1" t="s">
        <v>5120</v>
      </c>
      <c r="C1495" s="1" t="s">
        <v>182</v>
      </c>
      <c r="D1495" s="1" t="s">
        <v>239</v>
      </c>
      <c r="E1495" s="1" t="s">
        <v>65</v>
      </c>
      <c r="F1495" s="1" t="s">
        <v>119</v>
      </c>
      <c r="G1495" s="1" t="s">
        <v>88</v>
      </c>
      <c r="H1495" s="1" t="s">
        <v>255</v>
      </c>
      <c r="K1495" s="1" t="s">
        <v>256</v>
      </c>
      <c r="L1495" s="1" t="s">
        <v>257</v>
      </c>
      <c r="M1495" s="1" t="s">
        <v>4238</v>
      </c>
      <c r="N1495" s="1" t="s">
        <v>259</v>
      </c>
      <c r="O1495" s="1" t="s">
        <v>260</v>
      </c>
      <c r="P1495" s="1" t="s">
        <v>3768</v>
      </c>
      <c r="U1495" s="1" t="s">
        <v>263</v>
      </c>
      <c r="Z1495" s="1" t="s">
        <v>71</v>
      </c>
      <c r="AE1495" s="1" t="s">
        <v>5118</v>
      </c>
      <c r="AH1495" s="1" t="s">
        <v>73</v>
      </c>
      <c r="AK1495" s="1" t="s">
        <v>71</v>
      </c>
      <c r="AM1495" s="1" t="s">
        <v>71</v>
      </c>
      <c r="AN1495" s="1" t="s">
        <v>71</v>
      </c>
      <c r="AS1495" s="1" t="s">
        <v>71</v>
      </c>
      <c r="AX1495" s="1" t="s">
        <v>71</v>
      </c>
      <c r="AY1495" s="1" t="s">
        <v>59</v>
      </c>
      <c r="AZ1495" s="1" t="s">
        <v>74</v>
      </c>
      <c r="BH1495" s="1" t="s">
        <v>71</v>
      </c>
    </row>
    <row r="1496" customFormat="false" ht="15" hidden="false" customHeight="false" outlineLevel="0" collapsed="false">
      <c r="A1496" s="1" t="s">
        <v>5121</v>
      </c>
      <c r="B1496" s="1" t="s">
        <v>5122</v>
      </c>
      <c r="C1496" s="1" t="s">
        <v>1016</v>
      </c>
      <c r="D1496" s="1" t="s">
        <v>3542</v>
      </c>
      <c r="E1496" s="1" t="s">
        <v>61</v>
      </c>
      <c r="F1496" s="1" t="s">
        <v>101</v>
      </c>
      <c r="G1496" s="1" t="s">
        <v>93</v>
      </c>
      <c r="H1496" s="1" t="s">
        <v>64</v>
      </c>
      <c r="K1496" s="1" t="s">
        <v>184</v>
      </c>
      <c r="L1496" s="1" t="s">
        <v>194</v>
      </c>
      <c r="M1496" s="1" t="s">
        <v>165</v>
      </c>
      <c r="N1496" s="1" t="s">
        <v>203</v>
      </c>
      <c r="O1496" s="1" t="s">
        <v>204</v>
      </c>
      <c r="P1496" s="1" t="s">
        <v>3536</v>
      </c>
      <c r="U1496" s="1" t="s">
        <v>5121</v>
      </c>
      <c r="Z1496" s="1" t="s">
        <v>71</v>
      </c>
      <c r="AE1496" s="1" t="s">
        <v>5123</v>
      </c>
      <c r="AH1496" s="1" t="s">
        <v>73</v>
      </c>
      <c r="AK1496" s="1" t="s">
        <v>71</v>
      </c>
      <c r="AM1496" s="1" t="s">
        <v>71</v>
      </c>
      <c r="AN1496" s="1" t="s">
        <v>71</v>
      </c>
      <c r="AS1496" s="1" t="s">
        <v>71</v>
      </c>
      <c r="AX1496" s="1" t="s">
        <v>71</v>
      </c>
      <c r="AY1496" s="1" t="s">
        <v>59</v>
      </c>
      <c r="AZ1496" s="1" t="s">
        <v>74</v>
      </c>
      <c r="BH1496" s="1" t="s">
        <v>71</v>
      </c>
    </row>
    <row r="1497" customFormat="false" ht="15" hidden="false" customHeight="false" outlineLevel="0" collapsed="false">
      <c r="A1497" s="1" t="s">
        <v>5124</v>
      </c>
      <c r="B1497" s="1" t="s">
        <v>5125</v>
      </c>
      <c r="C1497" s="1" t="s">
        <v>520</v>
      </c>
      <c r="D1497" s="1" t="s">
        <v>1678</v>
      </c>
      <c r="E1497" s="1" t="s">
        <v>82</v>
      </c>
      <c r="F1497" s="1" t="s">
        <v>391</v>
      </c>
      <c r="G1497" s="1" t="s">
        <v>443</v>
      </c>
      <c r="H1497" s="1" t="s">
        <v>444</v>
      </c>
      <c r="K1497" s="1" t="s">
        <v>618</v>
      </c>
      <c r="L1497" s="1" t="s">
        <v>619</v>
      </c>
      <c r="M1497" s="1" t="s">
        <v>4885</v>
      </c>
      <c r="N1497" s="1" t="s">
        <v>3092</v>
      </c>
      <c r="O1497" s="1" t="s">
        <v>3093</v>
      </c>
      <c r="P1497" s="1" t="s">
        <v>4095</v>
      </c>
      <c r="Z1497" s="1" t="s">
        <v>71</v>
      </c>
      <c r="AE1497" s="1" t="s">
        <v>5126</v>
      </c>
      <c r="AH1497" s="1" t="s">
        <v>73</v>
      </c>
      <c r="AK1497" s="1" t="s">
        <v>71</v>
      </c>
      <c r="AM1497" s="1" t="s">
        <v>71</v>
      </c>
      <c r="AN1497" s="1" t="s">
        <v>71</v>
      </c>
      <c r="AS1497" s="1" t="s">
        <v>71</v>
      </c>
      <c r="AX1497" s="1" t="s">
        <v>71</v>
      </c>
      <c r="BH1497" s="1" t="s">
        <v>71</v>
      </c>
    </row>
    <row r="1498" customFormat="false" ht="15" hidden="false" customHeight="false" outlineLevel="0" collapsed="false">
      <c r="A1498" s="1" t="s">
        <v>5127</v>
      </c>
      <c r="B1498" s="1" t="s">
        <v>5128</v>
      </c>
      <c r="C1498" s="1" t="s">
        <v>520</v>
      </c>
      <c r="D1498" s="1" t="s">
        <v>1678</v>
      </c>
      <c r="E1498" s="1" t="s">
        <v>82</v>
      </c>
      <c r="F1498" s="1" t="s">
        <v>391</v>
      </c>
      <c r="G1498" s="1" t="s">
        <v>443</v>
      </c>
      <c r="H1498" s="1" t="s">
        <v>444</v>
      </c>
      <c r="K1498" s="1" t="s">
        <v>618</v>
      </c>
      <c r="L1498" s="1" t="s">
        <v>619</v>
      </c>
      <c r="M1498" s="1" t="s">
        <v>496</v>
      </c>
      <c r="N1498" s="1" t="s">
        <v>1696</v>
      </c>
      <c r="O1498" s="1" t="s">
        <v>1697</v>
      </c>
      <c r="P1498" s="1" t="s">
        <v>4099</v>
      </c>
      <c r="Z1498" s="1" t="s">
        <v>71</v>
      </c>
      <c r="AE1498" s="1" t="s">
        <v>5126</v>
      </c>
      <c r="AH1498" s="1" t="s">
        <v>73</v>
      </c>
      <c r="AK1498" s="1" t="s">
        <v>71</v>
      </c>
      <c r="AM1498" s="1" t="s">
        <v>71</v>
      </c>
      <c r="AN1498" s="1" t="s">
        <v>71</v>
      </c>
      <c r="AS1498" s="1" t="s">
        <v>71</v>
      </c>
      <c r="AX1498" s="1" t="s">
        <v>71</v>
      </c>
      <c r="BH1498" s="1" t="s">
        <v>71</v>
      </c>
    </row>
    <row r="1499" customFormat="false" ht="15" hidden="false" customHeight="false" outlineLevel="0" collapsed="false">
      <c r="A1499" s="1" t="s">
        <v>5129</v>
      </c>
      <c r="B1499" s="1" t="s">
        <v>5130</v>
      </c>
      <c r="C1499" s="1" t="s">
        <v>520</v>
      </c>
      <c r="D1499" s="1" t="s">
        <v>1678</v>
      </c>
      <c r="E1499" s="1" t="s">
        <v>82</v>
      </c>
      <c r="F1499" s="1" t="s">
        <v>391</v>
      </c>
      <c r="G1499" s="1" t="s">
        <v>443</v>
      </c>
      <c r="H1499" s="1" t="s">
        <v>444</v>
      </c>
      <c r="K1499" s="1" t="s">
        <v>618</v>
      </c>
      <c r="L1499" s="1" t="s">
        <v>619</v>
      </c>
      <c r="M1499" s="1" t="s">
        <v>1681</v>
      </c>
      <c r="N1499" s="1" t="s">
        <v>1682</v>
      </c>
      <c r="O1499" s="1" t="s">
        <v>1001</v>
      </c>
      <c r="P1499" s="1" t="s">
        <v>3472</v>
      </c>
      <c r="Z1499" s="1" t="s">
        <v>71</v>
      </c>
      <c r="AE1499" s="1" t="s">
        <v>5126</v>
      </c>
      <c r="AH1499" s="1" t="s">
        <v>73</v>
      </c>
      <c r="AK1499" s="1" t="s">
        <v>71</v>
      </c>
      <c r="AM1499" s="1" t="s">
        <v>71</v>
      </c>
      <c r="AN1499" s="1" t="s">
        <v>71</v>
      </c>
      <c r="AS1499" s="1" t="s">
        <v>71</v>
      </c>
      <c r="AX1499" s="1" t="s">
        <v>71</v>
      </c>
      <c r="BH1499" s="1" t="s">
        <v>71</v>
      </c>
    </row>
    <row r="1500" customFormat="false" ht="15" hidden="false" customHeight="false" outlineLevel="0" collapsed="false">
      <c r="A1500" s="1" t="s">
        <v>5131</v>
      </c>
      <c r="B1500" s="1" t="s">
        <v>5132</v>
      </c>
      <c r="C1500" s="1" t="s">
        <v>288</v>
      </c>
      <c r="D1500" s="1" t="s">
        <v>289</v>
      </c>
      <c r="E1500" s="1" t="s">
        <v>61</v>
      </c>
      <c r="F1500" s="1" t="s">
        <v>101</v>
      </c>
      <c r="G1500" s="1" t="s">
        <v>134</v>
      </c>
      <c r="H1500" s="1" t="s">
        <v>4875</v>
      </c>
      <c r="K1500" s="1" t="s">
        <v>5096</v>
      </c>
      <c r="L1500" s="1" t="s">
        <v>5097</v>
      </c>
      <c r="M1500" s="1" t="s">
        <v>104</v>
      </c>
      <c r="N1500" s="1" t="s">
        <v>105</v>
      </c>
      <c r="O1500" s="1" t="s">
        <v>106</v>
      </c>
      <c r="P1500" s="1" t="s">
        <v>3539</v>
      </c>
      <c r="U1500" s="1" t="s">
        <v>5131</v>
      </c>
      <c r="Z1500" s="1" t="s">
        <v>71</v>
      </c>
      <c r="AE1500" s="1" t="s">
        <v>5133</v>
      </c>
      <c r="AH1500" s="1" t="s">
        <v>73</v>
      </c>
      <c r="AK1500" s="1" t="s">
        <v>71</v>
      </c>
      <c r="AM1500" s="1" t="s">
        <v>71</v>
      </c>
      <c r="AN1500" s="1" t="s">
        <v>71</v>
      </c>
      <c r="AS1500" s="1" t="s">
        <v>71</v>
      </c>
      <c r="AX1500" s="1" t="s">
        <v>71</v>
      </c>
      <c r="AY1500" s="1" t="s">
        <v>59</v>
      </c>
      <c r="AZ1500" s="1" t="s">
        <v>74</v>
      </c>
      <c r="BH1500" s="1" t="s">
        <v>71</v>
      </c>
    </row>
    <row r="1501" customFormat="false" ht="15" hidden="false" customHeight="false" outlineLevel="0" collapsed="false">
      <c r="A1501" s="1" t="s">
        <v>5134</v>
      </c>
      <c r="B1501" s="1" t="s">
        <v>5135</v>
      </c>
      <c r="C1501" s="1" t="s">
        <v>288</v>
      </c>
      <c r="D1501" s="1" t="s">
        <v>289</v>
      </c>
      <c r="E1501" s="1" t="s">
        <v>61</v>
      </c>
      <c r="F1501" s="1" t="s">
        <v>101</v>
      </c>
      <c r="G1501" s="1" t="s">
        <v>134</v>
      </c>
      <c r="H1501" s="1" t="s">
        <v>4875</v>
      </c>
      <c r="K1501" s="1" t="s">
        <v>5096</v>
      </c>
      <c r="L1501" s="1" t="s">
        <v>5097</v>
      </c>
      <c r="M1501" s="1" t="s">
        <v>1555</v>
      </c>
      <c r="N1501" s="1" t="s">
        <v>105</v>
      </c>
      <c r="O1501" s="1" t="s">
        <v>106</v>
      </c>
      <c r="P1501" s="1" t="s">
        <v>3539</v>
      </c>
      <c r="U1501" s="1" t="s">
        <v>5134</v>
      </c>
      <c r="Z1501" s="1" t="s">
        <v>71</v>
      </c>
      <c r="AE1501" s="1" t="s">
        <v>5133</v>
      </c>
      <c r="AH1501" s="1" t="s">
        <v>73</v>
      </c>
      <c r="AK1501" s="1" t="s">
        <v>71</v>
      </c>
      <c r="AM1501" s="1" t="s">
        <v>71</v>
      </c>
      <c r="AN1501" s="1" t="s">
        <v>71</v>
      </c>
      <c r="AS1501" s="1" t="s">
        <v>71</v>
      </c>
      <c r="AX1501" s="1" t="s">
        <v>71</v>
      </c>
      <c r="AY1501" s="1" t="s">
        <v>59</v>
      </c>
      <c r="AZ1501" s="1" t="s">
        <v>74</v>
      </c>
      <c r="BH1501" s="1" t="s">
        <v>71</v>
      </c>
    </row>
    <row r="1502" customFormat="false" ht="15" hidden="false" customHeight="false" outlineLevel="0" collapsed="false">
      <c r="A1502" s="1" t="s">
        <v>5136</v>
      </c>
      <c r="B1502" s="1" t="s">
        <v>5137</v>
      </c>
      <c r="C1502" s="1" t="s">
        <v>288</v>
      </c>
      <c r="D1502" s="1" t="s">
        <v>289</v>
      </c>
      <c r="E1502" s="1" t="s">
        <v>61</v>
      </c>
      <c r="F1502" s="1" t="s">
        <v>101</v>
      </c>
      <c r="G1502" s="1" t="s">
        <v>93</v>
      </c>
      <c r="H1502" s="1" t="s">
        <v>64</v>
      </c>
      <c r="K1502" s="1" t="s">
        <v>389</v>
      </c>
      <c r="L1502" s="1" t="s">
        <v>5138</v>
      </c>
      <c r="M1502" s="1" t="s">
        <v>310</v>
      </c>
      <c r="N1502" s="1" t="s">
        <v>105</v>
      </c>
      <c r="O1502" s="1" t="s">
        <v>106</v>
      </c>
      <c r="P1502" s="1" t="s">
        <v>3539</v>
      </c>
      <c r="U1502" s="1" t="s">
        <v>5136</v>
      </c>
      <c r="Z1502" s="1" t="s">
        <v>71</v>
      </c>
      <c r="AE1502" s="1" t="s">
        <v>5133</v>
      </c>
      <c r="AH1502" s="1" t="s">
        <v>73</v>
      </c>
      <c r="AK1502" s="1" t="s">
        <v>71</v>
      </c>
      <c r="AM1502" s="1" t="s">
        <v>71</v>
      </c>
      <c r="AN1502" s="1" t="s">
        <v>71</v>
      </c>
      <c r="AS1502" s="1" t="s">
        <v>71</v>
      </c>
      <c r="AX1502" s="1" t="s">
        <v>71</v>
      </c>
      <c r="AY1502" s="1" t="s">
        <v>59</v>
      </c>
      <c r="AZ1502" s="1" t="s">
        <v>74</v>
      </c>
      <c r="BH1502" s="1" t="s">
        <v>71</v>
      </c>
    </row>
    <row r="1503" customFormat="false" ht="15" hidden="false" customHeight="false" outlineLevel="0" collapsed="false">
      <c r="A1503" s="1" t="s">
        <v>5139</v>
      </c>
      <c r="B1503" s="1" t="s">
        <v>5140</v>
      </c>
      <c r="C1503" s="1" t="s">
        <v>288</v>
      </c>
      <c r="D1503" s="1" t="s">
        <v>289</v>
      </c>
      <c r="E1503" s="1" t="s">
        <v>61</v>
      </c>
      <c r="F1503" s="1" t="s">
        <v>101</v>
      </c>
      <c r="G1503" s="1" t="s">
        <v>134</v>
      </c>
      <c r="H1503" s="1" t="s">
        <v>4875</v>
      </c>
      <c r="K1503" s="1" t="s">
        <v>5096</v>
      </c>
      <c r="L1503" s="1" t="s">
        <v>5097</v>
      </c>
      <c r="M1503" s="1" t="s">
        <v>310</v>
      </c>
      <c r="N1503" s="1" t="s">
        <v>105</v>
      </c>
      <c r="O1503" s="1" t="s">
        <v>106</v>
      </c>
      <c r="P1503" s="1" t="s">
        <v>3539</v>
      </c>
      <c r="U1503" s="1" t="s">
        <v>5139</v>
      </c>
      <c r="Z1503" s="1" t="s">
        <v>71</v>
      </c>
      <c r="AE1503" s="1" t="s">
        <v>5133</v>
      </c>
      <c r="AH1503" s="1" t="s">
        <v>73</v>
      </c>
      <c r="AK1503" s="1" t="s">
        <v>71</v>
      </c>
      <c r="AM1503" s="1" t="s">
        <v>71</v>
      </c>
      <c r="AN1503" s="1" t="s">
        <v>71</v>
      </c>
      <c r="AS1503" s="1" t="s">
        <v>71</v>
      </c>
      <c r="AX1503" s="1" t="s">
        <v>71</v>
      </c>
      <c r="AY1503" s="1" t="s">
        <v>59</v>
      </c>
      <c r="AZ1503" s="1" t="s">
        <v>74</v>
      </c>
      <c r="BH1503" s="1" t="s">
        <v>71</v>
      </c>
    </row>
    <row r="1504" customFormat="false" ht="15" hidden="false" customHeight="false" outlineLevel="0" collapsed="false">
      <c r="A1504" s="1" t="s">
        <v>5141</v>
      </c>
      <c r="B1504" s="1" t="s">
        <v>5142</v>
      </c>
      <c r="C1504" s="1" t="s">
        <v>1426</v>
      </c>
      <c r="D1504" s="1" t="s">
        <v>5143</v>
      </c>
      <c r="E1504" s="1" t="s">
        <v>82</v>
      </c>
      <c r="F1504" s="1" t="s">
        <v>391</v>
      </c>
      <c r="G1504" s="1" t="s">
        <v>97</v>
      </c>
      <c r="H1504" s="1" t="s">
        <v>406</v>
      </c>
      <c r="K1504" s="1" t="s">
        <v>453</v>
      </c>
      <c r="L1504" s="1" t="s">
        <v>454</v>
      </c>
      <c r="M1504" s="1" t="s">
        <v>496</v>
      </c>
      <c r="N1504" s="1" t="s">
        <v>792</v>
      </c>
      <c r="O1504" s="1" t="s">
        <v>447</v>
      </c>
      <c r="P1504" s="1" t="s">
        <v>4272</v>
      </c>
      <c r="Z1504" s="1" t="s">
        <v>71</v>
      </c>
      <c r="AE1504" s="1" t="s">
        <v>5133</v>
      </c>
      <c r="AH1504" s="1" t="s">
        <v>73</v>
      </c>
      <c r="AK1504" s="1" t="s">
        <v>71</v>
      </c>
      <c r="AM1504" s="1" t="s">
        <v>71</v>
      </c>
      <c r="AN1504" s="1" t="s">
        <v>71</v>
      </c>
      <c r="AS1504" s="1" t="s">
        <v>71</v>
      </c>
      <c r="AX1504" s="1" t="s">
        <v>71</v>
      </c>
      <c r="BH1504" s="1" t="s">
        <v>71</v>
      </c>
    </row>
    <row r="1505" customFormat="false" ht="15" hidden="false" customHeight="false" outlineLevel="0" collapsed="false">
      <c r="A1505" s="1" t="s">
        <v>5144</v>
      </c>
      <c r="B1505" s="1" t="s">
        <v>5145</v>
      </c>
      <c r="C1505" s="1" t="s">
        <v>1426</v>
      </c>
      <c r="D1505" s="1" t="s">
        <v>5143</v>
      </c>
      <c r="E1505" s="1" t="s">
        <v>82</v>
      </c>
      <c r="F1505" s="1" t="s">
        <v>391</v>
      </c>
      <c r="G1505" s="1" t="s">
        <v>97</v>
      </c>
      <c r="H1505" s="1" t="s">
        <v>406</v>
      </c>
      <c r="K1505" s="1" t="s">
        <v>453</v>
      </c>
      <c r="L1505" s="1" t="s">
        <v>454</v>
      </c>
      <c r="M1505" s="1" t="s">
        <v>496</v>
      </c>
      <c r="N1505" s="1" t="s">
        <v>851</v>
      </c>
      <c r="O1505" s="1" t="s">
        <v>400</v>
      </c>
      <c r="P1505" s="1" t="s">
        <v>3662</v>
      </c>
      <c r="Z1505" s="1" t="s">
        <v>71</v>
      </c>
      <c r="AE1505" s="1" t="s">
        <v>5133</v>
      </c>
      <c r="AH1505" s="1" t="s">
        <v>73</v>
      </c>
      <c r="AK1505" s="1" t="s">
        <v>71</v>
      </c>
      <c r="AM1505" s="1" t="s">
        <v>71</v>
      </c>
      <c r="AN1505" s="1" t="s">
        <v>71</v>
      </c>
      <c r="AS1505" s="1" t="s">
        <v>71</v>
      </c>
      <c r="AX1505" s="1" t="s">
        <v>71</v>
      </c>
      <c r="BH1505" s="1" t="s">
        <v>71</v>
      </c>
    </row>
    <row r="1506" customFormat="false" ht="15" hidden="false" customHeight="false" outlineLevel="0" collapsed="false">
      <c r="A1506" s="1" t="s">
        <v>5146</v>
      </c>
      <c r="B1506" s="1" t="s">
        <v>5147</v>
      </c>
      <c r="C1506" s="1" t="s">
        <v>1426</v>
      </c>
      <c r="D1506" s="1" t="s">
        <v>5143</v>
      </c>
      <c r="E1506" s="1" t="s">
        <v>82</v>
      </c>
      <c r="F1506" s="1" t="s">
        <v>391</v>
      </c>
      <c r="G1506" s="1" t="s">
        <v>97</v>
      </c>
      <c r="H1506" s="1" t="s">
        <v>406</v>
      </c>
      <c r="K1506" s="1" t="s">
        <v>836</v>
      </c>
      <c r="L1506" s="1" t="s">
        <v>837</v>
      </c>
      <c r="M1506" s="1" t="s">
        <v>692</v>
      </c>
      <c r="N1506" s="1" t="s">
        <v>5148</v>
      </c>
      <c r="O1506" s="1" t="s">
        <v>447</v>
      </c>
      <c r="P1506" s="1" t="s">
        <v>5149</v>
      </c>
      <c r="Z1506" s="1" t="s">
        <v>71</v>
      </c>
      <c r="AE1506" s="1" t="s">
        <v>5133</v>
      </c>
      <c r="AH1506" s="1" t="s">
        <v>73</v>
      </c>
      <c r="AK1506" s="1" t="s">
        <v>71</v>
      </c>
      <c r="AM1506" s="1" t="s">
        <v>71</v>
      </c>
      <c r="AN1506" s="1" t="s">
        <v>71</v>
      </c>
      <c r="AS1506" s="1" t="s">
        <v>71</v>
      </c>
      <c r="AX1506" s="1" t="s">
        <v>71</v>
      </c>
      <c r="BH1506" s="1" t="s">
        <v>71</v>
      </c>
    </row>
    <row r="1507" customFormat="false" ht="15" hidden="false" customHeight="false" outlineLevel="0" collapsed="false">
      <c r="A1507" s="1" t="s">
        <v>5150</v>
      </c>
      <c r="B1507" s="1" t="s">
        <v>5151</v>
      </c>
      <c r="C1507" s="1" t="s">
        <v>1426</v>
      </c>
      <c r="D1507" s="1" t="s">
        <v>5143</v>
      </c>
      <c r="E1507" s="1" t="s">
        <v>82</v>
      </c>
      <c r="F1507" s="1" t="s">
        <v>391</v>
      </c>
      <c r="G1507" s="1" t="s">
        <v>97</v>
      </c>
      <c r="H1507" s="1" t="s">
        <v>406</v>
      </c>
      <c r="K1507" s="1" t="s">
        <v>836</v>
      </c>
      <c r="L1507" s="1" t="s">
        <v>837</v>
      </c>
      <c r="M1507" s="1" t="s">
        <v>496</v>
      </c>
      <c r="N1507" s="1" t="s">
        <v>3906</v>
      </c>
      <c r="O1507" s="1" t="s">
        <v>447</v>
      </c>
      <c r="P1507" s="1" t="s">
        <v>3907</v>
      </c>
      <c r="Z1507" s="1" t="s">
        <v>71</v>
      </c>
      <c r="AE1507" s="1" t="s">
        <v>5133</v>
      </c>
      <c r="AH1507" s="1" t="s">
        <v>73</v>
      </c>
      <c r="AK1507" s="1" t="s">
        <v>71</v>
      </c>
      <c r="AM1507" s="1" t="s">
        <v>71</v>
      </c>
      <c r="AN1507" s="1" t="s">
        <v>71</v>
      </c>
      <c r="AS1507" s="1" t="s">
        <v>71</v>
      </c>
      <c r="AX1507" s="1" t="s">
        <v>71</v>
      </c>
      <c r="BH1507" s="1" t="s">
        <v>71</v>
      </c>
    </row>
    <row r="1508" customFormat="false" ht="15" hidden="false" customHeight="false" outlineLevel="0" collapsed="false">
      <c r="A1508" s="1" t="s">
        <v>5152</v>
      </c>
      <c r="B1508" s="1" t="s">
        <v>5153</v>
      </c>
      <c r="C1508" s="1" t="s">
        <v>1428</v>
      </c>
      <c r="D1508" s="1" t="s">
        <v>5154</v>
      </c>
      <c r="E1508" s="1" t="s">
        <v>82</v>
      </c>
      <c r="F1508" s="1" t="s">
        <v>391</v>
      </c>
      <c r="G1508" s="1" t="s">
        <v>443</v>
      </c>
      <c r="H1508" s="1" t="s">
        <v>444</v>
      </c>
      <c r="K1508" s="1" t="s">
        <v>61</v>
      </c>
      <c r="L1508" s="1" t="s">
        <v>445</v>
      </c>
      <c r="M1508" s="1" t="s">
        <v>2020</v>
      </c>
      <c r="N1508" s="1" t="s">
        <v>2192</v>
      </c>
      <c r="O1508" s="1" t="s">
        <v>447</v>
      </c>
      <c r="P1508" s="1" t="s">
        <v>5155</v>
      </c>
      <c r="Z1508" s="1" t="s">
        <v>71</v>
      </c>
      <c r="AE1508" s="1" t="s">
        <v>5156</v>
      </c>
      <c r="AH1508" s="1" t="s">
        <v>73</v>
      </c>
      <c r="AK1508" s="1" t="s">
        <v>71</v>
      </c>
      <c r="AM1508" s="1" t="s">
        <v>71</v>
      </c>
      <c r="AN1508" s="1" t="s">
        <v>71</v>
      </c>
      <c r="AS1508" s="1" t="s">
        <v>71</v>
      </c>
      <c r="AX1508" s="1" t="s">
        <v>71</v>
      </c>
      <c r="BH1508" s="1" t="s">
        <v>71</v>
      </c>
    </row>
    <row r="1509" customFormat="false" ht="15" hidden="false" customHeight="false" outlineLevel="0" collapsed="false">
      <c r="A1509" s="1" t="s">
        <v>5157</v>
      </c>
      <c r="B1509" s="1" t="s">
        <v>5158</v>
      </c>
      <c r="C1509" s="1" t="s">
        <v>662</v>
      </c>
      <c r="D1509" s="1" t="s">
        <v>2189</v>
      </c>
      <c r="E1509" s="1" t="s">
        <v>82</v>
      </c>
      <c r="F1509" s="1" t="s">
        <v>391</v>
      </c>
      <c r="G1509" s="1" t="s">
        <v>443</v>
      </c>
      <c r="H1509" s="1" t="s">
        <v>444</v>
      </c>
      <c r="K1509" s="1" t="s">
        <v>61</v>
      </c>
      <c r="L1509" s="1" t="s">
        <v>445</v>
      </c>
      <c r="M1509" s="1" t="s">
        <v>465</v>
      </c>
      <c r="N1509" s="1" t="s">
        <v>5159</v>
      </c>
      <c r="O1509" s="1" t="s">
        <v>400</v>
      </c>
      <c r="P1509" s="1" t="s">
        <v>5160</v>
      </c>
      <c r="Z1509" s="1" t="s">
        <v>71</v>
      </c>
      <c r="AE1509" s="1" t="s">
        <v>5156</v>
      </c>
      <c r="AH1509" s="1" t="s">
        <v>73</v>
      </c>
      <c r="AK1509" s="1" t="s">
        <v>71</v>
      </c>
      <c r="AM1509" s="1" t="s">
        <v>71</v>
      </c>
      <c r="AN1509" s="1" t="s">
        <v>71</v>
      </c>
      <c r="AS1509" s="1" t="s">
        <v>71</v>
      </c>
      <c r="AX1509" s="1" t="s">
        <v>71</v>
      </c>
      <c r="BH1509" s="1" t="s">
        <v>71</v>
      </c>
    </row>
    <row r="1510" customFormat="false" ht="15" hidden="false" customHeight="false" outlineLevel="0" collapsed="false">
      <c r="A1510" s="1" t="s">
        <v>5161</v>
      </c>
      <c r="B1510" s="1" t="s">
        <v>5162</v>
      </c>
      <c r="C1510" s="1" t="s">
        <v>520</v>
      </c>
      <c r="D1510" s="1" t="s">
        <v>1678</v>
      </c>
      <c r="E1510" s="1" t="s">
        <v>82</v>
      </c>
      <c r="F1510" s="1" t="s">
        <v>391</v>
      </c>
      <c r="G1510" s="1" t="s">
        <v>443</v>
      </c>
      <c r="H1510" s="1" t="s">
        <v>444</v>
      </c>
      <c r="K1510" s="1" t="s">
        <v>61</v>
      </c>
      <c r="L1510" s="1" t="s">
        <v>445</v>
      </c>
      <c r="M1510" s="1" t="s">
        <v>496</v>
      </c>
      <c r="N1510" s="1" t="s">
        <v>466</v>
      </c>
      <c r="O1510" s="1" t="s">
        <v>467</v>
      </c>
      <c r="P1510" s="1" t="s">
        <v>5163</v>
      </c>
      <c r="Z1510" s="1" t="s">
        <v>71</v>
      </c>
      <c r="AE1510" s="1" t="s">
        <v>5156</v>
      </c>
      <c r="AH1510" s="1" t="s">
        <v>73</v>
      </c>
      <c r="AK1510" s="1" t="s">
        <v>71</v>
      </c>
      <c r="AM1510" s="1" t="s">
        <v>71</v>
      </c>
      <c r="AN1510" s="1" t="s">
        <v>71</v>
      </c>
      <c r="AS1510" s="1" t="s">
        <v>71</v>
      </c>
      <c r="AX1510" s="1" t="s">
        <v>71</v>
      </c>
      <c r="BH1510" s="1" t="s">
        <v>71</v>
      </c>
    </row>
    <row r="1511" customFormat="false" ht="15" hidden="false" customHeight="false" outlineLevel="0" collapsed="false">
      <c r="A1511" s="1" t="s">
        <v>5164</v>
      </c>
      <c r="B1511" s="1" t="s">
        <v>5165</v>
      </c>
      <c r="C1511" s="1" t="s">
        <v>520</v>
      </c>
      <c r="D1511" s="1" t="s">
        <v>1678</v>
      </c>
      <c r="E1511" s="1" t="s">
        <v>82</v>
      </c>
      <c r="F1511" s="1" t="s">
        <v>391</v>
      </c>
      <c r="G1511" s="1" t="s">
        <v>443</v>
      </c>
      <c r="H1511" s="1" t="s">
        <v>444</v>
      </c>
      <c r="K1511" s="1" t="s">
        <v>61</v>
      </c>
      <c r="L1511" s="1" t="s">
        <v>445</v>
      </c>
      <c r="M1511" s="1" t="s">
        <v>496</v>
      </c>
      <c r="N1511" s="1" t="s">
        <v>1000</v>
      </c>
      <c r="O1511" s="1" t="s">
        <v>1001</v>
      </c>
      <c r="P1511" s="1" t="s">
        <v>4695</v>
      </c>
      <c r="Z1511" s="1" t="s">
        <v>71</v>
      </c>
      <c r="AE1511" s="1" t="s">
        <v>5156</v>
      </c>
      <c r="AH1511" s="1" t="s">
        <v>73</v>
      </c>
      <c r="AK1511" s="1" t="s">
        <v>71</v>
      </c>
      <c r="AM1511" s="1" t="s">
        <v>71</v>
      </c>
      <c r="AN1511" s="1" t="s">
        <v>71</v>
      </c>
      <c r="AS1511" s="1" t="s">
        <v>71</v>
      </c>
      <c r="AX1511" s="1" t="s">
        <v>71</v>
      </c>
      <c r="BH1511" s="1" t="s">
        <v>71</v>
      </c>
    </row>
    <row r="1512" customFormat="false" ht="15" hidden="false" customHeight="false" outlineLevel="0" collapsed="false">
      <c r="A1512" s="1" t="s">
        <v>5166</v>
      </c>
      <c r="B1512" s="1" t="s">
        <v>5167</v>
      </c>
      <c r="C1512" s="1" t="s">
        <v>1066</v>
      </c>
      <c r="D1512" s="1" t="s">
        <v>3728</v>
      </c>
      <c r="E1512" s="1" t="s">
        <v>82</v>
      </c>
      <c r="F1512" s="1" t="s">
        <v>391</v>
      </c>
      <c r="G1512" s="1" t="s">
        <v>443</v>
      </c>
      <c r="H1512" s="1" t="s">
        <v>444</v>
      </c>
      <c r="K1512" s="1" t="s">
        <v>61</v>
      </c>
      <c r="L1512" s="1" t="s">
        <v>445</v>
      </c>
      <c r="M1512" s="1" t="s">
        <v>496</v>
      </c>
      <c r="N1512" s="1" t="s">
        <v>792</v>
      </c>
      <c r="O1512" s="1" t="s">
        <v>447</v>
      </c>
      <c r="P1512" s="1" t="s">
        <v>4272</v>
      </c>
      <c r="Z1512" s="1" t="s">
        <v>71</v>
      </c>
      <c r="AE1512" s="1" t="s">
        <v>5168</v>
      </c>
      <c r="AH1512" s="1" t="s">
        <v>73</v>
      </c>
      <c r="AK1512" s="1" t="s">
        <v>71</v>
      </c>
      <c r="AM1512" s="1" t="s">
        <v>71</v>
      </c>
      <c r="AN1512" s="1" t="s">
        <v>71</v>
      </c>
      <c r="AS1512" s="1" t="s">
        <v>71</v>
      </c>
      <c r="AX1512" s="1" t="s">
        <v>71</v>
      </c>
      <c r="BH1512" s="1" t="s">
        <v>71</v>
      </c>
    </row>
    <row r="1513" customFormat="false" ht="15" hidden="false" customHeight="false" outlineLevel="0" collapsed="false">
      <c r="A1513" s="1" t="s">
        <v>5169</v>
      </c>
      <c r="B1513" s="1" t="s">
        <v>5170</v>
      </c>
      <c r="C1513" s="1" t="s">
        <v>1066</v>
      </c>
      <c r="D1513" s="1" t="s">
        <v>3728</v>
      </c>
      <c r="E1513" s="1" t="s">
        <v>82</v>
      </c>
      <c r="F1513" s="1" t="s">
        <v>391</v>
      </c>
      <c r="G1513" s="1" t="s">
        <v>443</v>
      </c>
      <c r="H1513" s="1" t="s">
        <v>444</v>
      </c>
      <c r="K1513" s="1" t="s">
        <v>61</v>
      </c>
      <c r="L1513" s="1" t="s">
        <v>445</v>
      </c>
      <c r="M1513" s="1" t="s">
        <v>496</v>
      </c>
      <c r="N1513" s="1" t="s">
        <v>1225</v>
      </c>
      <c r="O1513" s="1" t="s">
        <v>400</v>
      </c>
      <c r="P1513" s="1" t="s">
        <v>3656</v>
      </c>
      <c r="Z1513" s="1" t="s">
        <v>71</v>
      </c>
      <c r="AE1513" s="1" t="s">
        <v>5168</v>
      </c>
      <c r="AH1513" s="1" t="s">
        <v>73</v>
      </c>
      <c r="AK1513" s="1" t="s">
        <v>71</v>
      </c>
      <c r="AM1513" s="1" t="s">
        <v>71</v>
      </c>
      <c r="AN1513" s="1" t="s">
        <v>71</v>
      </c>
      <c r="AS1513" s="1" t="s">
        <v>71</v>
      </c>
      <c r="AX1513" s="1" t="s">
        <v>71</v>
      </c>
      <c r="BH1513" s="1" t="s">
        <v>71</v>
      </c>
    </row>
    <row r="1514" customFormat="false" ht="15" hidden="false" customHeight="false" outlineLevel="0" collapsed="false">
      <c r="A1514" s="1" t="s">
        <v>5171</v>
      </c>
      <c r="B1514" s="1" t="s">
        <v>5172</v>
      </c>
      <c r="C1514" s="1" t="s">
        <v>520</v>
      </c>
      <c r="D1514" s="1" t="s">
        <v>1678</v>
      </c>
      <c r="E1514" s="1" t="s">
        <v>82</v>
      </c>
      <c r="F1514" s="1" t="s">
        <v>391</v>
      </c>
      <c r="G1514" s="1" t="s">
        <v>443</v>
      </c>
      <c r="H1514" s="1" t="s">
        <v>444</v>
      </c>
      <c r="K1514" s="1" t="s">
        <v>618</v>
      </c>
      <c r="L1514" s="1" t="s">
        <v>619</v>
      </c>
      <c r="M1514" s="1" t="s">
        <v>692</v>
      </c>
      <c r="N1514" s="1" t="s">
        <v>1682</v>
      </c>
      <c r="O1514" s="1" t="s">
        <v>1001</v>
      </c>
      <c r="P1514" s="1" t="s">
        <v>3472</v>
      </c>
      <c r="Z1514" s="1" t="s">
        <v>71</v>
      </c>
      <c r="AE1514" s="1" t="s">
        <v>5168</v>
      </c>
      <c r="AH1514" s="1" t="s">
        <v>73</v>
      </c>
      <c r="AK1514" s="1" t="s">
        <v>71</v>
      </c>
      <c r="AM1514" s="1" t="s">
        <v>71</v>
      </c>
      <c r="AN1514" s="1" t="s">
        <v>71</v>
      </c>
      <c r="AS1514" s="1" t="s">
        <v>71</v>
      </c>
      <c r="AX1514" s="1" t="s">
        <v>71</v>
      </c>
      <c r="BH1514" s="1" t="s">
        <v>71</v>
      </c>
    </row>
    <row r="1515" customFormat="false" ht="15" hidden="false" customHeight="false" outlineLevel="0" collapsed="false">
      <c r="A1515" s="1" t="s">
        <v>5173</v>
      </c>
      <c r="B1515" s="1" t="s">
        <v>5174</v>
      </c>
      <c r="C1515" s="1" t="s">
        <v>5175</v>
      </c>
      <c r="D1515" s="1" t="s">
        <v>5176</v>
      </c>
      <c r="E1515" s="1" t="s">
        <v>61</v>
      </c>
      <c r="F1515" s="1" t="s">
        <v>101</v>
      </c>
      <c r="G1515" s="1" t="s">
        <v>177</v>
      </c>
      <c r="H1515" s="1" t="s">
        <v>255</v>
      </c>
      <c r="K1515" s="1" t="s">
        <v>173</v>
      </c>
      <c r="L1515" s="1" t="s">
        <v>299</v>
      </c>
      <c r="M1515" s="1" t="s">
        <v>278</v>
      </c>
      <c r="N1515" s="1" t="s">
        <v>259</v>
      </c>
      <c r="O1515" s="1" t="s">
        <v>260</v>
      </c>
      <c r="P1515" s="1" t="s">
        <v>3768</v>
      </c>
      <c r="U1515" s="1" t="s">
        <v>5173</v>
      </c>
      <c r="Z1515" s="1" t="s">
        <v>71</v>
      </c>
      <c r="AA1515" s="1" t="s">
        <v>91</v>
      </c>
      <c r="AE1515" s="1" t="s">
        <v>5168</v>
      </c>
      <c r="AH1515" s="1" t="s">
        <v>73</v>
      </c>
      <c r="AK1515" s="1" t="s">
        <v>71</v>
      </c>
      <c r="AM1515" s="1" t="s">
        <v>71</v>
      </c>
      <c r="AN1515" s="1" t="s">
        <v>71</v>
      </c>
      <c r="AS1515" s="1" t="s">
        <v>71</v>
      </c>
      <c r="AX1515" s="1" t="s">
        <v>71</v>
      </c>
      <c r="AY1515" s="1" t="s">
        <v>59</v>
      </c>
      <c r="AZ1515" s="1" t="s">
        <v>74</v>
      </c>
      <c r="BH1515" s="1" t="s">
        <v>71</v>
      </c>
    </row>
    <row r="1516" customFormat="false" ht="15" hidden="false" customHeight="false" outlineLevel="0" collapsed="false">
      <c r="A1516" s="1" t="s">
        <v>5177</v>
      </c>
      <c r="B1516" s="1" t="s">
        <v>5178</v>
      </c>
      <c r="C1516" s="1" t="s">
        <v>161</v>
      </c>
      <c r="D1516" s="1" t="s">
        <v>162</v>
      </c>
      <c r="E1516" s="1" t="s">
        <v>61</v>
      </c>
      <c r="F1516" s="1" t="s">
        <v>101</v>
      </c>
      <c r="G1516" s="1" t="s">
        <v>130</v>
      </c>
      <c r="H1516" s="1" t="s">
        <v>5179</v>
      </c>
      <c r="K1516" s="1" t="s">
        <v>5180</v>
      </c>
      <c r="L1516" s="1" t="s">
        <v>5181</v>
      </c>
      <c r="M1516" s="1" t="s">
        <v>1555</v>
      </c>
      <c r="N1516" s="1" t="s">
        <v>105</v>
      </c>
      <c r="O1516" s="1" t="s">
        <v>106</v>
      </c>
      <c r="P1516" s="1" t="s">
        <v>3539</v>
      </c>
      <c r="U1516" s="1" t="s">
        <v>5177</v>
      </c>
      <c r="Z1516" s="1" t="s">
        <v>71</v>
      </c>
      <c r="AE1516" s="1" t="s">
        <v>5182</v>
      </c>
      <c r="AH1516" s="1" t="s">
        <v>73</v>
      </c>
      <c r="AK1516" s="1" t="s">
        <v>71</v>
      </c>
      <c r="AM1516" s="1" t="s">
        <v>71</v>
      </c>
      <c r="AN1516" s="1" t="s">
        <v>71</v>
      </c>
      <c r="AS1516" s="1" t="s">
        <v>71</v>
      </c>
      <c r="AX1516" s="1" t="s">
        <v>71</v>
      </c>
      <c r="AY1516" s="1" t="s">
        <v>59</v>
      </c>
      <c r="AZ1516" s="1" t="s">
        <v>74</v>
      </c>
      <c r="BH1516" s="1" t="s">
        <v>71</v>
      </c>
    </row>
    <row r="1517" customFormat="false" ht="15" hidden="false" customHeight="false" outlineLevel="0" collapsed="false">
      <c r="A1517" s="1" t="s">
        <v>5183</v>
      </c>
      <c r="B1517" s="1" t="s">
        <v>5184</v>
      </c>
      <c r="C1517" s="1" t="s">
        <v>524</v>
      </c>
      <c r="D1517" s="1" t="s">
        <v>841</v>
      </c>
      <c r="E1517" s="1" t="s">
        <v>82</v>
      </c>
      <c r="F1517" s="1" t="s">
        <v>391</v>
      </c>
      <c r="G1517" s="1" t="s">
        <v>443</v>
      </c>
      <c r="H1517" s="1" t="s">
        <v>444</v>
      </c>
      <c r="K1517" s="1" t="s">
        <v>61</v>
      </c>
      <c r="L1517" s="1" t="s">
        <v>445</v>
      </c>
      <c r="M1517" s="1" t="s">
        <v>496</v>
      </c>
      <c r="N1517" s="1" t="s">
        <v>466</v>
      </c>
      <c r="O1517" s="1" t="s">
        <v>467</v>
      </c>
      <c r="P1517" s="1" t="s">
        <v>5163</v>
      </c>
      <c r="Z1517" s="1" t="s">
        <v>71</v>
      </c>
      <c r="AE1517" s="1" t="s">
        <v>5182</v>
      </c>
      <c r="AH1517" s="1" t="s">
        <v>73</v>
      </c>
      <c r="AK1517" s="1" t="s">
        <v>71</v>
      </c>
      <c r="AM1517" s="1" t="s">
        <v>71</v>
      </c>
      <c r="AN1517" s="1" t="s">
        <v>71</v>
      </c>
      <c r="AS1517" s="1" t="s">
        <v>71</v>
      </c>
      <c r="AX1517" s="1" t="s">
        <v>71</v>
      </c>
      <c r="BH1517" s="1" t="s">
        <v>71</v>
      </c>
    </row>
    <row r="1518" customFormat="false" ht="15" hidden="false" customHeight="false" outlineLevel="0" collapsed="false">
      <c r="A1518" s="1" t="s">
        <v>5185</v>
      </c>
      <c r="B1518" s="1" t="s">
        <v>5186</v>
      </c>
      <c r="C1518" s="1" t="s">
        <v>1731</v>
      </c>
      <c r="D1518" s="1" t="s">
        <v>3584</v>
      </c>
      <c r="E1518" s="1" t="s">
        <v>61</v>
      </c>
      <c r="F1518" s="1" t="s">
        <v>101</v>
      </c>
      <c r="G1518" s="1" t="s">
        <v>275</v>
      </c>
      <c r="H1518" s="1" t="s">
        <v>276</v>
      </c>
      <c r="K1518" s="1" t="s">
        <v>5187</v>
      </c>
      <c r="L1518" s="1" t="s">
        <v>5188</v>
      </c>
      <c r="M1518" s="1" t="s">
        <v>5063</v>
      </c>
      <c r="N1518" s="1" t="s">
        <v>5189</v>
      </c>
      <c r="O1518" s="1" t="s">
        <v>5190</v>
      </c>
      <c r="P1518" s="1" t="s">
        <v>5191</v>
      </c>
      <c r="U1518" s="1" t="s">
        <v>245</v>
      </c>
      <c r="Z1518" s="1" t="s">
        <v>71</v>
      </c>
      <c r="AE1518" s="1" t="s">
        <v>5192</v>
      </c>
      <c r="AH1518" s="1" t="s">
        <v>73</v>
      </c>
      <c r="AK1518" s="1" t="s">
        <v>71</v>
      </c>
      <c r="AM1518" s="1" t="s">
        <v>71</v>
      </c>
      <c r="AN1518" s="1" t="s">
        <v>71</v>
      </c>
      <c r="AS1518" s="1" t="s">
        <v>71</v>
      </c>
      <c r="AX1518" s="1" t="s">
        <v>71</v>
      </c>
      <c r="AY1518" s="1" t="s">
        <v>59</v>
      </c>
      <c r="AZ1518" s="1" t="s">
        <v>74</v>
      </c>
      <c r="BH1518" s="1" t="s">
        <v>71</v>
      </c>
    </row>
    <row r="1519" customFormat="false" ht="15" hidden="false" customHeight="false" outlineLevel="0" collapsed="false">
      <c r="A1519" s="1" t="s">
        <v>5193</v>
      </c>
      <c r="B1519" s="1" t="s">
        <v>5194</v>
      </c>
      <c r="C1519" s="1" t="s">
        <v>1669</v>
      </c>
      <c r="D1519" s="1" t="s">
        <v>5195</v>
      </c>
      <c r="E1519" s="1" t="s">
        <v>82</v>
      </c>
      <c r="F1519" s="1" t="s">
        <v>391</v>
      </c>
      <c r="G1519" s="1" t="s">
        <v>97</v>
      </c>
      <c r="H1519" s="1" t="s">
        <v>406</v>
      </c>
      <c r="K1519" s="1" t="s">
        <v>65</v>
      </c>
      <c r="L1519" s="1" t="s">
        <v>860</v>
      </c>
      <c r="M1519" s="1" t="s">
        <v>496</v>
      </c>
      <c r="N1519" s="1" t="s">
        <v>3906</v>
      </c>
      <c r="O1519" s="1" t="s">
        <v>447</v>
      </c>
      <c r="P1519" s="1" t="s">
        <v>3907</v>
      </c>
      <c r="Z1519" s="1" t="s">
        <v>71</v>
      </c>
      <c r="AE1519" s="1" t="s">
        <v>5192</v>
      </c>
      <c r="AH1519" s="1" t="s">
        <v>73</v>
      </c>
      <c r="AK1519" s="1" t="s">
        <v>71</v>
      </c>
      <c r="AM1519" s="1" t="s">
        <v>71</v>
      </c>
      <c r="AN1519" s="1" t="s">
        <v>71</v>
      </c>
      <c r="AS1519" s="1" t="s">
        <v>71</v>
      </c>
      <c r="AX1519" s="1" t="s">
        <v>71</v>
      </c>
      <c r="BH1519" s="1" t="s">
        <v>71</v>
      </c>
    </row>
    <row r="1520" customFormat="false" ht="15" hidden="false" customHeight="false" outlineLevel="0" collapsed="false">
      <c r="A1520" s="1" t="s">
        <v>5196</v>
      </c>
      <c r="B1520" s="1" t="s">
        <v>5197</v>
      </c>
      <c r="C1520" s="1" t="s">
        <v>182</v>
      </c>
      <c r="D1520" s="1" t="s">
        <v>239</v>
      </c>
      <c r="E1520" s="1" t="s">
        <v>61</v>
      </c>
      <c r="F1520" s="1" t="s">
        <v>101</v>
      </c>
      <c r="G1520" s="1" t="s">
        <v>108</v>
      </c>
      <c r="H1520" s="1" t="s">
        <v>1495</v>
      </c>
      <c r="K1520" s="1" t="s">
        <v>180</v>
      </c>
      <c r="L1520" s="1" t="s">
        <v>1496</v>
      </c>
      <c r="M1520" s="1" t="s">
        <v>1497</v>
      </c>
      <c r="N1520" s="1" t="s">
        <v>5189</v>
      </c>
      <c r="O1520" s="1" t="s">
        <v>5190</v>
      </c>
      <c r="P1520" s="1" t="s">
        <v>5191</v>
      </c>
      <c r="U1520" s="1" t="s">
        <v>5198</v>
      </c>
      <c r="Z1520" s="1" t="s">
        <v>71</v>
      </c>
      <c r="AE1520" s="1" t="s">
        <v>5192</v>
      </c>
      <c r="AH1520" s="1" t="s">
        <v>73</v>
      </c>
      <c r="AK1520" s="1" t="s">
        <v>71</v>
      </c>
      <c r="AM1520" s="1" t="s">
        <v>71</v>
      </c>
      <c r="AN1520" s="1" t="s">
        <v>71</v>
      </c>
      <c r="AS1520" s="1" t="s">
        <v>71</v>
      </c>
      <c r="AX1520" s="1" t="s">
        <v>71</v>
      </c>
      <c r="BH1520" s="1" t="s">
        <v>71</v>
      </c>
    </row>
    <row r="1521" customFormat="false" ht="15" hidden="false" customHeight="false" outlineLevel="0" collapsed="false">
      <c r="A1521" s="1" t="s">
        <v>5199</v>
      </c>
      <c r="B1521" s="1" t="s">
        <v>5200</v>
      </c>
      <c r="C1521" s="1" t="s">
        <v>1158</v>
      </c>
      <c r="D1521" s="1" t="s">
        <v>4456</v>
      </c>
      <c r="E1521" s="1" t="s">
        <v>82</v>
      </c>
      <c r="F1521" s="1" t="s">
        <v>391</v>
      </c>
      <c r="G1521" s="1" t="s">
        <v>213</v>
      </c>
      <c r="H1521" s="1" t="s">
        <v>477</v>
      </c>
      <c r="K1521" s="1" t="s">
        <v>478</v>
      </c>
      <c r="L1521" s="1" t="s">
        <v>479</v>
      </c>
      <c r="M1521" s="1" t="s">
        <v>496</v>
      </c>
      <c r="N1521" s="1" t="s">
        <v>1768</v>
      </c>
      <c r="O1521" s="1" t="s">
        <v>400</v>
      </c>
      <c r="P1521" s="1" t="s">
        <v>4491</v>
      </c>
      <c r="Z1521" s="1" t="s">
        <v>71</v>
      </c>
      <c r="AE1521" s="1" t="s">
        <v>5192</v>
      </c>
      <c r="AH1521" s="1" t="s">
        <v>73</v>
      </c>
      <c r="AK1521" s="1" t="s">
        <v>71</v>
      </c>
      <c r="AM1521" s="1" t="s">
        <v>71</v>
      </c>
      <c r="AN1521" s="1" t="s">
        <v>71</v>
      </c>
      <c r="AS1521" s="1" t="s">
        <v>71</v>
      </c>
      <c r="AX1521" s="1" t="s">
        <v>71</v>
      </c>
      <c r="BH1521" s="1" t="s">
        <v>71</v>
      </c>
    </row>
    <row r="1522" customFormat="false" ht="15" hidden="false" customHeight="false" outlineLevel="0" collapsed="false">
      <c r="A1522" s="1" t="s">
        <v>5201</v>
      </c>
      <c r="B1522" s="1" t="s">
        <v>5202</v>
      </c>
      <c r="C1522" s="1" t="s">
        <v>1361</v>
      </c>
      <c r="D1522" s="1" t="s">
        <v>4847</v>
      </c>
      <c r="E1522" s="1" t="s">
        <v>82</v>
      </c>
      <c r="F1522" s="1" t="s">
        <v>391</v>
      </c>
      <c r="G1522" s="1" t="s">
        <v>97</v>
      </c>
      <c r="H1522" s="1" t="s">
        <v>406</v>
      </c>
      <c r="K1522" s="1" t="s">
        <v>65</v>
      </c>
      <c r="L1522" s="1" t="s">
        <v>860</v>
      </c>
      <c r="M1522" s="1" t="s">
        <v>496</v>
      </c>
      <c r="N1522" s="1" t="s">
        <v>1049</v>
      </c>
      <c r="O1522" s="1" t="s">
        <v>400</v>
      </c>
      <c r="P1522" s="1" t="s">
        <v>4213</v>
      </c>
      <c r="Z1522" s="1" t="s">
        <v>71</v>
      </c>
      <c r="AE1522" s="1" t="s">
        <v>5203</v>
      </c>
      <c r="AH1522" s="1" t="s">
        <v>73</v>
      </c>
      <c r="AK1522" s="1" t="s">
        <v>71</v>
      </c>
      <c r="AM1522" s="1" t="s">
        <v>71</v>
      </c>
      <c r="AN1522" s="1" t="s">
        <v>71</v>
      </c>
      <c r="AS1522" s="1" t="s">
        <v>71</v>
      </c>
      <c r="AX1522" s="1" t="s">
        <v>71</v>
      </c>
      <c r="BH1522" s="1" t="s">
        <v>71</v>
      </c>
    </row>
    <row r="1523" customFormat="false" ht="15" hidden="false" customHeight="false" outlineLevel="0" collapsed="false">
      <c r="A1523" s="1" t="s">
        <v>5204</v>
      </c>
      <c r="B1523" s="1" t="s">
        <v>5205</v>
      </c>
      <c r="C1523" s="1" t="s">
        <v>1361</v>
      </c>
      <c r="D1523" s="1" t="s">
        <v>4847</v>
      </c>
      <c r="E1523" s="1" t="s">
        <v>82</v>
      </c>
      <c r="F1523" s="1" t="s">
        <v>391</v>
      </c>
      <c r="G1523" s="1" t="s">
        <v>97</v>
      </c>
      <c r="H1523" s="1" t="s">
        <v>406</v>
      </c>
      <c r="K1523" s="1" t="s">
        <v>65</v>
      </c>
      <c r="L1523" s="1" t="s">
        <v>860</v>
      </c>
      <c r="M1523" s="1" t="s">
        <v>496</v>
      </c>
      <c r="N1523" s="1" t="s">
        <v>5206</v>
      </c>
      <c r="O1523" s="1" t="s">
        <v>5207</v>
      </c>
      <c r="P1523" s="1" t="s">
        <v>5208</v>
      </c>
      <c r="Z1523" s="1" t="s">
        <v>71</v>
      </c>
      <c r="AE1523" s="1" t="s">
        <v>5203</v>
      </c>
      <c r="AH1523" s="1" t="s">
        <v>73</v>
      </c>
      <c r="AK1523" s="1" t="s">
        <v>71</v>
      </c>
      <c r="AM1523" s="1" t="s">
        <v>71</v>
      </c>
      <c r="AN1523" s="1" t="s">
        <v>71</v>
      </c>
      <c r="AS1523" s="1" t="s">
        <v>71</v>
      </c>
      <c r="AX1523" s="1" t="s">
        <v>71</v>
      </c>
      <c r="BH1523" s="1" t="s">
        <v>71</v>
      </c>
    </row>
    <row r="1524" customFormat="false" ht="15" hidden="false" customHeight="false" outlineLevel="0" collapsed="false">
      <c r="A1524" s="1" t="s">
        <v>5209</v>
      </c>
      <c r="B1524" s="1" t="s">
        <v>5210</v>
      </c>
      <c r="C1524" s="1" t="s">
        <v>1016</v>
      </c>
      <c r="D1524" s="1" t="s">
        <v>3542</v>
      </c>
      <c r="E1524" s="1" t="s">
        <v>65</v>
      </c>
      <c r="F1524" s="1" t="s">
        <v>119</v>
      </c>
      <c r="G1524" s="1" t="s">
        <v>65</v>
      </c>
      <c r="H1524" s="1" t="s">
        <v>64</v>
      </c>
      <c r="K1524" s="1" t="s">
        <v>170</v>
      </c>
      <c r="L1524" s="1" t="s">
        <v>171</v>
      </c>
      <c r="M1524" s="1" t="s">
        <v>104</v>
      </c>
      <c r="N1524" s="1" t="s">
        <v>123</v>
      </c>
      <c r="O1524" s="1" t="s">
        <v>124</v>
      </c>
      <c r="P1524" s="1" t="s">
        <v>4161</v>
      </c>
      <c r="U1524" s="1" t="s">
        <v>5209</v>
      </c>
      <c r="Z1524" s="1" t="s">
        <v>71</v>
      </c>
      <c r="AE1524" s="1" t="s">
        <v>5211</v>
      </c>
      <c r="AH1524" s="1" t="s">
        <v>73</v>
      </c>
      <c r="AK1524" s="1" t="s">
        <v>71</v>
      </c>
      <c r="AM1524" s="1" t="s">
        <v>71</v>
      </c>
      <c r="AN1524" s="1" t="s">
        <v>71</v>
      </c>
      <c r="AS1524" s="1" t="s">
        <v>71</v>
      </c>
      <c r="AX1524" s="1" t="s">
        <v>71</v>
      </c>
      <c r="AY1524" s="1" t="s">
        <v>59</v>
      </c>
      <c r="AZ1524" s="1" t="s">
        <v>74</v>
      </c>
      <c r="BH1524" s="1" t="s">
        <v>71</v>
      </c>
    </row>
    <row r="1525" customFormat="false" ht="15" hidden="false" customHeight="false" outlineLevel="0" collapsed="false">
      <c r="A1525" s="1" t="s">
        <v>5212</v>
      </c>
      <c r="B1525" s="1" t="s">
        <v>5213</v>
      </c>
      <c r="C1525" s="1" t="s">
        <v>163</v>
      </c>
      <c r="D1525" s="1" t="s">
        <v>267</v>
      </c>
      <c r="E1525" s="1" t="s">
        <v>65</v>
      </c>
      <c r="F1525" s="1" t="s">
        <v>119</v>
      </c>
      <c r="G1525" s="1" t="s">
        <v>88</v>
      </c>
      <c r="H1525" s="1" t="s">
        <v>255</v>
      </c>
      <c r="K1525" s="1" t="s">
        <v>1596</v>
      </c>
      <c r="L1525" s="1" t="s">
        <v>1597</v>
      </c>
      <c r="M1525" s="1" t="s">
        <v>5214</v>
      </c>
      <c r="N1525" s="1" t="s">
        <v>1599</v>
      </c>
      <c r="O1525" s="1" t="s">
        <v>1600</v>
      </c>
      <c r="P1525" s="1" t="s">
        <v>5215</v>
      </c>
      <c r="U1525" s="1" t="s">
        <v>5212</v>
      </c>
      <c r="Z1525" s="1" t="s">
        <v>71</v>
      </c>
      <c r="AE1525" s="1" t="s">
        <v>5216</v>
      </c>
      <c r="AH1525" s="1" t="s">
        <v>73</v>
      </c>
      <c r="AK1525" s="1" t="s">
        <v>71</v>
      </c>
      <c r="AM1525" s="1" t="s">
        <v>71</v>
      </c>
      <c r="AN1525" s="1" t="s">
        <v>71</v>
      </c>
      <c r="AS1525" s="1" t="s">
        <v>71</v>
      </c>
      <c r="AX1525" s="1" t="s">
        <v>71</v>
      </c>
      <c r="AY1525" s="1" t="s">
        <v>59</v>
      </c>
      <c r="AZ1525" s="1" t="s">
        <v>74</v>
      </c>
      <c r="BH1525" s="1" t="s">
        <v>71</v>
      </c>
    </row>
    <row r="1526" customFormat="false" ht="15" hidden="false" customHeight="false" outlineLevel="0" collapsed="false">
      <c r="A1526" s="1" t="s">
        <v>5217</v>
      </c>
      <c r="B1526" s="1" t="s">
        <v>5218</v>
      </c>
      <c r="C1526" s="1" t="s">
        <v>1456</v>
      </c>
      <c r="D1526" s="1" t="s">
        <v>5219</v>
      </c>
      <c r="E1526" s="1" t="s">
        <v>82</v>
      </c>
      <c r="F1526" s="1" t="s">
        <v>391</v>
      </c>
      <c r="G1526" s="1" t="s">
        <v>97</v>
      </c>
      <c r="H1526" s="1" t="s">
        <v>406</v>
      </c>
      <c r="K1526" s="1" t="s">
        <v>65</v>
      </c>
      <c r="L1526" s="1" t="s">
        <v>860</v>
      </c>
      <c r="M1526" s="1" t="s">
        <v>496</v>
      </c>
      <c r="N1526" s="1" t="s">
        <v>5220</v>
      </c>
      <c r="O1526" s="1" t="s">
        <v>5221</v>
      </c>
      <c r="P1526" s="1" t="s">
        <v>5222</v>
      </c>
      <c r="Z1526" s="1" t="s">
        <v>71</v>
      </c>
      <c r="AE1526" s="1" t="s">
        <v>5223</v>
      </c>
      <c r="AH1526" s="1" t="s">
        <v>73</v>
      </c>
      <c r="AK1526" s="1" t="s">
        <v>71</v>
      </c>
      <c r="AM1526" s="1" t="s">
        <v>71</v>
      </c>
      <c r="AN1526" s="1" t="s">
        <v>71</v>
      </c>
      <c r="AS1526" s="1" t="s">
        <v>71</v>
      </c>
      <c r="AX1526" s="1" t="s">
        <v>71</v>
      </c>
      <c r="BH1526" s="1" t="s">
        <v>71</v>
      </c>
    </row>
    <row r="1527" customFormat="false" ht="15" hidden="false" customHeight="false" outlineLevel="0" collapsed="false">
      <c r="A1527" s="1" t="s">
        <v>5224</v>
      </c>
      <c r="B1527" s="1" t="s">
        <v>5225</v>
      </c>
      <c r="C1527" s="1" t="s">
        <v>4982</v>
      </c>
      <c r="D1527" s="1" t="s">
        <v>4983</v>
      </c>
      <c r="E1527" s="1" t="s">
        <v>82</v>
      </c>
      <c r="F1527" s="1" t="s">
        <v>391</v>
      </c>
      <c r="G1527" s="1" t="s">
        <v>443</v>
      </c>
      <c r="H1527" s="1" t="s">
        <v>444</v>
      </c>
      <c r="K1527" s="1" t="s">
        <v>61</v>
      </c>
      <c r="L1527" s="1" t="s">
        <v>445</v>
      </c>
      <c r="M1527" s="1" t="s">
        <v>496</v>
      </c>
      <c r="N1527" s="1" t="s">
        <v>5226</v>
      </c>
      <c r="O1527" s="1" t="s">
        <v>400</v>
      </c>
      <c r="P1527" s="1" t="s">
        <v>5227</v>
      </c>
      <c r="Z1527" s="1" t="s">
        <v>71</v>
      </c>
      <c r="AE1527" s="1" t="s">
        <v>5223</v>
      </c>
      <c r="AH1527" s="1" t="s">
        <v>73</v>
      </c>
      <c r="AK1527" s="1" t="s">
        <v>71</v>
      </c>
      <c r="AM1527" s="1" t="s">
        <v>71</v>
      </c>
      <c r="AN1527" s="1" t="s">
        <v>71</v>
      </c>
      <c r="AS1527" s="1" t="s">
        <v>71</v>
      </c>
      <c r="AX1527" s="1" t="s">
        <v>71</v>
      </c>
      <c r="BH1527" s="1" t="s">
        <v>71</v>
      </c>
    </row>
    <row r="1528" customFormat="false" ht="15" hidden="false" customHeight="false" outlineLevel="0" collapsed="false">
      <c r="A1528" s="1" t="s">
        <v>5228</v>
      </c>
      <c r="B1528" s="1" t="s">
        <v>5229</v>
      </c>
      <c r="C1528" s="1" t="s">
        <v>647</v>
      </c>
      <c r="D1528" s="1" t="s">
        <v>2056</v>
      </c>
      <c r="E1528" s="1" t="s">
        <v>82</v>
      </c>
      <c r="F1528" s="1" t="s">
        <v>391</v>
      </c>
      <c r="G1528" s="1" t="s">
        <v>213</v>
      </c>
      <c r="H1528" s="1" t="s">
        <v>477</v>
      </c>
      <c r="K1528" s="1" t="s">
        <v>1904</v>
      </c>
      <c r="L1528" s="1" t="s">
        <v>1905</v>
      </c>
      <c r="M1528" s="1" t="s">
        <v>496</v>
      </c>
      <c r="N1528" s="1" t="s">
        <v>5230</v>
      </c>
      <c r="O1528" s="1" t="s">
        <v>400</v>
      </c>
      <c r="P1528" s="1" t="s">
        <v>5231</v>
      </c>
      <c r="Z1528" s="1" t="s">
        <v>71</v>
      </c>
      <c r="AE1528" s="1" t="s">
        <v>5232</v>
      </c>
      <c r="AH1528" s="1" t="s">
        <v>73</v>
      </c>
      <c r="AK1528" s="1" t="s">
        <v>71</v>
      </c>
      <c r="AM1528" s="1" t="s">
        <v>71</v>
      </c>
      <c r="AN1528" s="1" t="s">
        <v>71</v>
      </c>
      <c r="AS1528" s="1" t="s">
        <v>71</v>
      </c>
      <c r="AX1528" s="1" t="s">
        <v>71</v>
      </c>
      <c r="BH1528" s="1" t="s">
        <v>71</v>
      </c>
    </row>
    <row r="1529" customFormat="false" ht="15" hidden="false" customHeight="false" outlineLevel="0" collapsed="false">
      <c r="A1529" s="1" t="s">
        <v>5233</v>
      </c>
      <c r="B1529" s="1" t="s">
        <v>5234</v>
      </c>
      <c r="C1529" s="1" t="s">
        <v>647</v>
      </c>
      <c r="D1529" s="1" t="s">
        <v>2056</v>
      </c>
      <c r="E1529" s="1" t="s">
        <v>82</v>
      </c>
      <c r="F1529" s="1" t="s">
        <v>391</v>
      </c>
      <c r="G1529" s="1" t="s">
        <v>213</v>
      </c>
      <c r="H1529" s="1" t="s">
        <v>477</v>
      </c>
      <c r="K1529" s="1" t="s">
        <v>1904</v>
      </c>
      <c r="L1529" s="1" t="s">
        <v>1905</v>
      </c>
      <c r="M1529" s="1" t="s">
        <v>496</v>
      </c>
      <c r="N1529" s="1" t="s">
        <v>3906</v>
      </c>
      <c r="O1529" s="1" t="s">
        <v>447</v>
      </c>
      <c r="P1529" s="1" t="s">
        <v>3907</v>
      </c>
      <c r="Z1529" s="1" t="s">
        <v>71</v>
      </c>
      <c r="AE1529" s="1" t="s">
        <v>5232</v>
      </c>
      <c r="AH1529" s="1" t="s">
        <v>73</v>
      </c>
      <c r="AK1529" s="1" t="s">
        <v>71</v>
      </c>
      <c r="AM1529" s="1" t="s">
        <v>71</v>
      </c>
      <c r="AN1529" s="1" t="s">
        <v>71</v>
      </c>
      <c r="AS1529" s="1" t="s">
        <v>71</v>
      </c>
      <c r="AX1529" s="1" t="s">
        <v>71</v>
      </c>
      <c r="BH1529" s="1" t="s">
        <v>71</v>
      </c>
    </row>
    <row r="1530" customFormat="false" ht="15" hidden="false" customHeight="false" outlineLevel="0" collapsed="false">
      <c r="A1530" s="1" t="s">
        <v>5235</v>
      </c>
      <c r="B1530" s="1" t="s">
        <v>5236</v>
      </c>
      <c r="C1530" s="1" t="s">
        <v>647</v>
      </c>
      <c r="D1530" s="1" t="s">
        <v>2056</v>
      </c>
      <c r="E1530" s="1" t="s">
        <v>82</v>
      </c>
      <c r="F1530" s="1" t="s">
        <v>391</v>
      </c>
      <c r="G1530" s="1" t="s">
        <v>213</v>
      </c>
      <c r="H1530" s="1" t="s">
        <v>477</v>
      </c>
      <c r="K1530" s="1" t="s">
        <v>1904</v>
      </c>
      <c r="L1530" s="1" t="s">
        <v>1905</v>
      </c>
      <c r="M1530" s="1" t="s">
        <v>496</v>
      </c>
      <c r="N1530" s="1" t="s">
        <v>5230</v>
      </c>
      <c r="O1530" s="1" t="s">
        <v>400</v>
      </c>
      <c r="P1530" s="1" t="s">
        <v>5231</v>
      </c>
      <c r="Z1530" s="1" t="s">
        <v>71</v>
      </c>
      <c r="AE1530" s="1" t="s">
        <v>5232</v>
      </c>
      <c r="AH1530" s="1" t="s">
        <v>73</v>
      </c>
      <c r="AK1530" s="1" t="s">
        <v>71</v>
      </c>
      <c r="AM1530" s="1" t="s">
        <v>71</v>
      </c>
      <c r="AN1530" s="1" t="s">
        <v>71</v>
      </c>
      <c r="AS1530" s="1" t="s">
        <v>71</v>
      </c>
      <c r="AX1530" s="1" t="s">
        <v>71</v>
      </c>
      <c r="BH1530" s="1" t="s">
        <v>71</v>
      </c>
    </row>
    <row r="1531" customFormat="false" ht="15" hidden="false" customHeight="false" outlineLevel="0" collapsed="false">
      <c r="A1531" s="1" t="s">
        <v>5237</v>
      </c>
      <c r="B1531" s="1" t="s">
        <v>5238</v>
      </c>
      <c r="C1531" s="1" t="s">
        <v>1462</v>
      </c>
      <c r="D1531" s="1" t="s">
        <v>2466</v>
      </c>
      <c r="E1531" s="1" t="s">
        <v>82</v>
      </c>
      <c r="F1531" s="1" t="s">
        <v>391</v>
      </c>
      <c r="G1531" s="1" t="s">
        <v>213</v>
      </c>
      <c r="H1531" s="1" t="s">
        <v>477</v>
      </c>
      <c r="K1531" s="1" t="s">
        <v>1904</v>
      </c>
      <c r="L1531" s="1" t="s">
        <v>1905</v>
      </c>
      <c r="M1531" s="1" t="s">
        <v>5114</v>
      </c>
      <c r="N1531" s="1" t="s">
        <v>518</v>
      </c>
      <c r="O1531" s="1" t="s">
        <v>519</v>
      </c>
      <c r="P1531" s="1" t="s">
        <v>4181</v>
      </c>
      <c r="Z1531" s="1" t="s">
        <v>71</v>
      </c>
      <c r="AE1531" s="1" t="s">
        <v>5232</v>
      </c>
      <c r="AH1531" s="1" t="s">
        <v>73</v>
      </c>
      <c r="AK1531" s="1" t="s">
        <v>71</v>
      </c>
      <c r="AM1531" s="1" t="s">
        <v>71</v>
      </c>
      <c r="AN1531" s="1" t="s">
        <v>71</v>
      </c>
      <c r="AS1531" s="1" t="s">
        <v>71</v>
      </c>
      <c r="AX1531" s="1" t="s">
        <v>71</v>
      </c>
      <c r="BH1531" s="1" t="s">
        <v>71</v>
      </c>
    </row>
    <row r="1532" customFormat="false" ht="15" hidden="false" customHeight="false" outlineLevel="0" collapsed="false">
      <c r="A1532" s="1" t="s">
        <v>5239</v>
      </c>
      <c r="B1532" s="1" t="s">
        <v>5240</v>
      </c>
      <c r="C1532" s="1" t="s">
        <v>4962</v>
      </c>
      <c r="D1532" s="1" t="s">
        <v>4963</v>
      </c>
      <c r="E1532" s="1" t="s">
        <v>82</v>
      </c>
      <c r="F1532" s="1" t="s">
        <v>391</v>
      </c>
      <c r="G1532" s="1" t="s">
        <v>443</v>
      </c>
      <c r="H1532" s="1" t="s">
        <v>444</v>
      </c>
      <c r="K1532" s="1" t="s">
        <v>61</v>
      </c>
      <c r="L1532" s="1" t="s">
        <v>445</v>
      </c>
      <c r="M1532" s="1" t="s">
        <v>496</v>
      </c>
      <c r="N1532" s="1" t="s">
        <v>394</v>
      </c>
      <c r="O1532" s="1" t="s">
        <v>395</v>
      </c>
      <c r="P1532" s="1" t="s">
        <v>3674</v>
      </c>
      <c r="Z1532" s="1" t="s">
        <v>71</v>
      </c>
      <c r="AE1532" s="1" t="s">
        <v>5241</v>
      </c>
      <c r="AH1532" s="1" t="s">
        <v>73</v>
      </c>
      <c r="AK1532" s="1" t="s">
        <v>71</v>
      </c>
      <c r="AM1532" s="1" t="s">
        <v>71</v>
      </c>
      <c r="AN1532" s="1" t="s">
        <v>71</v>
      </c>
      <c r="AS1532" s="1" t="s">
        <v>71</v>
      </c>
      <c r="AX1532" s="1" t="s">
        <v>71</v>
      </c>
      <c r="BH1532" s="1" t="s">
        <v>71</v>
      </c>
    </row>
    <row r="1533" customFormat="false" ht="15" hidden="false" customHeight="false" outlineLevel="0" collapsed="false">
      <c r="A1533" s="1" t="s">
        <v>5242</v>
      </c>
      <c r="B1533" s="1" t="s">
        <v>5243</v>
      </c>
      <c r="C1533" s="1" t="s">
        <v>4962</v>
      </c>
      <c r="D1533" s="1" t="s">
        <v>4963</v>
      </c>
      <c r="E1533" s="1" t="s">
        <v>82</v>
      </c>
      <c r="F1533" s="1" t="s">
        <v>391</v>
      </c>
      <c r="G1533" s="1" t="s">
        <v>443</v>
      </c>
      <c r="H1533" s="1" t="s">
        <v>444</v>
      </c>
      <c r="K1533" s="1" t="s">
        <v>61</v>
      </c>
      <c r="L1533" s="1" t="s">
        <v>445</v>
      </c>
      <c r="M1533" s="1" t="s">
        <v>496</v>
      </c>
      <c r="N1533" s="1" t="s">
        <v>2841</v>
      </c>
      <c r="O1533" s="1" t="s">
        <v>2842</v>
      </c>
      <c r="P1533" s="1" t="s">
        <v>4964</v>
      </c>
      <c r="Z1533" s="1" t="s">
        <v>71</v>
      </c>
      <c r="AE1533" s="1" t="s">
        <v>5241</v>
      </c>
      <c r="AH1533" s="1" t="s">
        <v>73</v>
      </c>
      <c r="AK1533" s="1" t="s">
        <v>71</v>
      </c>
      <c r="AM1533" s="1" t="s">
        <v>71</v>
      </c>
      <c r="AN1533" s="1" t="s">
        <v>71</v>
      </c>
      <c r="AS1533" s="1" t="s">
        <v>71</v>
      </c>
      <c r="AX1533" s="1" t="s">
        <v>71</v>
      </c>
      <c r="BH1533" s="1" t="s">
        <v>71</v>
      </c>
    </row>
    <row r="1534" customFormat="false" ht="15" hidden="false" customHeight="false" outlineLevel="0" collapsed="false">
      <c r="A1534" s="1" t="s">
        <v>5244</v>
      </c>
      <c r="B1534" s="1" t="s">
        <v>5245</v>
      </c>
      <c r="C1534" s="1" t="s">
        <v>1158</v>
      </c>
      <c r="D1534" s="1" t="s">
        <v>4456</v>
      </c>
      <c r="E1534" s="1" t="s">
        <v>82</v>
      </c>
      <c r="F1534" s="1" t="s">
        <v>391</v>
      </c>
      <c r="G1534" s="1" t="s">
        <v>213</v>
      </c>
      <c r="H1534" s="1" t="s">
        <v>477</v>
      </c>
      <c r="K1534" s="1" t="s">
        <v>478</v>
      </c>
      <c r="L1534" s="1" t="s">
        <v>479</v>
      </c>
      <c r="M1534" s="1" t="s">
        <v>496</v>
      </c>
      <c r="N1534" s="1" t="s">
        <v>5246</v>
      </c>
      <c r="O1534" s="1" t="s">
        <v>5247</v>
      </c>
      <c r="P1534" s="1" t="s">
        <v>5248</v>
      </c>
      <c r="Z1534" s="1" t="s">
        <v>71</v>
      </c>
      <c r="AE1534" s="1" t="s">
        <v>5249</v>
      </c>
      <c r="AH1534" s="1" t="s">
        <v>73</v>
      </c>
      <c r="AK1534" s="1" t="s">
        <v>71</v>
      </c>
      <c r="AM1534" s="1" t="s">
        <v>71</v>
      </c>
      <c r="AN1534" s="1" t="s">
        <v>71</v>
      </c>
      <c r="AS1534" s="1" t="s">
        <v>71</v>
      </c>
      <c r="AX1534" s="1" t="s">
        <v>71</v>
      </c>
      <c r="BH1534" s="1" t="s">
        <v>71</v>
      </c>
    </row>
    <row r="1535" customFormat="false" ht="15" hidden="false" customHeight="false" outlineLevel="0" collapsed="false">
      <c r="A1535" s="1" t="s">
        <v>5250</v>
      </c>
      <c r="B1535" s="1" t="s">
        <v>5251</v>
      </c>
      <c r="C1535" s="1" t="s">
        <v>1823</v>
      </c>
      <c r="D1535" s="1" t="s">
        <v>1824</v>
      </c>
      <c r="E1535" s="1" t="s">
        <v>82</v>
      </c>
      <c r="F1535" s="1" t="s">
        <v>391</v>
      </c>
      <c r="G1535" s="1" t="s">
        <v>1356</v>
      </c>
      <c r="H1535" s="1" t="s">
        <v>1825</v>
      </c>
      <c r="K1535" s="1" t="s">
        <v>1826</v>
      </c>
      <c r="L1535" s="1" t="s">
        <v>1827</v>
      </c>
      <c r="M1535" s="1" t="s">
        <v>496</v>
      </c>
      <c r="N1535" s="1" t="s">
        <v>5252</v>
      </c>
      <c r="O1535" s="1" t="s">
        <v>5253</v>
      </c>
      <c r="P1535" s="1" t="s">
        <v>5254</v>
      </c>
      <c r="Z1535" s="1" t="s">
        <v>71</v>
      </c>
      <c r="AE1535" s="1" t="s">
        <v>5255</v>
      </c>
      <c r="AH1535" s="1" t="s">
        <v>73</v>
      </c>
      <c r="AK1535" s="1" t="s">
        <v>71</v>
      </c>
      <c r="AM1535" s="1" t="s">
        <v>71</v>
      </c>
      <c r="AN1535" s="1" t="s">
        <v>71</v>
      </c>
      <c r="AS1535" s="1" t="s">
        <v>71</v>
      </c>
      <c r="AX1535" s="1" t="s">
        <v>71</v>
      </c>
      <c r="BH1535" s="1" t="s">
        <v>71</v>
      </c>
    </row>
    <row r="1536" customFormat="false" ht="15" hidden="false" customHeight="false" outlineLevel="0" collapsed="false">
      <c r="A1536" s="1" t="s">
        <v>5256</v>
      </c>
      <c r="B1536" s="1" t="s">
        <v>5257</v>
      </c>
      <c r="C1536" s="1" t="s">
        <v>1823</v>
      </c>
      <c r="D1536" s="1" t="s">
        <v>1824</v>
      </c>
      <c r="E1536" s="1" t="s">
        <v>82</v>
      </c>
      <c r="F1536" s="1" t="s">
        <v>391</v>
      </c>
      <c r="G1536" s="1" t="s">
        <v>1356</v>
      </c>
      <c r="H1536" s="1" t="s">
        <v>1825</v>
      </c>
      <c r="K1536" s="1" t="s">
        <v>1826</v>
      </c>
      <c r="L1536" s="1" t="s">
        <v>1827</v>
      </c>
      <c r="M1536" s="1" t="s">
        <v>496</v>
      </c>
      <c r="N1536" s="1" t="s">
        <v>5252</v>
      </c>
      <c r="O1536" s="1" t="s">
        <v>5253</v>
      </c>
      <c r="P1536" s="1" t="s">
        <v>5254</v>
      </c>
      <c r="Z1536" s="1" t="s">
        <v>71</v>
      </c>
      <c r="AE1536" s="1" t="s">
        <v>5255</v>
      </c>
      <c r="AH1536" s="1" t="s">
        <v>73</v>
      </c>
      <c r="AK1536" s="1" t="s">
        <v>71</v>
      </c>
      <c r="AM1536" s="1" t="s">
        <v>71</v>
      </c>
      <c r="AN1536" s="1" t="s">
        <v>71</v>
      </c>
      <c r="AS1536" s="1" t="s">
        <v>71</v>
      </c>
      <c r="AX1536" s="1" t="s">
        <v>71</v>
      </c>
      <c r="BH1536" s="1" t="s">
        <v>71</v>
      </c>
    </row>
    <row r="1537" customFormat="false" ht="15" hidden="false" customHeight="false" outlineLevel="0" collapsed="false">
      <c r="A1537" s="1" t="s">
        <v>5258</v>
      </c>
      <c r="B1537" s="1" t="s">
        <v>5259</v>
      </c>
      <c r="C1537" s="1" t="s">
        <v>647</v>
      </c>
      <c r="D1537" s="1" t="s">
        <v>2056</v>
      </c>
      <c r="E1537" s="1" t="s">
        <v>82</v>
      </c>
      <c r="F1537" s="1" t="s">
        <v>391</v>
      </c>
      <c r="G1537" s="1" t="s">
        <v>213</v>
      </c>
      <c r="H1537" s="1" t="s">
        <v>477</v>
      </c>
      <c r="K1537" s="1" t="s">
        <v>1904</v>
      </c>
      <c r="L1537" s="1" t="s">
        <v>1905</v>
      </c>
      <c r="M1537" s="1" t="s">
        <v>465</v>
      </c>
      <c r="N1537" s="1" t="s">
        <v>4722</v>
      </c>
      <c r="O1537" s="1" t="s">
        <v>4723</v>
      </c>
      <c r="P1537" s="1" t="s">
        <v>4724</v>
      </c>
      <c r="Z1537" s="1" t="s">
        <v>71</v>
      </c>
      <c r="AE1537" s="1" t="s">
        <v>5255</v>
      </c>
      <c r="AH1537" s="1" t="s">
        <v>73</v>
      </c>
      <c r="AK1537" s="1" t="s">
        <v>71</v>
      </c>
      <c r="AM1537" s="1" t="s">
        <v>71</v>
      </c>
      <c r="AN1537" s="1" t="s">
        <v>71</v>
      </c>
      <c r="AS1537" s="1" t="s">
        <v>71</v>
      </c>
      <c r="AX1537" s="1" t="s">
        <v>71</v>
      </c>
      <c r="BH1537" s="1" t="s">
        <v>71</v>
      </c>
    </row>
    <row r="1538" customFormat="false" ht="15" hidden="false" customHeight="false" outlineLevel="0" collapsed="false">
      <c r="A1538" s="1" t="s">
        <v>5260</v>
      </c>
      <c r="B1538" s="1" t="s">
        <v>5261</v>
      </c>
      <c r="C1538" s="1" t="s">
        <v>4962</v>
      </c>
      <c r="D1538" s="1" t="s">
        <v>4963</v>
      </c>
      <c r="E1538" s="1" t="s">
        <v>82</v>
      </c>
      <c r="F1538" s="1" t="s">
        <v>391</v>
      </c>
      <c r="G1538" s="1" t="s">
        <v>443</v>
      </c>
      <c r="H1538" s="1" t="s">
        <v>444</v>
      </c>
      <c r="K1538" s="1" t="s">
        <v>61</v>
      </c>
      <c r="L1538" s="1" t="s">
        <v>445</v>
      </c>
      <c r="M1538" s="1" t="s">
        <v>496</v>
      </c>
      <c r="N1538" s="1" t="s">
        <v>2841</v>
      </c>
      <c r="O1538" s="1" t="s">
        <v>2842</v>
      </c>
      <c r="P1538" s="1" t="s">
        <v>4964</v>
      </c>
      <c r="Z1538" s="1" t="s">
        <v>71</v>
      </c>
      <c r="AE1538" s="1" t="s">
        <v>5255</v>
      </c>
      <c r="AH1538" s="1" t="s">
        <v>73</v>
      </c>
      <c r="AK1538" s="1" t="s">
        <v>71</v>
      </c>
      <c r="AM1538" s="1" t="s">
        <v>71</v>
      </c>
      <c r="AN1538" s="1" t="s">
        <v>71</v>
      </c>
      <c r="AS1538" s="1" t="s">
        <v>71</v>
      </c>
      <c r="AX1538" s="1" t="s">
        <v>71</v>
      </c>
      <c r="BH1538" s="1" t="s">
        <v>71</v>
      </c>
    </row>
    <row r="1539" customFormat="false" ht="15" hidden="false" customHeight="false" outlineLevel="0" collapsed="false">
      <c r="A1539" s="1" t="s">
        <v>5262</v>
      </c>
      <c r="B1539" s="1" t="s">
        <v>5263</v>
      </c>
      <c r="C1539" s="1" t="s">
        <v>182</v>
      </c>
      <c r="D1539" s="1" t="s">
        <v>239</v>
      </c>
      <c r="E1539" s="1" t="s">
        <v>61</v>
      </c>
      <c r="F1539" s="1" t="s">
        <v>101</v>
      </c>
      <c r="G1539" s="1" t="s">
        <v>275</v>
      </c>
      <c r="H1539" s="1" t="s">
        <v>276</v>
      </c>
      <c r="K1539" s="1" t="s">
        <v>1479</v>
      </c>
      <c r="L1539" s="1" t="s">
        <v>1480</v>
      </c>
      <c r="M1539" s="1" t="s">
        <v>278</v>
      </c>
      <c r="N1539" s="1" t="s">
        <v>1365</v>
      </c>
      <c r="O1539" s="1" t="s">
        <v>1366</v>
      </c>
      <c r="P1539" s="1" t="s">
        <v>4820</v>
      </c>
      <c r="U1539" s="1" t="s">
        <v>263</v>
      </c>
      <c r="Z1539" s="1" t="s">
        <v>71</v>
      </c>
      <c r="AE1539" s="1" t="s">
        <v>5264</v>
      </c>
      <c r="AH1539" s="1" t="s">
        <v>73</v>
      </c>
      <c r="AK1539" s="1" t="s">
        <v>71</v>
      </c>
      <c r="AM1539" s="1" t="s">
        <v>71</v>
      </c>
      <c r="AN1539" s="1" t="s">
        <v>71</v>
      </c>
      <c r="AS1539" s="1" t="s">
        <v>71</v>
      </c>
      <c r="AX1539" s="1" t="s">
        <v>71</v>
      </c>
      <c r="AY1539" s="1" t="s">
        <v>59</v>
      </c>
      <c r="AZ1539" s="1" t="s">
        <v>74</v>
      </c>
      <c r="BH1539" s="1" t="s">
        <v>71</v>
      </c>
    </row>
    <row r="1540" customFormat="false" ht="15" hidden="false" customHeight="false" outlineLevel="0" collapsed="false">
      <c r="A1540" s="1" t="s">
        <v>5265</v>
      </c>
      <c r="B1540" s="1" t="s">
        <v>5266</v>
      </c>
      <c r="C1540" s="1" t="s">
        <v>1433</v>
      </c>
      <c r="D1540" s="1" t="s">
        <v>5267</v>
      </c>
      <c r="E1540" s="1" t="s">
        <v>82</v>
      </c>
      <c r="F1540" s="1" t="s">
        <v>391</v>
      </c>
      <c r="G1540" s="1" t="s">
        <v>97</v>
      </c>
      <c r="H1540" s="1" t="s">
        <v>406</v>
      </c>
      <c r="K1540" s="1" t="s">
        <v>65</v>
      </c>
      <c r="L1540" s="1" t="s">
        <v>860</v>
      </c>
      <c r="M1540" s="1" t="s">
        <v>496</v>
      </c>
      <c r="N1540" s="1" t="s">
        <v>5268</v>
      </c>
      <c r="O1540" s="1" t="s">
        <v>5269</v>
      </c>
      <c r="P1540" s="1" t="s">
        <v>5270</v>
      </c>
      <c r="Z1540" s="1" t="s">
        <v>71</v>
      </c>
      <c r="AE1540" s="1" t="s">
        <v>5271</v>
      </c>
      <c r="AH1540" s="1" t="s">
        <v>73</v>
      </c>
      <c r="AK1540" s="1" t="s">
        <v>71</v>
      </c>
      <c r="AM1540" s="1" t="s">
        <v>71</v>
      </c>
      <c r="AN1540" s="1" t="s">
        <v>71</v>
      </c>
      <c r="AS1540" s="1" t="s">
        <v>71</v>
      </c>
      <c r="AX1540" s="1" t="s">
        <v>71</v>
      </c>
      <c r="BH1540" s="1" t="s">
        <v>71</v>
      </c>
    </row>
    <row r="1541" customFormat="false" ht="15" hidden="false" customHeight="false" outlineLevel="0" collapsed="false">
      <c r="A1541" s="1" t="s">
        <v>5272</v>
      </c>
      <c r="B1541" s="1" t="s">
        <v>5273</v>
      </c>
      <c r="C1541" s="1" t="s">
        <v>5274</v>
      </c>
      <c r="D1541" s="1" t="s">
        <v>5275</v>
      </c>
      <c r="E1541" s="1" t="s">
        <v>61</v>
      </c>
      <c r="F1541" s="1" t="s">
        <v>101</v>
      </c>
      <c r="G1541" s="1" t="s">
        <v>275</v>
      </c>
      <c r="H1541" s="1" t="s">
        <v>276</v>
      </c>
      <c r="K1541" s="1" t="s">
        <v>1479</v>
      </c>
      <c r="L1541" s="1" t="s">
        <v>1480</v>
      </c>
      <c r="M1541" s="1" t="s">
        <v>1364</v>
      </c>
      <c r="N1541" s="1" t="s">
        <v>1365</v>
      </c>
      <c r="O1541" s="1" t="s">
        <v>1366</v>
      </c>
      <c r="P1541" s="1" t="s">
        <v>4820</v>
      </c>
      <c r="U1541" s="1" t="s">
        <v>5272</v>
      </c>
      <c r="Z1541" s="1" t="s">
        <v>71</v>
      </c>
      <c r="AE1541" s="1" t="s">
        <v>5276</v>
      </c>
      <c r="AH1541" s="1" t="s">
        <v>73</v>
      </c>
      <c r="AK1541" s="1" t="s">
        <v>71</v>
      </c>
      <c r="AM1541" s="1" t="s">
        <v>71</v>
      </c>
      <c r="AN1541" s="1" t="s">
        <v>71</v>
      </c>
      <c r="AS1541" s="1" t="s">
        <v>71</v>
      </c>
      <c r="AX1541" s="1" t="s">
        <v>71</v>
      </c>
      <c r="AY1541" s="1" t="s">
        <v>59</v>
      </c>
      <c r="AZ1541" s="1" t="s">
        <v>74</v>
      </c>
      <c r="BH1541" s="1" t="s">
        <v>71</v>
      </c>
    </row>
    <row r="1542" customFormat="false" ht="15" hidden="false" customHeight="false" outlineLevel="0" collapsed="false">
      <c r="A1542" s="1" t="s">
        <v>5277</v>
      </c>
      <c r="B1542" s="1" t="s">
        <v>5278</v>
      </c>
      <c r="C1542" s="1" t="s">
        <v>5274</v>
      </c>
      <c r="D1542" s="1" t="s">
        <v>5275</v>
      </c>
      <c r="E1542" s="1" t="s">
        <v>61</v>
      </c>
      <c r="F1542" s="1" t="s">
        <v>101</v>
      </c>
      <c r="G1542" s="1" t="s">
        <v>275</v>
      </c>
      <c r="H1542" s="1" t="s">
        <v>276</v>
      </c>
      <c r="K1542" s="1" t="s">
        <v>657</v>
      </c>
      <c r="L1542" s="1" t="s">
        <v>5279</v>
      </c>
      <c r="M1542" s="1" t="s">
        <v>1364</v>
      </c>
      <c r="N1542" s="1" t="s">
        <v>279</v>
      </c>
      <c r="O1542" s="1" t="s">
        <v>280</v>
      </c>
      <c r="P1542" s="1" t="s">
        <v>4895</v>
      </c>
      <c r="U1542" s="1" t="s">
        <v>5277</v>
      </c>
      <c r="Z1542" s="1" t="s">
        <v>71</v>
      </c>
      <c r="AE1542" s="1" t="s">
        <v>5276</v>
      </c>
      <c r="AH1542" s="1" t="s">
        <v>73</v>
      </c>
      <c r="AK1542" s="1" t="s">
        <v>71</v>
      </c>
      <c r="AM1542" s="1" t="s">
        <v>71</v>
      </c>
      <c r="AN1542" s="1" t="s">
        <v>71</v>
      </c>
      <c r="AS1542" s="1" t="s">
        <v>71</v>
      </c>
      <c r="AX1542" s="1" t="s">
        <v>71</v>
      </c>
      <c r="AY1542" s="1" t="s">
        <v>59</v>
      </c>
      <c r="AZ1542" s="1" t="s">
        <v>74</v>
      </c>
      <c r="BH1542" s="1" t="s">
        <v>71</v>
      </c>
    </row>
    <row r="1543" customFormat="false" ht="15" hidden="false" customHeight="false" outlineLevel="0" collapsed="false">
      <c r="A1543" s="1" t="s">
        <v>5280</v>
      </c>
      <c r="B1543" s="1" t="s">
        <v>5281</v>
      </c>
      <c r="C1543" s="1" t="s">
        <v>5274</v>
      </c>
      <c r="D1543" s="1" t="s">
        <v>5275</v>
      </c>
      <c r="E1543" s="1" t="s">
        <v>61</v>
      </c>
      <c r="F1543" s="1" t="s">
        <v>101</v>
      </c>
      <c r="G1543" s="1" t="s">
        <v>275</v>
      </c>
      <c r="H1543" s="1" t="s">
        <v>276</v>
      </c>
      <c r="K1543" s="1" t="s">
        <v>1118</v>
      </c>
      <c r="L1543" s="1" t="s">
        <v>3151</v>
      </c>
      <c r="M1543" s="1" t="s">
        <v>1364</v>
      </c>
      <c r="N1543" s="1" t="s">
        <v>5189</v>
      </c>
      <c r="O1543" s="1" t="s">
        <v>5190</v>
      </c>
      <c r="P1543" s="1" t="s">
        <v>5191</v>
      </c>
      <c r="U1543" s="1" t="s">
        <v>5280</v>
      </c>
      <c r="Z1543" s="1" t="s">
        <v>71</v>
      </c>
      <c r="AE1543" s="1" t="s">
        <v>5276</v>
      </c>
      <c r="AH1543" s="1" t="s">
        <v>73</v>
      </c>
      <c r="AK1543" s="1" t="s">
        <v>71</v>
      </c>
      <c r="AM1543" s="1" t="s">
        <v>71</v>
      </c>
      <c r="AN1543" s="1" t="s">
        <v>71</v>
      </c>
      <c r="AS1543" s="1" t="s">
        <v>71</v>
      </c>
      <c r="AX1543" s="1" t="s">
        <v>71</v>
      </c>
      <c r="AY1543" s="1" t="s">
        <v>59</v>
      </c>
      <c r="AZ1543" s="1" t="s">
        <v>74</v>
      </c>
      <c r="BH1543" s="1" t="s">
        <v>71</v>
      </c>
    </row>
    <row r="1544" customFormat="false" ht="15" hidden="false" customHeight="false" outlineLevel="0" collapsed="false">
      <c r="A1544" s="1" t="s">
        <v>5282</v>
      </c>
      <c r="B1544" s="1" t="s">
        <v>5283</v>
      </c>
      <c r="C1544" s="1" t="s">
        <v>1407</v>
      </c>
      <c r="D1544" s="1" t="s">
        <v>5108</v>
      </c>
      <c r="E1544" s="1" t="s">
        <v>61</v>
      </c>
      <c r="F1544" s="1" t="s">
        <v>101</v>
      </c>
      <c r="G1544" s="1" t="s">
        <v>148</v>
      </c>
      <c r="H1544" s="1" t="s">
        <v>231</v>
      </c>
      <c r="K1544" s="1" t="s">
        <v>232</v>
      </c>
      <c r="L1544" s="1" t="s">
        <v>233</v>
      </c>
      <c r="M1544" s="1" t="s">
        <v>104</v>
      </c>
      <c r="N1544" s="1" t="s">
        <v>234</v>
      </c>
      <c r="O1544" s="1" t="s">
        <v>235</v>
      </c>
      <c r="P1544" s="1" t="s">
        <v>5284</v>
      </c>
      <c r="U1544" s="1" t="s">
        <v>5282</v>
      </c>
      <c r="Z1544" s="1" t="s">
        <v>71</v>
      </c>
      <c r="AE1544" s="1" t="s">
        <v>5276</v>
      </c>
      <c r="AH1544" s="1" t="s">
        <v>73</v>
      </c>
      <c r="AK1544" s="1" t="s">
        <v>71</v>
      </c>
      <c r="AM1544" s="1" t="s">
        <v>71</v>
      </c>
      <c r="AN1544" s="1" t="s">
        <v>71</v>
      </c>
      <c r="AS1544" s="1" t="s">
        <v>71</v>
      </c>
      <c r="AX1544" s="1" t="s">
        <v>71</v>
      </c>
      <c r="AY1544" s="1" t="s">
        <v>59</v>
      </c>
      <c r="AZ1544" s="1" t="s">
        <v>74</v>
      </c>
      <c r="BH1544" s="1" t="s">
        <v>71</v>
      </c>
    </row>
    <row r="1545" customFormat="false" ht="15" hidden="false" customHeight="false" outlineLevel="0" collapsed="false">
      <c r="A1545" s="1" t="s">
        <v>5285</v>
      </c>
      <c r="B1545" s="1" t="s">
        <v>5286</v>
      </c>
      <c r="C1545" s="1" t="s">
        <v>188</v>
      </c>
      <c r="D1545" s="1" t="s">
        <v>189</v>
      </c>
      <c r="E1545" s="1" t="s">
        <v>65</v>
      </c>
      <c r="F1545" s="1" t="s">
        <v>119</v>
      </c>
      <c r="G1545" s="1" t="s">
        <v>65</v>
      </c>
      <c r="H1545" s="1" t="s">
        <v>64</v>
      </c>
      <c r="K1545" s="1" t="s">
        <v>573</v>
      </c>
      <c r="L1545" s="1" t="s">
        <v>1202</v>
      </c>
      <c r="M1545" s="1" t="s">
        <v>104</v>
      </c>
      <c r="N1545" s="1" t="s">
        <v>123</v>
      </c>
      <c r="O1545" s="1" t="s">
        <v>124</v>
      </c>
      <c r="P1545" s="1" t="s">
        <v>4161</v>
      </c>
      <c r="U1545" s="1" t="s">
        <v>5285</v>
      </c>
      <c r="Z1545" s="1" t="s">
        <v>71</v>
      </c>
      <c r="AE1545" s="1" t="s">
        <v>5287</v>
      </c>
      <c r="AH1545" s="1" t="s">
        <v>73</v>
      </c>
      <c r="AK1545" s="1" t="s">
        <v>71</v>
      </c>
      <c r="AM1545" s="1" t="s">
        <v>71</v>
      </c>
      <c r="AN1545" s="1" t="s">
        <v>71</v>
      </c>
      <c r="AS1545" s="1" t="s">
        <v>71</v>
      </c>
      <c r="AX1545" s="1" t="s">
        <v>71</v>
      </c>
      <c r="AY1545" s="1" t="s">
        <v>59</v>
      </c>
      <c r="AZ1545" s="1" t="s">
        <v>74</v>
      </c>
      <c r="BH1545" s="1" t="s">
        <v>71</v>
      </c>
    </row>
    <row r="1546" customFormat="false" ht="15" hidden="false" customHeight="false" outlineLevel="0" collapsed="false">
      <c r="A1546" s="1" t="s">
        <v>5288</v>
      </c>
      <c r="B1546" s="1" t="s">
        <v>5289</v>
      </c>
      <c r="C1546" s="1" t="s">
        <v>188</v>
      </c>
      <c r="D1546" s="1" t="s">
        <v>189</v>
      </c>
      <c r="E1546" s="1" t="s">
        <v>65</v>
      </c>
      <c r="F1546" s="1" t="s">
        <v>119</v>
      </c>
      <c r="G1546" s="1" t="s">
        <v>65</v>
      </c>
      <c r="H1546" s="1" t="s">
        <v>64</v>
      </c>
      <c r="K1546" s="1" t="s">
        <v>5290</v>
      </c>
      <c r="L1546" s="1" t="s">
        <v>335</v>
      </c>
      <c r="M1546" s="1" t="s">
        <v>104</v>
      </c>
      <c r="N1546" s="1" t="s">
        <v>123</v>
      </c>
      <c r="O1546" s="1" t="s">
        <v>124</v>
      </c>
      <c r="P1546" s="1" t="s">
        <v>4161</v>
      </c>
      <c r="U1546" s="1" t="s">
        <v>5288</v>
      </c>
      <c r="Z1546" s="1" t="s">
        <v>71</v>
      </c>
      <c r="AE1546" s="1" t="s">
        <v>5287</v>
      </c>
      <c r="AH1546" s="1" t="s">
        <v>73</v>
      </c>
      <c r="AK1546" s="1" t="s">
        <v>71</v>
      </c>
      <c r="AM1546" s="1" t="s">
        <v>71</v>
      </c>
      <c r="AN1546" s="1" t="s">
        <v>71</v>
      </c>
      <c r="AS1546" s="1" t="s">
        <v>71</v>
      </c>
      <c r="AX1546" s="1" t="s">
        <v>71</v>
      </c>
      <c r="AY1546" s="1" t="s">
        <v>59</v>
      </c>
      <c r="AZ1546" s="1" t="s">
        <v>74</v>
      </c>
      <c r="BH1546" s="1" t="s">
        <v>71</v>
      </c>
    </row>
    <row r="1547" customFormat="false" ht="15" hidden="false" customHeight="false" outlineLevel="0" collapsed="false">
      <c r="A1547" s="1" t="s">
        <v>5291</v>
      </c>
      <c r="B1547" s="1" t="s">
        <v>5292</v>
      </c>
      <c r="C1547" s="1" t="s">
        <v>752</v>
      </c>
      <c r="D1547" s="1" t="s">
        <v>2143</v>
      </c>
      <c r="E1547" s="1" t="s">
        <v>82</v>
      </c>
      <c r="F1547" s="1" t="s">
        <v>391</v>
      </c>
      <c r="G1547" s="1" t="s">
        <v>213</v>
      </c>
      <c r="H1547" s="1" t="s">
        <v>477</v>
      </c>
      <c r="K1547" s="1" t="s">
        <v>478</v>
      </c>
      <c r="L1547" s="1" t="s">
        <v>479</v>
      </c>
      <c r="M1547" s="1" t="s">
        <v>496</v>
      </c>
      <c r="N1547" s="1" t="s">
        <v>4359</v>
      </c>
      <c r="O1547" s="1" t="s">
        <v>447</v>
      </c>
      <c r="P1547" s="1" t="s">
        <v>4360</v>
      </c>
      <c r="Z1547" s="1" t="s">
        <v>71</v>
      </c>
      <c r="AE1547" s="1" t="s">
        <v>5293</v>
      </c>
      <c r="AH1547" s="1" t="s">
        <v>73</v>
      </c>
      <c r="AK1547" s="1" t="s">
        <v>71</v>
      </c>
      <c r="AM1547" s="1" t="s">
        <v>71</v>
      </c>
      <c r="AN1547" s="1" t="s">
        <v>71</v>
      </c>
      <c r="AS1547" s="1" t="s">
        <v>71</v>
      </c>
      <c r="AX1547" s="1" t="s">
        <v>71</v>
      </c>
      <c r="BH1547" s="1" t="s">
        <v>71</v>
      </c>
    </row>
    <row r="1548" customFormat="false" ht="15" hidden="false" customHeight="false" outlineLevel="0" collapsed="false">
      <c r="A1548" s="1" t="s">
        <v>5294</v>
      </c>
      <c r="B1548" s="1" t="s">
        <v>5295</v>
      </c>
      <c r="C1548" s="1" t="s">
        <v>1378</v>
      </c>
      <c r="D1548" s="1" t="s">
        <v>4906</v>
      </c>
      <c r="E1548" s="1" t="s">
        <v>82</v>
      </c>
      <c r="F1548" s="1" t="s">
        <v>391</v>
      </c>
      <c r="G1548" s="1" t="s">
        <v>443</v>
      </c>
      <c r="H1548" s="1" t="s">
        <v>444</v>
      </c>
      <c r="K1548" s="1" t="s">
        <v>61</v>
      </c>
      <c r="L1548" s="1" t="s">
        <v>445</v>
      </c>
      <c r="M1548" s="1" t="s">
        <v>496</v>
      </c>
      <c r="N1548" s="1" t="s">
        <v>394</v>
      </c>
      <c r="O1548" s="1" t="s">
        <v>395</v>
      </c>
      <c r="P1548" s="1" t="s">
        <v>3674</v>
      </c>
      <c r="Z1548" s="1" t="s">
        <v>71</v>
      </c>
      <c r="AE1548" s="1" t="s">
        <v>5296</v>
      </c>
      <c r="AH1548" s="1" t="s">
        <v>73</v>
      </c>
      <c r="AK1548" s="1" t="s">
        <v>71</v>
      </c>
      <c r="AM1548" s="1" t="s">
        <v>71</v>
      </c>
      <c r="AN1548" s="1" t="s">
        <v>71</v>
      </c>
      <c r="AS1548" s="1" t="s">
        <v>71</v>
      </c>
      <c r="AX1548" s="1" t="s">
        <v>71</v>
      </c>
      <c r="BH1548" s="1" t="s">
        <v>71</v>
      </c>
    </row>
    <row r="1549" customFormat="false" ht="15" hidden="false" customHeight="false" outlineLevel="0" collapsed="false">
      <c r="A1549" s="1" t="s">
        <v>5297</v>
      </c>
      <c r="B1549" s="1" t="s">
        <v>5298</v>
      </c>
      <c r="C1549" s="1" t="s">
        <v>706</v>
      </c>
      <c r="D1549" s="1" t="s">
        <v>707</v>
      </c>
      <c r="E1549" s="1" t="s">
        <v>82</v>
      </c>
      <c r="F1549" s="1" t="s">
        <v>391</v>
      </c>
      <c r="G1549" s="1" t="s">
        <v>213</v>
      </c>
      <c r="H1549" s="1" t="s">
        <v>477</v>
      </c>
      <c r="K1549" s="1" t="s">
        <v>478</v>
      </c>
      <c r="L1549" s="1" t="s">
        <v>479</v>
      </c>
      <c r="M1549" s="1" t="s">
        <v>496</v>
      </c>
      <c r="N1549" s="1" t="s">
        <v>5299</v>
      </c>
      <c r="O1549" s="1" t="s">
        <v>5300</v>
      </c>
      <c r="P1549" s="1" t="s">
        <v>5301</v>
      </c>
      <c r="Z1549" s="1" t="s">
        <v>71</v>
      </c>
      <c r="AE1549" s="1" t="s">
        <v>5296</v>
      </c>
      <c r="AH1549" s="1" t="s">
        <v>73</v>
      </c>
      <c r="AK1549" s="1" t="s">
        <v>71</v>
      </c>
      <c r="AM1549" s="1" t="s">
        <v>71</v>
      </c>
      <c r="AN1549" s="1" t="s">
        <v>71</v>
      </c>
      <c r="AS1549" s="1" t="s">
        <v>71</v>
      </c>
      <c r="AX1549" s="1" t="s">
        <v>71</v>
      </c>
      <c r="BH1549" s="1" t="s">
        <v>71</v>
      </c>
    </row>
    <row r="1550" customFormat="false" ht="15" hidden="false" customHeight="false" outlineLevel="0" collapsed="false">
      <c r="A1550" s="1" t="s">
        <v>5302</v>
      </c>
      <c r="B1550" s="1" t="s">
        <v>5303</v>
      </c>
      <c r="C1550" s="1" t="s">
        <v>706</v>
      </c>
      <c r="D1550" s="1" t="s">
        <v>707</v>
      </c>
      <c r="E1550" s="1" t="s">
        <v>82</v>
      </c>
      <c r="F1550" s="1" t="s">
        <v>391</v>
      </c>
      <c r="G1550" s="1" t="s">
        <v>213</v>
      </c>
      <c r="H1550" s="1" t="s">
        <v>477</v>
      </c>
      <c r="K1550" s="1" t="s">
        <v>478</v>
      </c>
      <c r="L1550" s="1" t="s">
        <v>479</v>
      </c>
      <c r="M1550" s="1" t="s">
        <v>496</v>
      </c>
      <c r="N1550" s="1" t="s">
        <v>551</v>
      </c>
      <c r="O1550" s="1" t="s">
        <v>447</v>
      </c>
      <c r="P1550" s="1" t="s">
        <v>3598</v>
      </c>
      <c r="Z1550" s="1" t="s">
        <v>71</v>
      </c>
      <c r="AE1550" s="1" t="s">
        <v>5296</v>
      </c>
      <c r="AH1550" s="1" t="s">
        <v>73</v>
      </c>
      <c r="AK1550" s="1" t="s">
        <v>71</v>
      </c>
      <c r="AM1550" s="1" t="s">
        <v>71</v>
      </c>
      <c r="AN1550" s="1" t="s">
        <v>71</v>
      </c>
      <c r="AS1550" s="1" t="s">
        <v>71</v>
      </c>
      <c r="AX1550" s="1" t="s">
        <v>71</v>
      </c>
      <c r="BH1550" s="1" t="s">
        <v>71</v>
      </c>
    </row>
    <row r="1551" customFormat="false" ht="15" hidden="false" customHeight="false" outlineLevel="0" collapsed="false">
      <c r="A1551" s="1" t="s">
        <v>5304</v>
      </c>
      <c r="B1551" s="1" t="s">
        <v>5305</v>
      </c>
      <c r="C1551" s="1" t="s">
        <v>150</v>
      </c>
      <c r="D1551" s="1" t="s">
        <v>405</v>
      </c>
      <c r="E1551" s="1" t="s">
        <v>82</v>
      </c>
      <c r="F1551" s="1" t="s">
        <v>391</v>
      </c>
      <c r="G1551" s="1" t="s">
        <v>97</v>
      </c>
      <c r="H1551" s="1" t="s">
        <v>406</v>
      </c>
      <c r="K1551" s="1" t="s">
        <v>407</v>
      </c>
      <c r="L1551" s="1" t="s">
        <v>408</v>
      </c>
      <c r="M1551" s="1" t="s">
        <v>496</v>
      </c>
      <c r="N1551" s="1" t="s">
        <v>5306</v>
      </c>
      <c r="O1551" s="1" t="s">
        <v>400</v>
      </c>
      <c r="P1551" s="1" t="s">
        <v>5307</v>
      </c>
      <c r="Z1551" s="1" t="s">
        <v>71</v>
      </c>
      <c r="AE1551" s="1" t="s">
        <v>5308</v>
      </c>
      <c r="AH1551" s="1" t="s">
        <v>73</v>
      </c>
      <c r="AK1551" s="1" t="s">
        <v>71</v>
      </c>
      <c r="AM1551" s="1" t="s">
        <v>71</v>
      </c>
      <c r="AN1551" s="1" t="s">
        <v>71</v>
      </c>
      <c r="AS1551" s="1" t="s">
        <v>71</v>
      </c>
      <c r="AX1551" s="1" t="s">
        <v>71</v>
      </c>
      <c r="BH1551" s="1" t="s">
        <v>71</v>
      </c>
    </row>
    <row r="1552" customFormat="false" ht="15" hidden="false" customHeight="false" outlineLevel="0" collapsed="false">
      <c r="A1552" s="1" t="s">
        <v>5309</v>
      </c>
      <c r="B1552" s="1" t="s">
        <v>5310</v>
      </c>
      <c r="C1552" s="1" t="s">
        <v>1426</v>
      </c>
      <c r="D1552" s="1" t="s">
        <v>5143</v>
      </c>
      <c r="E1552" s="1" t="s">
        <v>82</v>
      </c>
      <c r="F1552" s="1" t="s">
        <v>391</v>
      </c>
      <c r="G1552" s="1" t="s">
        <v>97</v>
      </c>
      <c r="H1552" s="1" t="s">
        <v>406</v>
      </c>
      <c r="K1552" s="1" t="s">
        <v>65</v>
      </c>
      <c r="L1552" s="1" t="s">
        <v>860</v>
      </c>
      <c r="M1552" s="1" t="s">
        <v>496</v>
      </c>
      <c r="N1552" s="1" t="s">
        <v>3166</v>
      </c>
      <c r="O1552" s="1" t="s">
        <v>3167</v>
      </c>
      <c r="P1552" s="1" t="s">
        <v>5311</v>
      </c>
      <c r="Z1552" s="1" t="s">
        <v>71</v>
      </c>
      <c r="AE1552" s="1" t="s">
        <v>5308</v>
      </c>
      <c r="AH1552" s="1" t="s">
        <v>73</v>
      </c>
      <c r="AK1552" s="1" t="s">
        <v>71</v>
      </c>
      <c r="AM1552" s="1" t="s">
        <v>71</v>
      </c>
      <c r="AN1552" s="1" t="s">
        <v>71</v>
      </c>
      <c r="AS1552" s="1" t="s">
        <v>71</v>
      </c>
      <c r="AX1552" s="1" t="s">
        <v>71</v>
      </c>
      <c r="BH1552" s="1" t="s">
        <v>71</v>
      </c>
    </row>
    <row r="1553" customFormat="false" ht="15" hidden="false" customHeight="false" outlineLevel="0" collapsed="false">
      <c r="A1553" s="1" t="s">
        <v>5312</v>
      </c>
      <c r="B1553" s="1" t="s">
        <v>5313</v>
      </c>
      <c r="C1553" s="1" t="s">
        <v>1426</v>
      </c>
      <c r="D1553" s="1" t="s">
        <v>5143</v>
      </c>
      <c r="E1553" s="1" t="s">
        <v>82</v>
      </c>
      <c r="F1553" s="1" t="s">
        <v>391</v>
      </c>
      <c r="G1553" s="1" t="s">
        <v>97</v>
      </c>
      <c r="H1553" s="1" t="s">
        <v>406</v>
      </c>
      <c r="K1553" s="1" t="s">
        <v>836</v>
      </c>
      <c r="L1553" s="1" t="s">
        <v>837</v>
      </c>
      <c r="M1553" s="1" t="s">
        <v>496</v>
      </c>
      <c r="N1553" s="1" t="s">
        <v>1881</v>
      </c>
      <c r="O1553" s="1" t="s">
        <v>1882</v>
      </c>
      <c r="P1553" s="1" t="s">
        <v>5314</v>
      </c>
      <c r="Z1553" s="1" t="s">
        <v>71</v>
      </c>
      <c r="AE1553" s="1" t="s">
        <v>5308</v>
      </c>
      <c r="AH1553" s="1" t="s">
        <v>73</v>
      </c>
      <c r="AK1553" s="1" t="s">
        <v>71</v>
      </c>
      <c r="AM1553" s="1" t="s">
        <v>71</v>
      </c>
      <c r="AN1553" s="1" t="s">
        <v>71</v>
      </c>
      <c r="AS1553" s="1" t="s">
        <v>71</v>
      </c>
      <c r="AX1553" s="1" t="s">
        <v>71</v>
      </c>
      <c r="BH1553" s="1" t="s">
        <v>71</v>
      </c>
    </row>
    <row r="1554" customFormat="false" ht="15" hidden="false" customHeight="false" outlineLevel="0" collapsed="false">
      <c r="A1554" s="1" t="s">
        <v>5315</v>
      </c>
      <c r="B1554" s="1" t="s">
        <v>5316</v>
      </c>
      <c r="C1554" s="1" t="s">
        <v>1014</v>
      </c>
      <c r="D1554" s="1" t="s">
        <v>3522</v>
      </c>
      <c r="E1554" s="1" t="s">
        <v>82</v>
      </c>
      <c r="F1554" s="1" t="s">
        <v>391</v>
      </c>
      <c r="G1554" s="1" t="s">
        <v>443</v>
      </c>
      <c r="H1554" s="1" t="s">
        <v>444</v>
      </c>
      <c r="K1554" s="1" t="s">
        <v>61</v>
      </c>
      <c r="L1554" s="1" t="s">
        <v>445</v>
      </c>
      <c r="M1554" s="1" t="s">
        <v>3220</v>
      </c>
      <c r="N1554" s="1" t="s">
        <v>3848</v>
      </c>
      <c r="O1554" s="1" t="s">
        <v>2563</v>
      </c>
      <c r="P1554" s="1" t="s">
        <v>3849</v>
      </c>
      <c r="Z1554" s="1" t="s">
        <v>71</v>
      </c>
      <c r="AE1554" s="1" t="s">
        <v>5317</v>
      </c>
      <c r="AH1554" s="1" t="s">
        <v>73</v>
      </c>
      <c r="AK1554" s="1" t="s">
        <v>71</v>
      </c>
      <c r="AM1554" s="1" t="s">
        <v>71</v>
      </c>
      <c r="AN1554" s="1" t="s">
        <v>71</v>
      </c>
      <c r="AS1554" s="1" t="s">
        <v>71</v>
      </c>
      <c r="AX1554" s="1" t="s">
        <v>71</v>
      </c>
      <c r="BH1554" s="1" t="s">
        <v>71</v>
      </c>
    </row>
    <row r="1555" customFormat="false" ht="15" hidden="false" customHeight="false" outlineLevel="0" collapsed="false">
      <c r="A1555" s="1" t="s">
        <v>5318</v>
      </c>
      <c r="B1555" s="1" t="s">
        <v>5319</v>
      </c>
      <c r="C1555" s="1" t="s">
        <v>1014</v>
      </c>
      <c r="D1555" s="1" t="s">
        <v>3522</v>
      </c>
      <c r="E1555" s="1" t="s">
        <v>82</v>
      </c>
      <c r="F1555" s="1" t="s">
        <v>391</v>
      </c>
      <c r="G1555" s="1" t="s">
        <v>443</v>
      </c>
      <c r="H1555" s="1" t="s">
        <v>444</v>
      </c>
      <c r="K1555" s="1" t="s">
        <v>61</v>
      </c>
      <c r="L1555" s="1" t="s">
        <v>445</v>
      </c>
      <c r="M1555" s="1" t="s">
        <v>2992</v>
      </c>
      <c r="N1555" s="1" t="s">
        <v>4937</v>
      </c>
      <c r="O1555" s="1" t="s">
        <v>4938</v>
      </c>
      <c r="P1555" s="1" t="s">
        <v>4939</v>
      </c>
      <c r="Z1555" s="1" t="s">
        <v>71</v>
      </c>
      <c r="AE1555" s="1" t="s">
        <v>5317</v>
      </c>
      <c r="AH1555" s="1" t="s">
        <v>73</v>
      </c>
      <c r="AK1555" s="1" t="s">
        <v>71</v>
      </c>
      <c r="AM1555" s="1" t="s">
        <v>71</v>
      </c>
      <c r="AN1555" s="1" t="s">
        <v>71</v>
      </c>
      <c r="AS1555" s="1" t="s">
        <v>71</v>
      </c>
      <c r="AX1555" s="1" t="s">
        <v>71</v>
      </c>
      <c r="BH1555" s="1" t="s">
        <v>71</v>
      </c>
    </row>
    <row r="1556" customFormat="false" ht="15" hidden="false" customHeight="false" outlineLevel="0" collapsed="false">
      <c r="A1556" s="1" t="s">
        <v>5320</v>
      </c>
      <c r="B1556" s="1" t="s">
        <v>5321</v>
      </c>
      <c r="C1556" s="1" t="s">
        <v>1740</v>
      </c>
      <c r="D1556" s="1" t="s">
        <v>4959</v>
      </c>
      <c r="E1556" s="1" t="s">
        <v>61</v>
      </c>
      <c r="F1556" s="1" t="s">
        <v>101</v>
      </c>
      <c r="G1556" s="1" t="s">
        <v>93</v>
      </c>
      <c r="H1556" s="1" t="s">
        <v>64</v>
      </c>
      <c r="K1556" s="1" t="s">
        <v>126</v>
      </c>
      <c r="L1556" s="1" t="s">
        <v>335</v>
      </c>
      <c r="M1556" s="1" t="s">
        <v>104</v>
      </c>
      <c r="N1556" s="1" t="s">
        <v>105</v>
      </c>
      <c r="O1556" s="1" t="s">
        <v>106</v>
      </c>
      <c r="P1556" s="1" t="s">
        <v>3539</v>
      </c>
      <c r="U1556" s="1" t="s">
        <v>5320</v>
      </c>
      <c r="Z1556" s="1" t="s">
        <v>71</v>
      </c>
      <c r="AE1556" s="1" t="s">
        <v>5322</v>
      </c>
      <c r="AH1556" s="1" t="s">
        <v>73</v>
      </c>
      <c r="AK1556" s="1" t="s">
        <v>71</v>
      </c>
      <c r="AM1556" s="1" t="s">
        <v>71</v>
      </c>
      <c r="AN1556" s="1" t="s">
        <v>71</v>
      </c>
      <c r="AS1556" s="1" t="s">
        <v>71</v>
      </c>
      <c r="AX1556" s="1" t="s">
        <v>71</v>
      </c>
      <c r="AY1556" s="1" t="s">
        <v>59</v>
      </c>
      <c r="AZ1556" s="1" t="s">
        <v>74</v>
      </c>
      <c r="BH1556" s="1" t="s">
        <v>71</v>
      </c>
    </row>
    <row r="1557" customFormat="false" ht="15" hidden="false" customHeight="false" outlineLevel="0" collapsed="false">
      <c r="A1557" s="1" t="s">
        <v>5323</v>
      </c>
      <c r="B1557" s="1" t="s">
        <v>5324</v>
      </c>
      <c r="C1557" s="1" t="s">
        <v>1823</v>
      </c>
      <c r="D1557" s="1" t="s">
        <v>1824</v>
      </c>
      <c r="E1557" s="1" t="s">
        <v>82</v>
      </c>
      <c r="F1557" s="1" t="s">
        <v>391</v>
      </c>
      <c r="G1557" s="1" t="s">
        <v>1356</v>
      </c>
      <c r="H1557" s="1" t="s">
        <v>1825</v>
      </c>
      <c r="K1557" s="1" t="s">
        <v>1826</v>
      </c>
      <c r="L1557" s="1" t="s">
        <v>1827</v>
      </c>
      <c r="M1557" s="1" t="s">
        <v>496</v>
      </c>
      <c r="N1557" s="1" t="s">
        <v>5325</v>
      </c>
      <c r="O1557" s="1" t="s">
        <v>5326</v>
      </c>
      <c r="P1557" s="1" t="s">
        <v>5327</v>
      </c>
      <c r="Z1557" s="1" t="s">
        <v>71</v>
      </c>
      <c r="AE1557" s="1" t="s">
        <v>5328</v>
      </c>
      <c r="AH1557" s="1" t="s">
        <v>73</v>
      </c>
      <c r="AK1557" s="1" t="s">
        <v>71</v>
      </c>
      <c r="AM1557" s="1" t="s">
        <v>71</v>
      </c>
      <c r="AN1557" s="1" t="s">
        <v>71</v>
      </c>
      <c r="AS1557" s="1" t="s">
        <v>71</v>
      </c>
      <c r="AX1557" s="1" t="s">
        <v>71</v>
      </c>
      <c r="BH1557" s="1" t="s">
        <v>71</v>
      </c>
    </row>
    <row r="1558" customFormat="false" ht="15" hidden="false" customHeight="false" outlineLevel="0" collapsed="false">
      <c r="A1558" s="1" t="s">
        <v>5329</v>
      </c>
      <c r="B1558" s="1" t="s">
        <v>5330</v>
      </c>
      <c r="C1558" s="1" t="s">
        <v>1407</v>
      </c>
      <c r="D1558" s="1" t="s">
        <v>5108</v>
      </c>
      <c r="E1558" s="1" t="s">
        <v>61</v>
      </c>
      <c r="F1558" s="1" t="s">
        <v>101</v>
      </c>
      <c r="G1558" s="1" t="s">
        <v>148</v>
      </c>
      <c r="H1558" s="1" t="s">
        <v>231</v>
      </c>
      <c r="K1558" s="1" t="s">
        <v>435</v>
      </c>
      <c r="L1558" s="1" t="s">
        <v>5331</v>
      </c>
      <c r="M1558" s="1" t="s">
        <v>1555</v>
      </c>
      <c r="N1558" s="1" t="s">
        <v>234</v>
      </c>
      <c r="O1558" s="1" t="s">
        <v>235</v>
      </c>
      <c r="P1558" s="1" t="s">
        <v>5284</v>
      </c>
      <c r="U1558" s="1" t="s">
        <v>5329</v>
      </c>
      <c r="Z1558" s="1" t="s">
        <v>71</v>
      </c>
      <c r="AE1558" s="1" t="s">
        <v>5332</v>
      </c>
      <c r="AH1558" s="1" t="s">
        <v>73</v>
      </c>
      <c r="AK1558" s="1" t="s">
        <v>71</v>
      </c>
      <c r="AM1558" s="1" t="s">
        <v>71</v>
      </c>
      <c r="AN1558" s="1" t="s">
        <v>71</v>
      </c>
      <c r="AS1558" s="1" t="s">
        <v>71</v>
      </c>
      <c r="AX1558" s="1" t="s">
        <v>71</v>
      </c>
      <c r="AY1558" s="1" t="s">
        <v>59</v>
      </c>
      <c r="AZ1558" s="1" t="s">
        <v>74</v>
      </c>
      <c r="BH1558" s="1" t="s">
        <v>71</v>
      </c>
    </row>
    <row r="1559" customFormat="false" ht="15" hidden="false" customHeight="false" outlineLevel="0" collapsed="false">
      <c r="A1559" s="1" t="s">
        <v>5333</v>
      </c>
      <c r="B1559" s="1" t="s">
        <v>5334</v>
      </c>
      <c r="C1559" s="1" t="s">
        <v>288</v>
      </c>
      <c r="D1559" s="1" t="s">
        <v>289</v>
      </c>
      <c r="E1559" s="1" t="s">
        <v>61</v>
      </c>
      <c r="F1559" s="1" t="s">
        <v>101</v>
      </c>
      <c r="G1559" s="1" t="s">
        <v>134</v>
      </c>
      <c r="H1559" s="1" t="s">
        <v>4875</v>
      </c>
      <c r="K1559" s="1" t="s">
        <v>293</v>
      </c>
      <c r="L1559" s="1" t="s">
        <v>4876</v>
      </c>
      <c r="M1559" s="1" t="s">
        <v>828</v>
      </c>
      <c r="N1559" s="1" t="s">
        <v>105</v>
      </c>
      <c r="O1559" s="1" t="s">
        <v>106</v>
      </c>
      <c r="P1559" s="1" t="s">
        <v>3539</v>
      </c>
      <c r="U1559" s="1" t="s">
        <v>5333</v>
      </c>
      <c r="Z1559" s="1" t="s">
        <v>71</v>
      </c>
      <c r="AE1559" s="1" t="s">
        <v>5335</v>
      </c>
      <c r="AH1559" s="1" t="s">
        <v>73</v>
      </c>
      <c r="AK1559" s="1" t="s">
        <v>71</v>
      </c>
      <c r="AM1559" s="1" t="s">
        <v>71</v>
      </c>
      <c r="AN1559" s="1" t="s">
        <v>71</v>
      </c>
      <c r="AS1559" s="1" t="s">
        <v>71</v>
      </c>
      <c r="AX1559" s="1" t="s">
        <v>71</v>
      </c>
      <c r="AY1559" s="1" t="s">
        <v>59</v>
      </c>
      <c r="AZ1559" s="1" t="s">
        <v>74</v>
      </c>
      <c r="BH1559" s="1" t="s">
        <v>71</v>
      </c>
    </row>
    <row r="1560" customFormat="false" ht="15" hidden="false" customHeight="false" outlineLevel="0" collapsed="false">
      <c r="A1560" s="1" t="s">
        <v>5336</v>
      </c>
      <c r="B1560" s="1" t="s">
        <v>5337</v>
      </c>
      <c r="C1560" s="1" t="s">
        <v>288</v>
      </c>
      <c r="D1560" s="1" t="s">
        <v>289</v>
      </c>
      <c r="E1560" s="1" t="s">
        <v>61</v>
      </c>
      <c r="F1560" s="1" t="s">
        <v>101</v>
      </c>
      <c r="G1560" s="1" t="s">
        <v>134</v>
      </c>
      <c r="H1560" s="1" t="s">
        <v>4875</v>
      </c>
      <c r="K1560" s="1" t="s">
        <v>293</v>
      </c>
      <c r="L1560" s="1" t="s">
        <v>4876</v>
      </c>
      <c r="M1560" s="1" t="s">
        <v>1555</v>
      </c>
      <c r="N1560" s="1" t="s">
        <v>105</v>
      </c>
      <c r="O1560" s="1" t="s">
        <v>106</v>
      </c>
      <c r="P1560" s="1" t="s">
        <v>3539</v>
      </c>
      <c r="U1560" s="1" t="s">
        <v>5336</v>
      </c>
      <c r="Z1560" s="1" t="s">
        <v>71</v>
      </c>
      <c r="AE1560" s="1" t="s">
        <v>5335</v>
      </c>
      <c r="AH1560" s="1" t="s">
        <v>73</v>
      </c>
      <c r="AK1560" s="1" t="s">
        <v>71</v>
      </c>
      <c r="AM1560" s="1" t="s">
        <v>71</v>
      </c>
      <c r="AN1560" s="1" t="s">
        <v>71</v>
      </c>
      <c r="AS1560" s="1" t="s">
        <v>71</v>
      </c>
      <c r="AX1560" s="1" t="s">
        <v>71</v>
      </c>
      <c r="AY1560" s="1" t="s">
        <v>59</v>
      </c>
      <c r="AZ1560" s="1" t="s">
        <v>74</v>
      </c>
      <c r="BH1560" s="1" t="s">
        <v>71</v>
      </c>
    </row>
    <row r="1561" customFormat="false" ht="15" hidden="false" customHeight="false" outlineLevel="0" collapsed="false">
      <c r="A1561" s="1" t="s">
        <v>5338</v>
      </c>
      <c r="B1561" s="1" t="s">
        <v>5339</v>
      </c>
      <c r="C1561" s="1" t="s">
        <v>288</v>
      </c>
      <c r="D1561" s="1" t="s">
        <v>289</v>
      </c>
      <c r="E1561" s="1" t="s">
        <v>61</v>
      </c>
      <c r="F1561" s="1" t="s">
        <v>101</v>
      </c>
      <c r="G1561" s="1" t="s">
        <v>134</v>
      </c>
      <c r="H1561" s="1" t="s">
        <v>4875</v>
      </c>
      <c r="K1561" s="1" t="s">
        <v>293</v>
      </c>
      <c r="L1561" s="1" t="s">
        <v>4876</v>
      </c>
      <c r="M1561" s="1" t="s">
        <v>828</v>
      </c>
      <c r="N1561" s="1" t="s">
        <v>105</v>
      </c>
      <c r="O1561" s="1" t="s">
        <v>106</v>
      </c>
      <c r="P1561" s="1" t="s">
        <v>3539</v>
      </c>
      <c r="U1561" s="1" t="s">
        <v>5338</v>
      </c>
      <c r="Z1561" s="1" t="s">
        <v>71</v>
      </c>
      <c r="AE1561" s="1" t="s">
        <v>5335</v>
      </c>
      <c r="AH1561" s="1" t="s">
        <v>73</v>
      </c>
      <c r="AK1561" s="1" t="s">
        <v>71</v>
      </c>
      <c r="AM1561" s="1" t="s">
        <v>71</v>
      </c>
      <c r="AN1561" s="1" t="s">
        <v>71</v>
      </c>
      <c r="AS1561" s="1" t="s">
        <v>71</v>
      </c>
      <c r="AX1561" s="1" t="s">
        <v>71</v>
      </c>
      <c r="AY1561" s="1" t="s">
        <v>59</v>
      </c>
      <c r="AZ1561" s="1" t="s">
        <v>74</v>
      </c>
      <c r="BH1561" s="1" t="s">
        <v>71</v>
      </c>
    </row>
    <row r="1562" customFormat="false" ht="15" hidden="false" customHeight="false" outlineLevel="0" collapsed="false">
      <c r="A1562" s="1" t="s">
        <v>5340</v>
      </c>
      <c r="B1562" s="1" t="s">
        <v>5341</v>
      </c>
      <c r="C1562" s="1" t="s">
        <v>5274</v>
      </c>
      <c r="D1562" s="1" t="s">
        <v>5275</v>
      </c>
      <c r="E1562" s="1" t="s">
        <v>61</v>
      </c>
      <c r="F1562" s="1" t="s">
        <v>101</v>
      </c>
      <c r="G1562" s="1" t="s">
        <v>275</v>
      </c>
      <c r="H1562" s="1" t="s">
        <v>276</v>
      </c>
      <c r="K1562" s="1" t="s">
        <v>5187</v>
      </c>
      <c r="L1562" s="1" t="s">
        <v>5188</v>
      </c>
      <c r="M1562" s="1" t="s">
        <v>1364</v>
      </c>
      <c r="N1562" s="1" t="s">
        <v>5189</v>
      </c>
      <c r="O1562" s="1" t="s">
        <v>5190</v>
      </c>
      <c r="P1562" s="1" t="s">
        <v>5191</v>
      </c>
      <c r="U1562" s="1" t="s">
        <v>5340</v>
      </c>
      <c r="Z1562" s="1" t="s">
        <v>71</v>
      </c>
      <c r="AE1562" s="1" t="s">
        <v>5342</v>
      </c>
      <c r="AH1562" s="1" t="s">
        <v>73</v>
      </c>
      <c r="AK1562" s="1" t="s">
        <v>71</v>
      </c>
      <c r="AM1562" s="1" t="s">
        <v>71</v>
      </c>
      <c r="AN1562" s="1" t="s">
        <v>71</v>
      </c>
      <c r="AS1562" s="1" t="s">
        <v>71</v>
      </c>
      <c r="AX1562" s="1" t="s">
        <v>71</v>
      </c>
      <c r="AY1562" s="1" t="s">
        <v>59</v>
      </c>
      <c r="AZ1562" s="1" t="s">
        <v>74</v>
      </c>
      <c r="BH1562" s="1" t="s">
        <v>71</v>
      </c>
    </row>
    <row r="1563" customFormat="false" ht="15" hidden="false" customHeight="false" outlineLevel="0" collapsed="false">
      <c r="A1563" s="1" t="s">
        <v>5343</v>
      </c>
      <c r="B1563" s="1" t="s">
        <v>5344</v>
      </c>
      <c r="C1563" s="1" t="s">
        <v>1014</v>
      </c>
      <c r="D1563" s="1" t="s">
        <v>3522</v>
      </c>
      <c r="E1563" s="1" t="s">
        <v>82</v>
      </c>
      <c r="F1563" s="1" t="s">
        <v>391</v>
      </c>
      <c r="G1563" s="1" t="s">
        <v>443</v>
      </c>
      <c r="H1563" s="1" t="s">
        <v>444</v>
      </c>
      <c r="K1563" s="1" t="s">
        <v>618</v>
      </c>
      <c r="L1563" s="1" t="s">
        <v>619</v>
      </c>
      <c r="M1563" s="1" t="s">
        <v>496</v>
      </c>
      <c r="N1563" s="1" t="s">
        <v>466</v>
      </c>
      <c r="O1563" s="1" t="s">
        <v>467</v>
      </c>
      <c r="P1563" s="1" t="s">
        <v>5163</v>
      </c>
      <c r="Z1563" s="1" t="s">
        <v>71</v>
      </c>
      <c r="AE1563" s="1" t="s">
        <v>5345</v>
      </c>
      <c r="AH1563" s="1" t="s">
        <v>73</v>
      </c>
      <c r="AK1563" s="1" t="s">
        <v>71</v>
      </c>
      <c r="AM1563" s="1" t="s">
        <v>71</v>
      </c>
      <c r="AN1563" s="1" t="s">
        <v>71</v>
      </c>
      <c r="AS1563" s="1" t="s">
        <v>71</v>
      </c>
      <c r="AX1563" s="1" t="s">
        <v>71</v>
      </c>
      <c r="BH1563" s="1" t="s">
        <v>71</v>
      </c>
    </row>
    <row r="1564" customFormat="false" ht="15" hidden="false" customHeight="false" outlineLevel="0" collapsed="false">
      <c r="A1564" s="1" t="s">
        <v>5346</v>
      </c>
      <c r="B1564" s="1" t="s">
        <v>5347</v>
      </c>
      <c r="C1564" s="1" t="s">
        <v>706</v>
      </c>
      <c r="D1564" s="1" t="s">
        <v>707</v>
      </c>
      <c r="E1564" s="1" t="s">
        <v>82</v>
      </c>
      <c r="F1564" s="1" t="s">
        <v>391</v>
      </c>
      <c r="G1564" s="1" t="s">
        <v>213</v>
      </c>
      <c r="H1564" s="1" t="s">
        <v>477</v>
      </c>
      <c r="K1564" s="1" t="s">
        <v>478</v>
      </c>
      <c r="L1564" s="1" t="s">
        <v>479</v>
      </c>
      <c r="M1564" s="1" t="s">
        <v>496</v>
      </c>
      <c r="N1564" s="1" t="s">
        <v>518</v>
      </c>
      <c r="O1564" s="1" t="s">
        <v>519</v>
      </c>
      <c r="P1564" s="1" t="s">
        <v>4181</v>
      </c>
      <c r="Z1564" s="1" t="s">
        <v>71</v>
      </c>
      <c r="AE1564" s="1" t="s">
        <v>5348</v>
      </c>
      <c r="AH1564" s="1" t="s">
        <v>73</v>
      </c>
      <c r="AK1564" s="1" t="s">
        <v>71</v>
      </c>
      <c r="AM1564" s="1" t="s">
        <v>71</v>
      </c>
      <c r="AN1564" s="1" t="s">
        <v>71</v>
      </c>
      <c r="AS1564" s="1" t="s">
        <v>71</v>
      </c>
      <c r="AX1564" s="1" t="s">
        <v>71</v>
      </c>
      <c r="BH1564" s="1" t="s">
        <v>71</v>
      </c>
    </row>
    <row r="1565" customFormat="false" ht="15" hidden="false" customHeight="false" outlineLevel="0" collapsed="false">
      <c r="A1565" s="1" t="s">
        <v>5349</v>
      </c>
      <c r="B1565" s="1" t="s">
        <v>5350</v>
      </c>
      <c r="C1565" s="1" t="s">
        <v>136</v>
      </c>
      <c r="D1565" s="1" t="s">
        <v>208</v>
      </c>
      <c r="E1565" s="1" t="s">
        <v>61</v>
      </c>
      <c r="F1565" s="1" t="s">
        <v>101</v>
      </c>
      <c r="G1565" s="1" t="s">
        <v>93</v>
      </c>
      <c r="H1565" s="1" t="s">
        <v>64</v>
      </c>
      <c r="K1565" s="1" t="s">
        <v>163</v>
      </c>
      <c r="L1565" s="1" t="s">
        <v>164</v>
      </c>
      <c r="M1565" s="1" t="s">
        <v>104</v>
      </c>
      <c r="N1565" s="1" t="s">
        <v>166</v>
      </c>
      <c r="O1565" s="1" t="s">
        <v>167</v>
      </c>
      <c r="P1565" s="1" t="s">
        <v>4462</v>
      </c>
      <c r="U1565" s="1" t="s">
        <v>5349</v>
      </c>
      <c r="Z1565" s="1" t="s">
        <v>71</v>
      </c>
      <c r="AE1565" s="1" t="s">
        <v>5351</v>
      </c>
      <c r="AH1565" s="1" t="s">
        <v>73</v>
      </c>
      <c r="AK1565" s="1" t="s">
        <v>71</v>
      </c>
      <c r="AM1565" s="1" t="s">
        <v>71</v>
      </c>
      <c r="AN1565" s="1" t="s">
        <v>71</v>
      </c>
      <c r="AS1565" s="1" t="s">
        <v>71</v>
      </c>
      <c r="AX1565" s="1" t="s">
        <v>71</v>
      </c>
      <c r="AY1565" s="1" t="s">
        <v>59</v>
      </c>
      <c r="AZ1565" s="1" t="s">
        <v>74</v>
      </c>
      <c r="BH1565" s="1" t="s">
        <v>71</v>
      </c>
    </row>
    <row r="1566" customFormat="false" ht="15" hidden="false" customHeight="false" outlineLevel="0" collapsed="false">
      <c r="A1566" s="1" t="s">
        <v>5352</v>
      </c>
      <c r="B1566" s="1" t="s">
        <v>5353</v>
      </c>
      <c r="C1566" s="1" t="s">
        <v>136</v>
      </c>
      <c r="D1566" s="1" t="s">
        <v>208</v>
      </c>
      <c r="E1566" s="1" t="s">
        <v>61</v>
      </c>
      <c r="F1566" s="1" t="s">
        <v>101</v>
      </c>
      <c r="G1566" s="1" t="s">
        <v>93</v>
      </c>
      <c r="H1566" s="1" t="s">
        <v>64</v>
      </c>
      <c r="K1566" s="1" t="s">
        <v>217</v>
      </c>
      <c r="L1566" s="1" t="s">
        <v>218</v>
      </c>
      <c r="M1566" s="1" t="s">
        <v>5354</v>
      </c>
      <c r="N1566" s="1" t="s">
        <v>105</v>
      </c>
      <c r="O1566" s="1" t="s">
        <v>106</v>
      </c>
      <c r="P1566" s="1" t="s">
        <v>3539</v>
      </c>
      <c r="U1566" s="1" t="s">
        <v>5352</v>
      </c>
      <c r="Z1566" s="1" t="s">
        <v>71</v>
      </c>
      <c r="AE1566" s="1" t="s">
        <v>5351</v>
      </c>
      <c r="AH1566" s="1" t="s">
        <v>73</v>
      </c>
      <c r="AK1566" s="1" t="s">
        <v>71</v>
      </c>
      <c r="AM1566" s="1" t="s">
        <v>71</v>
      </c>
      <c r="AN1566" s="1" t="s">
        <v>71</v>
      </c>
      <c r="AS1566" s="1" t="s">
        <v>71</v>
      </c>
      <c r="AX1566" s="1" t="s">
        <v>71</v>
      </c>
      <c r="AY1566" s="1" t="s">
        <v>59</v>
      </c>
      <c r="AZ1566" s="1" t="s">
        <v>74</v>
      </c>
      <c r="BH1566" s="1" t="s">
        <v>71</v>
      </c>
    </row>
    <row r="1567" customFormat="false" ht="15" hidden="false" customHeight="false" outlineLevel="0" collapsed="false">
      <c r="A1567" s="1" t="s">
        <v>5355</v>
      </c>
      <c r="B1567" s="1" t="s">
        <v>5356</v>
      </c>
      <c r="C1567" s="1" t="s">
        <v>182</v>
      </c>
      <c r="D1567" s="1" t="s">
        <v>239</v>
      </c>
      <c r="E1567" s="1" t="s">
        <v>61</v>
      </c>
      <c r="F1567" s="1" t="s">
        <v>101</v>
      </c>
      <c r="G1567" s="1" t="s">
        <v>275</v>
      </c>
      <c r="H1567" s="1" t="s">
        <v>276</v>
      </c>
      <c r="K1567" s="1" t="s">
        <v>5357</v>
      </c>
      <c r="L1567" s="1" t="s">
        <v>5358</v>
      </c>
      <c r="M1567" s="1" t="s">
        <v>278</v>
      </c>
      <c r="N1567" s="1" t="s">
        <v>279</v>
      </c>
      <c r="O1567" s="1" t="s">
        <v>280</v>
      </c>
      <c r="P1567" s="1" t="s">
        <v>4895</v>
      </c>
      <c r="U1567" s="1" t="s">
        <v>263</v>
      </c>
      <c r="Z1567" s="1" t="s">
        <v>71</v>
      </c>
      <c r="AE1567" s="1" t="s">
        <v>5359</v>
      </c>
      <c r="AH1567" s="1" t="s">
        <v>73</v>
      </c>
      <c r="AK1567" s="1" t="s">
        <v>71</v>
      </c>
      <c r="AM1567" s="1" t="s">
        <v>71</v>
      </c>
      <c r="AN1567" s="1" t="s">
        <v>71</v>
      </c>
      <c r="AS1567" s="1" t="s">
        <v>71</v>
      </c>
      <c r="AX1567" s="1" t="s">
        <v>71</v>
      </c>
      <c r="AY1567" s="1" t="s">
        <v>59</v>
      </c>
      <c r="AZ1567" s="1" t="s">
        <v>74</v>
      </c>
      <c r="BH1567" s="1" t="s">
        <v>71</v>
      </c>
    </row>
    <row r="1568" customFormat="false" ht="15" hidden="false" customHeight="false" outlineLevel="0" collapsed="false">
      <c r="A1568" s="1" t="s">
        <v>5360</v>
      </c>
      <c r="B1568" s="1" t="s">
        <v>5361</v>
      </c>
      <c r="C1568" s="1" t="s">
        <v>273</v>
      </c>
      <c r="D1568" s="1" t="s">
        <v>274</v>
      </c>
      <c r="E1568" s="1" t="s">
        <v>61</v>
      </c>
      <c r="F1568" s="1" t="s">
        <v>101</v>
      </c>
      <c r="G1568" s="1" t="s">
        <v>275</v>
      </c>
      <c r="H1568" s="1" t="s">
        <v>276</v>
      </c>
      <c r="K1568" s="1" t="s">
        <v>526</v>
      </c>
      <c r="L1568" s="1" t="s">
        <v>5362</v>
      </c>
      <c r="M1568" s="1" t="s">
        <v>296</v>
      </c>
      <c r="N1568" s="1" t="s">
        <v>1498</v>
      </c>
      <c r="O1568" s="1" t="s">
        <v>1499</v>
      </c>
      <c r="P1568" s="1" t="s">
        <v>3712</v>
      </c>
      <c r="U1568" s="1" t="s">
        <v>5360</v>
      </c>
      <c r="Z1568" s="1" t="s">
        <v>71</v>
      </c>
      <c r="AE1568" s="1" t="s">
        <v>5363</v>
      </c>
      <c r="AH1568" s="1" t="s">
        <v>73</v>
      </c>
      <c r="AK1568" s="1" t="s">
        <v>71</v>
      </c>
      <c r="AM1568" s="1" t="s">
        <v>71</v>
      </c>
      <c r="AN1568" s="1" t="s">
        <v>71</v>
      </c>
      <c r="AS1568" s="1" t="s">
        <v>71</v>
      </c>
      <c r="AX1568" s="1" t="s">
        <v>71</v>
      </c>
      <c r="AY1568" s="1" t="s">
        <v>59</v>
      </c>
      <c r="AZ1568" s="1" t="s">
        <v>74</v>
      </c>
      <c r="BH1568" s="1" t="s">
        <v>71</v>
      </c>
    </row>
    <row r="1569" customFormat="false" ht="15" hidden="false" customHeight="false" outlineLevel="0" collapsed="false">
      <c r="A1569" s="1" t="s">
        <v>5364</v>
      </c>
      <c r="B1569" s="1" t="s">
        <v>5365</v>
      </c>
      <c r="C1569" s="1" t="s">
        <v>1493</v>
      </c>
      <c r="D1569" s="1" t="s">
        <v>5366</v>
      </c>
      <c r="E1569" s="1" t="s">
        <v>82</v>
      </c>
      <c r="F1569" s="1" t="s">
        <v>391</v>
      </c>
      <c r="G1569" s="1" t="s">
        <v>213</v>
      </c>
      <c r="H1569" s="1" t="s">
        <v>477</v>
      </c>
      <c r="K1569" s="1" t="s">
        <v>478</v>
      </c>
      <c r="L1569" s="1" t="s">
        <v>479</v>
      </c>
      <c r="M1569" s="1" t="s">
        <v>496</v>
      </c>
      <c r="N1569" s="1" t="s">
        <v>5367</v>
      </c>
      <c r="O1569" s="1" t="s">
        <v>5368</v>
      </c>
      <c r="P1569" s="1" t="s">
        <v>5369</v>
      </c>
      <c r="Z1569" s="1" t="s">
        <v>71</v>
      </c>
      <c r="AE1569" s="1" t="s">
        <v>5370</v>
      </c>
      <c r="AH1569" s="1" t="s">
        <v>73</v>
      </c>
      <c r="AK1569" s="1" t="s">
        <v>71</v>
      </c>
      <c r="AM1569" s="1" t="s">
        <v>71</v>
      </c>
      <c r="AN1569" s="1" t="s">
        <v>71</v>
      </c>
      <c r="AS1569" s="1" t="s">
        <v>71</v>
      </c>
      <c r="AX1569" s="1" t="s">
        <v>71</v>
      </c>
      <c r="BH1569" s="1" t="s">
        <v>71</v>
      </c>
    </row>
    <row r="1570" customFormat="false" ht="15" hidden="false" customHeight="false" outlineLevel="0" collapsed="false">
      <c r="A1570" s="1" t="s">
        <v>5371</v>
      </c>
      <c r="B1570" s="1" t="s">
        <v>5372</v>
      </c>
      <c r="C1570" s="1" t="s">
        <v>389</v>
      </c>
      <c r="D1570" s="1" t="s">
        <v>390</v>
      </c>
      <c r="E1570" s="1" t="s">
        <v>82</v>
      </c>
      <c r="F1570" s="1" t="s">
        <v>391</v>
      </c>
      <c r="G1570" s="1" t="s">
        <v>443</v>
      </c>
      <c r="H1570" s="1" t="s">
        <v>444</v>
      </c>
      <c r="K1570" s="1" t="s">
        <v>61</v>
      </c>
      <c r="L1570" s="1" t="s">
        <v>445</v>
      </c>
      <c r="M1570" s="1" t="s">
        <v>496</v>
      </c>
      <c r="N1570" s="1" t="s">
        <v>2691</v>
      </c>
      <c r="O1570" s="1" t="s">
        <v>400</v>
      </c>
      <c r="P1570" s="1" t="s">
        <v>3527</v>
      </c>
      <c r="Z1570" s="1" t="s">
        <v>71</v>
      </c>
      <c r="AE1570" s="1" t="s">
        <v>5373</v>
      </c>
      <c r="AH1570" s="1" t="s">
        <v>73</v>
      </c>
      <c r="AK1570" s="1" t="s">
        <v>71</v>
      </c>
      <c r="AM1570" s="1" t="s">
        <v>71</v>
      </c>
      <c r="AN1570" s="1" t="s">
        <v>71</v>
      </c>
      <c r="AS1570" s="1" t="s">
        <v>71</v>
      </c>
      <c r="AX1570" s="1" t="s">
        <v>71</v>
      </c>
      <c r="BH1570" s="1" t="s">
        <v>71</v>
      </c>
    </row>
    <row r="1571" customFormat="false" ht="15" hidden="false" customHeight="false" outlineLevel="0" collapsed="false">
      <c r="A1571" s="1" t="s">
        <v>5374</v>
      </c>
      <c r="B1571" s="1" t="s">
        <v>5375</v>
      </c>
      <c r="C1571" s="1" t="s">
        <v>1361</v>
      </c>
      <c r="D1571" s="1" t="s">
        <v>4847</v>
      </c>
      <c r="E1571" s="1" t="s">
        <v>82</v>
      </c>
      <c r="F1571" s="1" t="s">
        <v>391</v>
      </c>
      <c r="G1571" s="1" t="s">
        <v>97</v>
      </c>
      <c r="H1571" s="1" t="s">
        <v>406</v>
      </c>
      <c r="K1571" s="1" t="s">
        <v>65</v>
      </c>
      <c r="L1571" s="1" t="s">
        <v>860</v>
      </c>
      <c r="M1571" s="1" t="s">
        <v>496</v>
      </c>
      <c r="N1571" s="1" t="s">
        <v>861</v>
      </c>
      <c r="O1571" s="1" t="s">
        <v>862</v>
      </c>
      <c r="P1571" s="1" t="s">
        <v>4122</v>
      </c>
      <c r="Z1571" s="1" t="s">
        <v>71</v>
      </c>
      <c r="AE1571" s="1" t="s">
        <v>5376</v>
      </c>
      <c r="AH1571" s="1" t="s">
        <v>73</v>
      </c>
      <c r="AK1571" s="1" t="s">
        <v>71</v>
      </c>
      <c r="AM1571" s="1" t="s">
        <v>71</v>
      </c>
      <c r="AN1571" s="1" t="s">
        <v>71</v>
      </c>
      <c r="AS1571" s="1" t="s">
        <v>71</v>
      </c>
      <c r="AX1571" s="1" t="s">
        <v>71</v>
      </c>
      <c r="BH1571" s="1" t="s">
        <v>71</v>
      </c>
    </row>
    <row r="1572" customFormat="false" ht="15" hidden="false" customHeight="false" outlineLevel="0" collapsed="false">
      <c r="A1572" s="1" t="s">
        <v>5377</v>
      </c>
      <c r="B1572" s="1" t="s">
        <v>5378</v>
      </c>
      <c r="C1572" s="1" t="s">
        <v>1361</v>
      </c>
      <c r="D1572" s="1" t="s">
        <v>4847</v>
      </c>
      <c r="E1572" s="1" t="s">
        <v>82</v>
      </c>
      <c r="F1572" s="1" t="s">
        <v>391</v>
      </c>
      <c r="G1572" s="1" t="s">
        <v>97</v>
      </c>
      <c r="H1572" s="1" t="s">
        <v>406</v>
      </c>
      <c r="K1572" s="1" t="s">
        <v>65</v>
      </c>
      <c r="L1572" s="1" t="s">
        <v>860</v>
      </c>
      <c r="M1572" s="1" t="s">
        <v>496</v>
      </c>
      <c r="N1572" s="1" t="s">
        <v>3166</v>
      </c>
      <c r="O1572" s="1" t="s">
        <v>3167</v>
      </c>
      <c r="P1572" s="1" t="s">
        <v>5311</v>
      </c>
      <c r="Z1572" s="1" t="s">
        <v>71</v>
      </c>
      <c r="AE1572" s="1" t="s">
        <v>5376</v>
      </c>
      <c r="AH1572" s="1" t="s">
        <v>73</v>
      </c>
      <c r="AK1572" s="1" t="s">
        <v>71</v>
      </c>
      <c r="AM1572" s="1" t="s">
        <v>71</v>
      </c>
      <c r="AN1572" s="1" t="s">
        <v>71</v>
      </c>
      <c r="AS1572" s="1" t="s">
        <v>71</v>
      </c>
      <c r="AX1572" s="1" t="s">
        <v>71</v>
      </c>
      <c r="BH1572" s="1" t="s">
        <v>71</v>
      </c>
    </row>
    <row r="1573" customFormat="false" ht="15" hidden="false" customHeight="false" outlineLevel="0" collapsed="false">
      <c r="A1573" s="1" t="s">
        <v>5379</v>
      </c>
      <c r="B1573" s="1" t="s">
        <v>5380</v>
      </c>
      <c r="C1573" s="1" t="s">
        <v>1361</v>
      </c>
      <c r="D1573" s="1" t="s">
        <v>4847</v>
      </c>
      <c r="E1573" s="1" t="s">
        <v>82</v>
      </c>
      <c r="F1573" s="1" t="s">
        <v>391</v>
      </c>
      <c r="G1573" s="1" t="s">
        <v>97</v>
      </c>
      <c r="H1573" s="1" t="s">
        <v>406</v>
      </c>
      <c r="K1573" s="1" t="s">
        <v>836</v>
      </c>
      <c r="L1573" s="1" t="s">
        <v>837</v>
      </c>
      <c r="M1573" s="1" t="s">
        <v>496</v>
      </c>
      <c r="N1573" s="1" t="s">
        <v>5381</v>
      </c>
      <c r="O1573" s="1" t="s">
        <v>400</v>
      </c>
      <c r="P1573" s="1" t="s">
        <v>5382</v>
      </c>
      <c r="Z1573" s="1" t="s">
        <v>71</v>
      </c>
      <c r="AE1573" s="1" t="s">
        <v>5376</v>
      </c>
      <c r="AH1573" s="1" t="s">
        <v>73</v>
      </c>
      <c r="AK1573" s="1" t="s">
        <v>71</v>
      </c>
      <c r="AM1573" s="1" t="s">
        <v>71</v>
      </c>
      <c r="AN1573" s="1" t="s">
        <v>71</v>
      </c>
      <c r="AS1573" s="1" t="s">
        <v>71</v>
      </c>
      <c r="AX1573" s="1" t="s">
        <v>71</v>
      </c>
      <c r="BH1573" s="1" t="s">
        <v>71</v>
      </c>
    </row>
    <row r="1574" customFormat="false" ht="15" hidden="false" customHeight="false" outlineLevel="0" collapsed="false">
      <c r="A1574" s="1" t="s">
        <v>5383</v>
      </c>
      <c r="B1574" s="1" t="s">
        <v>5384</v>
      </c>
      <c r="C1574" s="1" t="s">
        <v>5385</v>
      </c>
      <c r="D1574" s="1" t="s">
        <v>5386</v>
      </c>
      <c r="E1574" s="1" t="s">
        <v>82</v>
      </c>
      <c r="F1574" s="1" t="s">
        <v>391</v>
      </c>
      <c r="G1574" s="1" t="s">
        <v>97</v>
      </c>
      <c r="H1574" s="1" t="s">
        <v>406</v>
      </c>
      <c r="K1574" s="1" t="s">
        <v>453</v>
      </c>
      <c r="L1574" s="1" t="s">
        <v>454</v>
      </c>
      <c r="M1574" s="1" t="s">
        <v>496</v>
      </c>
      <c r="N1574" s="1" t="s">
        <v>446</v>
      </c>
      <c r="O1574" s="1" t="s">
        <v>447</v>
      </c>
      <c r="P1574" s="1" t="s">
        <v>3969</v>
      </c>
      <c r="Z1574" s="1" t="s">
        <v>71</v>
      </c>
      <c r="AE1574" s="1" t="s">
        <v>5376</v>
      </c>
      <c r="AH1574" s="1" t="s">
        <v>73</v>
      </c>
      <c r="AK1574" s="1" t="s">
        <v>71</v>
      </c>
      <c r="AM1574" s="1" t="s">
        <v>71</v>
      </c>
      <c r="AN1574" s="1" t="s">
        <v>71</v>
      </c>
      <c r="AS1574" s="1" t="s">
        <v>71</v>
      </c>
      <c r="AX1574" s="1" t="s">
        <v>71</v>
      </c>
      <c r="BH1574" s="1" t="s">
        <v>71</v>
      </c>
    </row>
    <row r="1575" customFormat="false" ht="15" hidden="false" customHeight="false" outlineLevel="0" collapsed="false">
      <c r="A1575" s="1" t="s">
        <v>5387</v>
      </c>
      <c r="B1575" s="1" t="s">
        <v>5388</v>
      </c>
      <c r="C1575" s="1" t="s">
        <v>5389</v>
      </c>
      <c r="D1575" s="1" t="s">
        <v>5390</v>
      </c>
      <c r="E1575" s="1" t="s">
        <v>82</v>
      </c>
      <c r="F1575" s="1" t="s">
        <v>391</v>
      </c>
      <c r="G1575" s="1" t="s">
        <v>443</v>
      </c>
      <c r="H1575" s="1" t="s">
        <v>444</v>
      </c>
      <c r="K1575" s="1" t="s">
        <v>61</v>
      </c>
      <c r="L1575" s="1" t="s">
        <v>445</v>
      </c>
      <c r="M1575" s="1" t="s">
        <v>496</v>
      </c>
      <c r="N1575" s="1" t="s">
        <v>4676</v>
      </c>
      <c r="O1575" s="1" t="s">
        <v>4677</v>
      </c>
      <c r="P1575" s="1" t="s">
        <v>4678</v>
      </c>
      <c r="Z1575" s="1" t="s">
        <v>71</v>
      </c>
      <c r="AE1575" s="1" t="s">
        <v>5391</v>
      </c>
      <c r="AH1575" s="1" t="s">
        <v>73</v>
      </c>
      <c r="AK1575" s="1" t="s">
        <v>71</v>
      </c>
      <c r="AM1575" s="1" t="s">
        <v>71</v>
      </c>
      <c r="AN1575" s="1" t="s">
        <v>71</v>
      </c>
      <c r="AS1575" s="1" t="s">
        <v>71</v>
      </c>
      <c r="AX1575" s="1" t="s">
        <v>71</v>
      </c>
      <c r="BH1575" s="1" t="s">
        <v>71</v>
      </c>
    </row>
    <row r="1576" customFormat="false" ht="15" hidden="false" customHeight="false" outlineLevel="0" collapsed="false">
      <c r="A1576" s="1" t="s">
        <v>5392</v>
      </c>
      <c r="B1576" s="1" t="s">
        <v>5393</v>
      </c>
      <c r="C1576" s="1" t="s">
        <v>1381</v>
      </c>
      <c r="D1576" s="1" t="s">
        <v>4917</v>
      </c>
      <c r="E1576" s="1" t="s">
        <v>82</v>
      </c>
      <c r="F1576" s="1" t="s">
        <v>391</v>
      </c>
      <c r="G1576" s="1" t="s">
        <v>97</v>
      </c>
      <c r="H1576" s="1" t="s">
        <v>406</v>
      </c>
      <c r="K1576" s="1" t="s">
        <v>407</v>
      </c>
      <c r="L1576" s="1" t="s">
        <v>408</v>
      </c>
      <c r="M1576" s="1" t="s">
        <v>496</v>
      </c>
      <c r="N1576" s="1" t="s">
        <v>1049</v>
      </c>
      <c r="O1576" s="1" t="s">
        <v>400</v>
      </c>
      <c r="P1576" s="1" t="s">
        <v>4213</v>
      </c>
      <c r="Z1576" s="1" t="s">
        <v>71</v>
      </c>
      <c r="AE1576" s="1" t="s">
        <v>5394</v>
      </c>
      <c r="AH1576" s="1" t="s">
        <v>73</v>
      </c>
      <c r="AK1576" s="1" t="s">
        <v>71</v>
      </c>
      <c r="AM1576" s="1" t="s">
        <v>71</v>
      </c>
      <c r="AN1576" s="1" t="s">
        <v>71</v>
      </c>
      <c r="AS1576" s="1" t="s">
        <v>71</v>
      </c>
      <c r="AX1576" s="1" t="s">
        <v>71</v>
      </c>
      <c r="BH1576" s="1" t="s">
        <v>71</v>
      </c>
    </row>
    <row r="1577" customFormat="false" ht="15" hidden="false" customHeight="false" outlineLevel="0" collapsed="false">
      <c r="A1577" s="1" t="s">
        <v>5395</v>
      </c>
      <c r="B1577" s="1" t="s">
        <v>5396</v>
      </c>
      <c r="C1577" s="1" t="s">
        <v>1200</v>
      </c>
      <c r="D1577" s="1" t="s">
        <v>3535</v>
      </c>
      <c r="E1577" s="1" t="s">
        <v>61</v>
      </c>
      <c r="F1577" s="1" t="s">
        <v>101</v>
      </c>
      <c r="G1577" s="1" t="s">
        <v>93</v>
      </c>
      <c r="H1577" s="1" t="s">
        <v>64</v>
      </c>
      <c r="K1577" s="1" t="s">
        <v>1356</v>
      </c>
      <c r="L1577" s="1" t="s">
        <v>1357</v>
      </c>
      <c r="M1577" s="1" t="s">
        <v>285</v>
      </c>
      <c r="N1577" s="1" t="s">
        <v>105</v>
      </c>
      <c r="O1577" s="1" t="s">
        <v>106</v>
      </c>
      <c r="P1577" s="1" t="s">
        <v>3539</v>
      </c>
      <c r="U1577" s="1" t="s">
        <v>5395</v>
      </c>
      <c r="Z1577" s="1" t="s">
        <v>71</v>
      </c>
      <c r="AE1577" s="1" t="s">
        <v>5397</v>
      </c>
      <c r="AH1577" s="1" t="s">
        <v>73</v>
      </c>
      <c r="AK1577" s="1" t="s">
        <v>71</v>
      </c>
      <c r="AM1577" s="1" t="s">
        <v>71</v>
      </c>
      <c r="AN1577" s="1" t="s">
        <v>71</v>
      </c>
      <c r="AS1577" s="1" t="s">
        <v>71</v>
      </c>
      <c r="AX1577" s="1" t="s">
        <v>71</v>
      </c>
      <c r="AY1577" s="1" t="s">
        <v>59</v>
      </c>
      <c r="AZ1577" s="1" t="s">
        <v>74</v>
      </c>
      <c r="BH1577" s="1" t="s">
        <v>71</v>
      </c>
    </row>
    <row r="1578" customFormat="false" ht="15" hidden="false" customHeight="false" outlineLevel="0" collapsed="false">
      <c r="A1578" s="1" t="s">
        <v>5398</v>
      </c>
      <c r="B1578" s="1" t="s">
        <v>5399</v>
      </c>
      <c r="C1578" s="1" t="s">
        <v>1016</v>
      </c>
      <c r="D1578" s="1" t="s">
        <v>3542</v>
      </c>
      <c r="E1578" s="1" t="s">
        <v>61</v>
      </c>
      <c r="F1578" s="1" t="s">
        <v>101</v>
      </c>
      <c r="G1578" s="1" t="s">
        <v>93</v>
      </c>
      <c r="H1578" s="1" t="s">
        <v>64</v>
      </c>
      <c r="K1578" s="1" t="s">
        <v>190</v>
      </c>
      <c r="L1578" s="1" t="s">
        <v>317</v>
      </c>
      <c r="M1578" s="1" t="s">
        <v>104</v>
      </c>
      <c r="N1578" s="1" t="s">
        <v>5400</v>
      </c>
      <c r="O1578" s="1" t="s">
        <v>5401</v>
      </c>
      <c r="P1578" s="1" t="s">
        <v>5402</v>
      </c>
      <c r="U1578" s="1" t="s">
        <v>5398</v>
      </c>
      <c r="Z1578" s="1" t="s">
        <v>71</v>
      </c>
      <c r="AE1578" s="1" t="s">
        <v>5397</v>
      </c>
      <c r="AH1578" s="1" t="s">
        <v>73</v>
      </c>
      <c r="AK1578" s="1" t="s">
        <v>71</v>
      </c>
      <c r="AM1578" s="1" t="s">
        <v>71</v>
      </c>
      <c r="AN1578" s="1" t="s">
        <v>71</v>
      </c>
      <c r="AS1578" s="1" t="s">
        <v>71</v>
      </c>
      <c r="AX1578" s="1" t="s">
        <v>71</v>
      </c>
      <c r="AY1578" s="1" t="s">
        <v>59</v>
      </c>
      <c r="AZ1578" s="1" t="s">
        <v>74</v>
      </c>
      <c r="BH1578" s="1" t="s">
        <v>71</v>
      </c>
    </row>
    <row r="1579" customFormat="false" ht="15" hidden="false" customHeight="false" outlineLevel="0" collapsed="false">
      <c r="A1579" s="1" t="s">
        <v>5403</v>
      </c>
      <c r="B1579" s="1" t="s">
        <v>5404</v>
      </c>
      <c r="C1579" s="1" t="s">
        <v>706</v>
      </c>
      <c r="D1579" s="1" t="s">
        <v>707</v>
      </c>
      <c r="E1579" s="1" t="s">
        <v>82</v>
      </c>
      <c r="F1579" s="1" t="s">
        <v>391</v>
      </c>
      <c r="G1579" s="1" t="s">
        <v>213</v>
      </c>
      <c r="H1579" s="1" t="s">
        <v>477</v>
      </c>
      <c r="K1579" s="1" t="s">
        <v>478</v>
      </c>
      <c r="L1579" s="1" t="s">
        <v>479</v>
      </c>
      <c r="M1579" s="1" t="s">
        <v>496</v>
      </c>
      <c r="N1579" s="1" t="s">
        <v>709</v>
      </c>
      <c r="O1579" s="1" t="s">
        <v>710</v>
      </c>
      <c r="P1579" s="1" t="s">
        <v>5405</v>
      </c>
      <c r="Z1579" s="1" t="s">
        <v>71</v>
      </c>
      <c r="AE1579" s="1" t="s">
        <v>5406</v>
      </c>
      <c r="AH1579" s="1" t="s">
        <v>73</v>
      </c>
      <c r="AK1579" s="1" t="s">
        <v>71</v>
      </c>
      <c r="AM1579" s="1" t="s">
        <v>71</v>
      </c>
      <c r="AN1579" s="1" t="s">
        <v>71</v>
      </c>
      <c r="AS1579" s="1" t="s">
        <v>71</v>
      </c>
      <c r="AX1579" s="1" t="s">
        <v>71</v>
      </c>
      <c r="BH1579" s="1" t="s">
        <v>71</v>
      </c>
    </row>
    <row r="1580" customFormat="false" ht="15" hidden="false" customHeight="false" outlineLevel="0" collapsed="false">
      <c r="A1580" s="1" t="s">
        <v>5407</v>
      </c>
      <c r="B1580" s="1" t="s">
        <v>5408</v>
      </c>
      <c r="C1580" s="1" t="s">
        <v>1505</v>
      </c>
      <c r="D1580" s="1" t="s">
        <v>5409</v>
      </c>
      <c r="E1580" s="1" t="s">
        <v>82</v>
      </c>
      <c r="F1580" s="1" t="s">
        <v>391</v>
      </c>
      <c r="G1580" s="1" t="s">
        <v>97</v>
      </c>
      <c r="H1580" s="1" t="s">
        <v>406</v>
      </c>
      <c r="K1580" s="1" t="s">
        <v>407</v>
      </c>
      <c r="L1580" s="1" t="s">
        <v>408</v>
      </c>
      <c r="M1580" s="1" t="s">
        <v>496</v>
      </c>
      <c r="N1580" s="1" t="s">
        <v>5410</v>
      </c>
      <c r="O1580" s="1" t="s">
        <v>5411</v>
      </c>
      <c r="P1580" s="1" t="s">
        <v>5412</v>
      </c>
      <c r="Z1580" s="1" t="s">
        <v>71</v>
      </c>
      <c r="AE1580" s="1" t="s">
        <v>5406</v>
      </c>
      <c r="AH1580" s="1" t="s">
        <v>73</v>
      </c>
      <c r="AK1580" s="1" t="s">
        <v>71</v>
      </c>
      <c r="AM1580" s="1" t="s">
        <v>71</v>
      </c>
      <c r="AN1580" s="1" t="s">
        <v>71</v>
      </c>
      <c r="AS1580" s="1" t="s">
        <v>71</v>
      </c>
      <c r="AX1580" s="1" t="s">
        <v>71</v>
      </c>
      <c r="BH1580" s="1" t="s">
        <v>71</v>
      </c>
    </row>
    <row r="1581" customFormat="false" ht="15" hidden="false" customHeight="false" outlineLevel="0" collapsed="false">
      <c r="A1581" s="1" t="s">
        <v>5413</v>
      </c>
      <c r="B1581" s="1" t="s">
        <v>5414</v>
      </c>
      <c r="C1581" s="1" t="s">
        <v>273</v>
      </c>
      <c r="D1581" s="1" t="s">
        <v>274</v>
      </c>
      <c r="E1581" s="1" t="s">
        <v>61</v>
      </c>
      <c r="F1581" s="1" t="s">
        <v>101</v>
      </c>
      <c r="G1581" s="1" t="s">
        <v>275</v>
      </c>
      <c r="H1581" s="1" t="s">
        <v>276</v>
      </c>
      <c r="K1581" s="1" t="s">
        <v>130</v>
      </c>
      <c r="L1581" s="1" t="s">
        <v>5415</v>
      </c>
      <c r="M1581" s="1" t="s">
        <v>296</v>
      </c>
      <c r="N1581" s="1" t="s">
        <v>279</v>
      </c>
      <c r="O1581" s="1" t="s">
        <v>280</v>
      </c>
      <c r="P1581" s="1" t="s">
        <v>4895</v>
      </c>
      <c r="U1581" s="1" t="s">
        <v>5413</v>
      </c>
      <c r="Z1581" s="1" t="s">
        <v>71</v>
      </c>
      <c r="AE1581" s="1" t="s">
        <v>5406</v>
      </c>
      <c r="AH1581" s="1" t="s">
        <v>73</v>
      </c>
      <c r="AK1581" s="1" t="s">
        <v>71</v>
      </c>
      <c r="AM1581" s="1" t="s">
        <v>71</v>
      </c>
      <c r="AN1581" s="1" t="s">
        <v>71</v>
      </c>
      <c r="AS1581" s="1" t="s">
        <v>71</v>
      </c>
      <c r="AX1581" s="1" t="s">
        <v>71</v>
      </c>
      <c r="AY1581" s="1" t="s">
        <v>59</v>
      </c>
      <c r="AZ1581" s="1" t="s">
        <v>74</v>
      </c>
      <c r="BH1581" s="1" t="s">
        <v>71</v>
      </c>
    </row>
    <row r="1582" customFormat="false" ht="15" hidden="false" customHeight="false" outlineLevel="0" collapsed="false">
      <c r="A1582" s="1" t="s">
        <v>5416</v>
      </c>
      <c r="B1582" s="1" t="s">
        <v>5417</v>
      </c>
      <c r="C1582" s="1" t="s">
        <v>273</v>
      </c>
      <c r="D1582" s="1" t="s">
        <v>274</v>
      </c>
      <c r="E1582" s="1" t="s">
        <v>61</v>
      </c>
      <c r="F1582" s="1" t="s">
        <v>101</v>
      </c>
      <c r="G1582" s="1" t="s">
        <v>275</v>
      </c>
      <c r="H1582" s="1" t="s">
        <v>276</v>
      </c>
      <c r="K1582" s="1" t="s">
        <v>132</v>
      </c>
      <c r="L1582" s="1" t="s">
        <v>5418</v>
      </c>
      <c r="M1582" s="1" t="s">
        <v>278</v>
      </c>
      <c r="N1582" s="1" t="s">
        <v>5189</v>
      </c>
      <c r="O1582" s="1" t="s">
        <v>5190</v>
      </c>
      <c r="P1582" s="1" t="s">
        <v>5191</v>
      </c>
      <c r="U1582" s="1" t="s">
        <v>5416</v>
      </c>
      <c r="Z1582" s="1" t="s">
        <v>71</v>
      </c>
      <c r="AA1582" s="1" t="s">
        <v>91</v>
      </c>
      <c r="AE1582" s="1" t="s">
        <v>5406</v>
      </c>
      <c r="AH1582" s="1" t="s">
        <v>73</v>
      </c>
      <c r="AK1582" s="1" t="s">
        <v>71</v>
      </c>
      <c r="AM1582" s="1" t="s">
        <v>71</v>
      </c>
      <c r="AN1582" s="1" t="s">
        <v>71</v>
      </c>
      <c r="AS1582" s="1" t="s">
        <v>71</v>
      </c>
      <c r="AX1582" s="1" t="s">
        <v>71</v>
      </c>
      <c r="AY1582" s="1" t="s">
        <v>59</v>
      </c>
      <c r="AZ1582" s="1" t="s">
        <v>74</v>
      </c>
      <c r="BH1582" s="1" t="s">
        <v>71</v>
      </c>
    </row>
    <row r="1583" customFormat="false" ht="15" hidden="false" customHeight="false" outlineLevel="0" collapsed="false">
      <c r="A1583" s="1" t="s">
        <v>5419</v>
      </c>
      <c r="B1583" s="1" t="s">
        <v>5420</v>
      </c>
      <c r="C1583" s="1" t="s">
        <v>273</v>
      </c>
      <c r="D1583" s="1" t="s">
        <v>274</v>
      </c>
      <c r="E1583" s="1" t="s">
        <v>61</v>
      </c>
      <c r="F1583" s="1" t="s">
        <v>101</v>
      </c>
      <c r="G1583" s="1" t="s">
        <v>275</v>
      </c>
      <c r="H1583" s="1" t="s">
        <v>276</v>
      </c>
      <c r="K1583" s="1" t="s">
        <v>1118</v>
      </c>
      <c r="L1583" s="1" t="s">
        <v>3151</v>
      </c>
      <c r="M1583" s="1" t="s">
        <v>278</v>
      </c>
      <c r="N1583" s="1" t="s">
        <v>5189</v>
      </c>
      <c r="O1583" s="1" t="s">
        <v>5190</v>
      </c>
      <c r="P1583" s="1" t="s">
        <v>5191</v>
      </c>
      <c r="U1583" s="1" t="s">
        <v>5419</v>
      </c>
      <c r="Z1583" s="1" t="s">
        <v>71</v>
      </c>
      <c r="AE1583" s="1" t="s">
        <v>5406</v>
      </c>
      <c r="AH1583" s="1" t="s">
        <v>73</v>
      </c>
      <c r="AK1583" s="1" t="s">
        <v>71</v>
      </c>
      <c r="AM1583" s="1" t="s">
        <v>71</v>
      </c>
      <c r="AN1583" s="1" t="s">
        <v>71</v>
      </c>
      <c r="AS1583" s="1" t="s">
        <v>71</v>
      </c>
      <c r="AX1583" s="1" t="s">
        <v>71</v>
      </c>
      <c r="AY1583" s="1" t="s">
        <v>59</v>
      </c>
      <c r="AZ1583" s="1" t="s">
        <v>74</v>
      </c>
      <c r="BH1583" s="1" t="s">
        <v>71</v>
      </c>
    </row>
    <row r="1584" customFormat="false" ht="15" hidden="false" customHeight="false" outlineLevel="0" collapsed="false">
      <c r="A1584" s="1" t="s">
        <v>5421</v>
      </c>
      <c r="B1584" s="1" t="s">
        <v>5422</v>
      </c>
      <c r="C1584" s="1" t="s">
        <v>163</v>
      </c>
      <c r="D1584" s="1" t="s">
        <v>267</v>
      </c>
      <c r="E1584" s="1" t="s">
        <v>61</v>
      </c>
      <c r="F1584" s="1" t="s">
        <v>101</v>
      </c>
      <c r="G1584" s="1" t="s">
        <v>275</v>
      </c>
      <c r="H1584" s="1" t="s">
        <v>276</v>
      </c>
      <c r="K1584" s="1" t="s">
        <v>526</v>
      </c>
      <c r="L1584" s="1" t="s">
        <v>5362</v>
      </c>
      <c r="M1584" s="1" t="s">
        <v>1655</v>
      </c>
      <c r="N1584" s="1" t="s">
        <v>5423</v>
      </c>
      <c r="O1584" s="1" t="s">
        <v>5424</v>
      </c>
      <c r="P1584" s="1" t="s">
        <v>5425</v>
      </c>
      <c r="U1584" s="1" t="s">
        <v>5421</v>
      </c>
      <c r="Z1584" s="1" t="s">
        <v>71</v>
      </c>
      <c r="AE1584" s="1" t="s">
        <v>5406</v>
      </c>
      <c r="AH1584" s="1" t="s">
        <v>73</v>
      </c>
      <c r="AK1584" s="1" t="s">
        <v>71</v>
      </c>
      <c r="AM1584" s="1" t="s">
        <v>71</v>
      </c>
      <c r="AN1584" s="1" t="s">
        <v>71</v>
      </c>
      <c r="AS1584" s="1" t="s">
        <v>71</v>
      </c>
      <c r="AX1584" s="1" t="s">
        <v>71</v>
      </c>
      <c r="AY1584" s="1" t="s">
        <v>59</v>
      </c>
      <c r="AZ1584" s="1" t="s">
        <v>74</v>
      </c>
      <c r="BH1584" s="1" t="s">
        <v>71</v>
      </c>
    </row>
    <row r="1585" customFormat="false" ht="15" hidden="false" customHeight="false" outlineLevel="0" collapsed="false">
      <c r="A1585" s="1" t="s">
        <v>5426</v>
      </c>
      <c r="B1585" s="1" t="s">
        <v>5427</v>
      </c>
      <c r="C1585" s="1" t="s">
        <v>1162</v>
      </c>
      <c r="D1585" s="1" t="s">
        <v>4207</v>
      </c>
      <c r="E1585" s="1" t="s">
        <v>82</v>
      </c>
      <c r="F1585" s="1" t="s">
        <v>391</v>
      </c>
      <c r="G1585" s="1" t="s">
        <v>97</v>
      </c>
      <c r="H1585" s="1" t="s">
        <v>406</v>
      </c>
      <c r="K1585" s="1" t="s">
        <v>65</v>
      </c>
      <c r="L1585" s="1" t="s">
        <v>860</v>
      </c>
      <c r="M1585" s="1" t="s">
        <v>496</v>
      </c>
      <c r="N1585" s="1" t="s">
        <v>5428</v>
      </c>
      <c r="O1585" s="1" t="s">
        <v>5429</v>
      </c>
      <c r="P1585" s="1" t="s">
        <v>5430</v>
      </c>
      <c r="Z1585" s="1" t="s">
        <v>71</v>
      </c>
      <c r="AE1585" s="1" t="s">
        <v>5431</v>
      </c>
      <c r="AH1585" s="1" t="s">
        <v>73</v>
      </c>
      <c r="AK1585" s="1" t="s">
        <v>71</v>
      </c>
      <c r="AM1585" s="1" t="s">
        <v>71</v>
      </c>
      <c r="AN1585" s="1" t="s">
        <v>71</v>
      </c>
      <c r="AS1585" s="1" t="s">
        <v>71</v>
      </c>
      <c r="AX1585" s="1" t="s">
        <v>71</v>
      </c>
      <c r="BH1585" s="1" t="s">
        <v>71</v>
      </c>
    </row>
    <row r="1586" customFormat="false" ht="15" hidden="false" customHeight="false" outlineLevel="0" collapsed="false">
      <c r="A1586" s="1" t="s">
        <v>5432</v>
      </c>
      <c r="B1586" s="1" t="s">
        <v>5433</v>
      </c>
      <c r="C1586" s="1" t="s">
        <v>1162</v>
      </c>
      <c r="D1586" s="1" t="s">
        <v>4207</v>
      </c>
      <c r="E1586" s="1" t="s">
        <v>82</v>
      </c>
      <c r="F1586" s="1" t="s">
        <v>391</v>
      </c>
      <c r="G1586" s="1" t="s">
        <v>97</v>
      </c>
      <c r="H1586" s="1" t="s">
        <v>406</v>
      </c>
      <c r="K1586" s="1" t="s">
        <v>65</v>
      </c>
      <c r="L1586" s="1" t="s">
        <v>860</v>
      </c>
      <c r="M1586" s="1" t="s">
        <v>496</v>
      </c>
      <c r="N1586" s="1" t="s">
        <v>2621</v>
      </c>
      <c r="O1586" s="1" t="s">
        <v>2622</v>
      </c>
      <c r="P1586" s="1" t="s">
        <v>3601</v>
      </c>
      <c r="Z1586" s="1" t="s">
        <v>71</v>
      </c>
      <c r="AE1586" s="1" t="s">
        <v>5431</v>
      </c>
      <c r="AH1586" s="1" t="s">
        <v>73</v>
      </c>
      <c r="AK1586" s="1" t="s">
        <v>71</v>
      </c>
      <c r="AM1586" s="1" t="s">
        <v>71</v>
      </c>
      <c r="AN1586" s="1" t="s">
        <v>71</v>
      </c>
      <c r="AS1586" s="1" t="s">
        <v>71</v>
      </c>
      <c r="AX1586" s="1" t="s">
        <v>71</v>
      </c>
      <c r="BH1586" s="1" t="s">
        <v>71</v>
      </c>
    </row>
    <row r="1587" customFormat="false" ht="15" hidden="false" customHeight="false" outlineLevel="0" collapsed="false">
      <c r="A1587" s="1" t="s">
        <v>5434</v>
      </c>
      <c r="B1587" s="1" t="s">
        <v>5435</v>
      </c>
      <c r="C1587" s="1" t="s">
        <v>1162</v>
      </c>
      <c r="D1587" s="1" t="s">
        <v>4207</v>
      </c>
      <c r="E1587" s="1" t="s">
        <v>82</v>
      </c>
      <c r="F1587" s="1" t="s">
        <v>391</v>
      </c>
      <c r="G1587" s="1" t="s">
        <v>97</v>
      </c>
      <c r="H1587" s="1" t="s">
        <v>406</v>
      </c>
      <c r="K1587" s="1" t="s">
        <v>65</v>
      </c>
      <c r="L1587" s="1" t="s">
        <v>860</v>
      </c>
      <c r="M1587" s="1" t="s">
        <v>496</v>
      </c>
      <c r="N1587" s="1" t="s">
        <v>5436</v>
      </c>
      <c r="O1587" s="1" t="s">
        <v>400</v>
      </c>
      <c r="P1587" s="1" t="s">
        <v>5437</v>
      </c>
      <c r="Z1587" s="1" t="s">
        <v>71</v>
      </c>
      <c r="AE1587" s="1" t="s">
        <v>5431</v>
      </c>
      <c r="AH1587" s="1" t="s">
        <v>73</v>
      </c>
      <c r="AK1587" s="1" t="s">
        <v>71</v>
      </c>
      <c r="AM1587" s="1" t="s">
        <v>71</v>
      </c>
      <c r="AN1587" s="1" t="s">
        <v>71</v>
      </c>
      <c r="AS1587" s="1" t="s">
        <v>71</v>
      </c>
      <c r="AX1587" s="1" t="s">
        <v>71</v>
      </c>
      <c r="BH1587" s="1" t="s">
        <v>71</v>
      </c>
    </row>
    <row r="1588" customFormat="false" ht="15" hidden="false" customHeight="false" outlineLevel="0" collapsed="false">
      <c r="A1588" s="1" t="s">
        <v>5438</v>
      </c>
      <c r="B1588" s="1" t="s">
        <v>5439</v>
      </c>
      <c r="C1588" s="1" t="s">
        <v>1517</v>
      </c>
      <c r="D1588" s="1" t="s">
        <v>5440</v>
      </c>
      <c r="E1588" s="1" t="s">
        <v>65</v>
      </c>
      <c r="F1588" s="1" t="s">
        <v>119</v>
      </c>
      <c r="G1588" s="1" t="s">
        <v>88</v>
      </c>
      <c r="H1588" s="1" t="s">
        <v>255</v>
      </c>
      <c r="K1588" s="1" t="s">
        <v>256</v>
      </c>
      <c r="L1588" s="1" t="s">
        <v>257</v>
      </c>
      <c r="M1588" s="1" t="s">
        <v>258</v>
      </c>
      <c r="N1588" s="1" t="s">
        <v>259</v>
      </c>
      <c r="O1588" s="1" t="s">
        <v>260</v>
      </c>
      <c r="P1588" s="1" t="s">
        <v>3768</v>
      </c>
      <c r="U1588" s="1" t="s">
        <v>5438</v>
      </c>
      <c r="Z1588" s="1" t="s">
        <v>71</v>
      </c>
      <c r="AE1588" s="1" t="s">
        <v>5431</v>
      </c>
      <c r="AH1588" s="1" t="s">
        <v>73</v>
      </c>
      <c r="AK1588" s="1" t="s">
        <v>71</v>
      </c>
      <c r="AM1588" s="1" t="s">
        <v>71</v>
      </c>
      <c r="AN1588" s="1" t="s">
        <v>71</v>
      </c>
      <c r="AS1588" s="1" t="s">
        <v>71</v>
      </c>
      <c r="AX1588" s="1" t="s">
        <v>71</v>
      </c>
      <c r="AY1588" s="1" t="s">
        <v>59</v>
      </c>
      <c r="AZ1588" s="1" t="s">
        <v>74</v>
      </c>
      <c r="BH1588" s="1" t="s">
        <v>71</v>
      </c>
    </row>
    <row r="1589" customFormat="false" ht="15" hidden="false" customHeight="false" outlineLevel="0" collapsed="false">
      <c r="A1589" s="1" t="s">
        <v>5441</v>
      </c>
      <c r="B1589" s="1" t="s">
        <v>5442</v>
      </c>
      <c r="C1589" s="1" t="s">
        <v>163</v>
      </c>
      <c r="D1589" s="1" t="s">
        <v>267</v>
      </c>
      <c r="E1589" s="1" t="s">
        <v>61</v>
      </c>
      <c r="F1589" s="1" t="s">
        <v>101</v>
      </c>
      <c r="G1589" s="1" t="s">
        <v>275</v>
      </c>
      <c r="H1589" s="1" t="s">
        <v>276</v>
      </c>
      <c r="K1589" s="1" t="s">
        <v>134</v>
      </c>
      <c r="L1589" s="1" t="s">
        <v>5443</v>
      </c>
      <c r="M1589" s="1" t="s">
        <v>5063</v>
      </c>
      <c r="N1589" s="1" t="s">
        <v>279</v>
      </c>
      <c r="O1589" s="1" t="s">
        <v>280</v>
      </c>
      <c r="P1589" s="1" t="s">
        <v>4895</v>
      </c>
      <c r="U1589" s="1" t="s">
        <v>5441</v>
      </c>
      <c r="Z1589" s="1" t="s">
        <v>71</v>
      </c>
      <c r="AE1589" s="1" t="s">
        <v>5444</v>
      </c>
      <c r="AH1589" s="1" t="s">
        <v>73</v>
      </c>
      <c r="AK1589" s="1" t="s">
        <v>71</v>
      </c>
      <c r="AM1589" s="1" t="s">
        <v>71</v>
      </c>
      <c r="AN1589" s="1" t="s">
        <v>71</v>
      </c>
      <c r="AS1589" s="1" t="s">
        <v>71</v>
      </c>
      <c r="AX1589" s="1" t="s">
        <v>71</v>
      </c>
      <c r="AY1589" s="1" t="s">
        <v>59</v>
      </c>
      <c r="AZ1589" s="1" t="s">
        <v>74</v>
      </c>
      <c r="BH1589" s="1" t="s">
        <v>71</v>
      </c>
    </row>
    <row r="1590" customFormat="false" ht="15" hidden="false" customHeight="false" outlineLevel="0" collapsed="false">
      <c r="A1590" s="1" t="s">
        <v>5445</v>
      </c>
      <c r="B1590" s="1" t="s">
        <v>5446</v>
      </c>
      <c r="C1590" s="1" t="s">
        <v>992</v>
      </c>
      <c r="D1590" s="1" t="s">
        <v>3306</v>
      </c>
      <c r="E1590" s="1" t="s">
        <v>82</v>
      </c>
      <c r="F1590" s="1" t="s">
        <v>391</v>
      </c>
      <c r="G1590" s="1" t="s">
        <v>1356</v>
      </c>
      <c r="H1590" s="1" t="s">
        <v>1825</v>
      </c>
      <c r="K1590" s="1" t="s">
        <v>251</v>
      </c>
      <c r="L1590" s="1" t="s">
        <v>3580</v>
      </c>
      <c r="M1590" s="1" t="s">
        <v>496</v>
      </c>
      <c r="N1590" s="1" t="s">
        <v>3953</v>
      </c>
      <c r="O1590" s="1" t="s">
        <v>3954</v>
      </c>
      <c r="P1590" s="1" t="s">
        <v>3955</v>
      </c>
      <c r="Z1590" s="1" t="s">
        <v>71</v>
      </c>
      <c r="AE1590" s="1" t="s">
        <v>5444</v>
      </c>
      <c r="AH1590" s="1" t="s">
        <v>73</v>
      </c>
      <c r="AK1590" s="1" t="s">
        <v>71</v>
      </c>
      <c r="AM1590" s="1" t="s">
        <v>71</v>
      </c>
      <c r="AN1590" s="1" t="s">
        <v>71</v>
      </c>
      <c r="AS1590" s="1" t="s">
        <v>71</v>
      </c>
      <c r="AX1590" s="1" t="s">
        <v>71</v>
      </c>
      <c r="BH1590" s="1" t="s">
        <v>71</v>
      </c>
    </row>
    <row r="1591" customFormat="false" ht="15" hidden="false" customHeight="false" outlineLevel="0" collapsed="false">
      <c r="A1591" s="1" t="s">
        <v>5447</v>
      </c>
      <c r="B1591" s="1" t="s">
        <v>5448</v>
      </c>
      <c r="C1591" s="1" t="s">
        <v>265</v>
      </c>
      <c r="D1591" s="1" t="s">
        <v>897</v>
      </c>
      <c r="E1591" s="1" t="s">
        <v>88</v>
      </c>
      <c r="F1591" s="1" t="s">
        <v>432</v>
      </c>
      <c r="G1591" s="1" t="s">
        <v>433</v>
      </c>
      <c r="H1591" s="1" t="s">
        <v>434</v>
      </c>
      <c r="K1591" s="1" t="s">
        <v>435</v>
      </c>
      <c r="L1591" s="1" t="s">
        <v>436</v>
      </c>
      <c r="M1591" s="1" t="s">
        <v>496</v>
      </c>
      <c r="N1591" s="1" t="s">
        <v>437</v>
      </c>
      <c r="O1591" s="1" t="s">
        <v>438</v>
      </c>
      <c r="P1591" s="1" t="s">
        <v>5449</v>
      </c>
      <c r="Z1591" s="1" t="s">
        <v>71</v>
      </c>
      <c r="AE1591" s="1" t="s">
        <v>5450</v>
      </c>
      <c r="AH1591" s="1" t="s">
        <v>73</v>
      </c>
      <c r="AK1591" s="1" t="s">
        <v>71</v>
      </c>
      <c r="AM1591" s="1" t="s">
        <v>71</v>
      </c>
      <c r="AN1591" s="1" t="s">
        <v>71</v>
      </c>
      <c r="AS1591" s="1" t="s">
        <v>71</v>
      </c>
      <c r="AX1591" s="1" t="s">
        <v>71</v>
      </c>
      <c r="BH1591" s="1" t="s">
        <v>71</v>
      </c>
    </row>
    <row r="1592" customFormat="false" ht="15" hidden="false" customHeight="false" outlineLevel="0" collapsed="false">
      <c r="A1592" s="1" t="s">
        <v>5451</v>
      </c>
      <c r="B1592" s="1" t="s">
        <v>5452</v>
      </c>
      <c r="C1592" s="1" t="s">
        <v>265</v>
      </c>
      <c r="D1592" s="1" t="s">
        <v>897</v>
      </c>
      <c r="E1592" s="1" t="s">
        <v>82</v>
      </c>
      <c r="F1592" s="1" t="s">
        <v>391</v>
      </c>
      <c r="G1592" s="1" t="s">
        <v>213</v>
      </c>
      <c r="H1592" s="1" t="s">
        <v>477</v>
      </c>
      <c r="K1592" s="1" t="s">
        <v>478</v>
      </c>
      <c r="L1592" s="1" t="s">
        <v>479</v>
      </c>
      <c r="M1592" s="1" t="s">
        <v>496</v>
      </c>
      <c r="N1592" s="1" t="s">
        <v>792</v>
      </c>
      <c r="O1592" s="1" t="s">
        <v>447</v>
      </c>
      <c r="P1592" s="1" t="s">
        <v>4272</v>
      </c>
      <c r="Z1592" s="1" t="s">
        <v>71</v>
      </c>
      <c r="AE1592" s="1" t="s">
        <v>5453</v>
      </c>
      <c r="AH1592" s="1" t="s">
        <v>73</v>
      </c>
      <c r="AK1592" s="1" t="s">
        <v>71</v>
      </c>
      <c r="AM1592" s="1" t="s">
        <v>71</v>
      </c>
      <c r="AN1592" s="1" t="s">
        <v>71</v>
      </c>
      <c r="AS1592" s="1" t="s">
        <v>71</v>
      </c>
      <c r="AX1592" s="1" t="s">
        <v>71</v>
      </c>
      <c r="BH1592" s="1" t="s">
        <v>71</v>
      </c>
    </row>
    <row r="1593" customFormat="false" ht="15" hidden="false" customHeight="false" outlineLevel="0" collapsed="false">
      <c r="A1593" s="1" t="s">
        <v>5454</v>
      </c>
      <c r="B1593" s="1" t="s">
        <v>5455</v>
      </c>
      <c r="C1593" s="1" t="s">
        <v>4633</v>
      </c>
      <c r="D1593" s="1" t="s">
        <v>4634</v>
      </c>
      <c r="E1593" s="1" t="s">
        <v>82</v>
      </c>
      <c r="F1593" s="1" t="s">
        <v>391</v>
      </c>
      <c r="G1593" s="1" t="s">
        <v>443</v>
      </c>
      <c r="H1593" s="1" t="s">
        <v>444</v>
      </c>
      <c r="K1593" s="1" t="s">
        <v>618</v>
      </c>
      <c r="L1593" s="1" t="s">
        <v>619</v>
      </c>
      <c r="M1593" s="1" t="s">
        <v>465</v>
      </c>
      <c r="N1593" s="1" t="s">
        <v>4339</v>
      </c>
      <c r="O1593" s="1" t="s">
        <v>4340</v>
      </c>
      <c r="P1593" s="1" t="s">
        <v>4341</v>
      </c>
      <c r="Z1593" s="1" t="s">
        <v>71</v>
      </c>
      <c r="AE1593" s="1" t="s">
        <v>5456</v>
      </c>
      <c r="AH1593" s="1" t="s">
        <v>73</v>
      </c>
      <c r="AK1593" s="1" t="s">
        <v>71</v>
      </c>
      <c r="AM1593" s="1" t="s">
        <v>71</v>
      </c>
      <c r="AN1593" s="1" t="s">
        <v>71</v>
      </c>
      <c r="AS1593" s="1" t="s">
        <v>71</v>
      </c>
      <c r="AX1593" s="1" t="s">
        <v>71</v>
      </c>
      <c r="BH1593" s="1" t="s">
        <v>71</v>
      </c>
    </row>
    <row r="1594" customFormat="false" ht="15" hidden="false" customHeight="false" outlineLevel="0" collapsed="false">
      <c r="A1594" s="1" t="s">
        <v>5457</v>
      </c>
      <c r="B1594" s="1" t="s">
        <v>5458</v>
      </c>
      <c r="C1594" s="1" t="s">
        <v>5459</v>
      </c>
      <c r="D1594" s="1" t="s">
        <v>5460</v>
      </c>
      <c r="E1594" s="1" t="s">
        <v>82</v>
      </c>
      <c r="F1594" s="1" t="s">
        <v>391</v>
      </c>
      <c r="G1594" s="1" t="s">
        <v>213</v>
      </c>
      <c r="H1594" s="1" t="s">
        <v>477</v>
      </c>
      <c r="K1594" s="1" t="s">
        <v>1904</v>
      </c>
      <c r="L1594" s="1" t="s">
        <v>1905</v>
      </c>
      <c r="M1594" s="1" t="s">
        <v>465</v>
      </c>
      <c r="N1594" s="1" t="s">
        <v>1768</v>
      </c>
      <c r="O1594" s="1" t="s">
        <v>400</v>
      </c>
      <c r="P1594" s="1" t="s">
        <v>4491</v>
      </c>
      <c r="Z1594" s="1" t="s">
        <v>71</v>
      </c>
      <c r="AE1594" s="1" t="s">
        <v>5461</v>
      </c>
      <c r="AH1594" s="1" t="s">
        <v>73</v>
      </c>
      <c r="AK1594" s="1" t="s">
        <v>71</v>
      </c>
      <c r="AM1594" s="1" t="s">
        <v>71</v>
      </c>
      <c r="AN1594" s="1" t="s">
        <v>71</v>
      </c>
      <c r="AS1594" s="1" t="s">
        <v>71</v>
      </c>
      <c r="AX1594" s="1" t="s">
        <v>71</v>
      </c>
      <c r="BH1594" s="1" t="s">
        <v>71</v>
      </c>
    </row>
    <row r="1595" customFormat="false" ht="15" hidden="false" customHeight="false" outlineLevel="0" collapsed="false">
      <c r="A1595" s="1" t="s">
        <v>5462</v>
      </c>
      <c r="B1595" s="1" t="s">
        <v>5463</v>
      </c>
      <c r="C1595" s="1" t="s">
        <v>3031</v>
      </c>
      <c r="D1595" s="1" t="s">
        <v>3032</v>
      </c>
      <c r="E1595" s="1" t="s">
        <v>82</v>
      </c>
      <c r="F1595" s="1" t="s">
        <v>391</v>
      </c>
      <c r="G1595" s="1" t="s">
        <v>213</v>
      </c>
      <c r="H1595" s="1" t="s">
        <v>477</v>
      </c>
      <c r="K1595" s="1" t="s">
        <v>1772</v>
      </c>
      <c r="L1595" s="1" t="s">
        <v>1773</v>
      </c>
      <c r="M1595" s="1" t="s">
        <v>496</v>
      </c>
      <c r="N1595" s="1" t="s">
        <v>5464</v>
      </c>
      <c r="O1595" s="1" t="s">
        <v>400</v>
      </c>
      <c r="P1595" s="1" t="s">
        <v>5465</v>
      </c>
      <c r="Z1595" s="1" t="s">
        <v>71</v>
      </c>
      <c r="AE1595" s="1" t="s">
        <v>5466</v>
      </c>
      <c r="AH1595" s="1" t="s">
        <v>73</v>
      </c>
      <c r="AK1595" s="1" t="s">
        <v>71</v>
      </c>
      <c r="AM1595" s="1" t="s">
        <v>71</v>
      </c>
      <c r="AN1595" s="1" t="s">
        <v>71</v>
      </c>
      <c r="AS1595" s="1" t="s">
        <v>71</v>
      </c>
      <c r="AX1595" s="1" t="s">
        <v>71</v>
      </c>
      <c r="BH1595" s="1" t="s">
        <v>71</v>
      </c>
    </row>
    <row r="1596" customFormat="false" ht="15" hidden="false" customHeight="false" outlineLevel="0" collapsed="false">
      <c r="A1596" s="1" t="s">
        <v>5467</v>
      </c>
      <c r="B1596" s="1" t="s">
        <v>5468</v>
      </c>
      <c r="C1596" s="1" t="s">
        <v>3031</v>
      </c>
      <c r="D1596" s="1" t="s">
        <v>3032</v>
      </c>
      <c r="E1596" s="1" t="s">
        <v>82</v>
      </c>
      <c r="F1596" s="1" t="s">
        <v>391</v>
      </c>
      <c r="G1596" s="1" t="s">
        <v>213</v>
      </c>
      <c r="H1596" s="1" t="s">
        <v>477</v>
      </c>
      <c r="K1596" s="1" t="s">
        <v>1772</v>
      </c>
      <c r="L1596" s="1" t="s">
        <v>1773</v>
      </c>
      <c r="M1596" s="1" t="s">
        <v>496</v>
      </c>
      <c r="N1596" s="1" t="s">
        <v>5469</v>
      </c>
      <c r="O1596" s="1" t="s">
        <v>5470</v>
      </c>
      <c r="P1596" s="1" t="s">
        <v>5471</v>
      </c>
      <c r="Z1596" s="1" t="s">
        <v>71</v>
      </c>
      <c r="AE1596" s="1" t="s">
        <v>5466</v>
      </c>
      <c r="AH1596" s="1" t="s">
        <v>73</v>
      </c>
      <c r="AK1596" s="1" t="s">
        <v>71</v>
      </c>
      <c r="AM1596" s="1" t="s">
        <v>71</v>
      </c>
      <c r="AN1596" s="1" t="s">
        <v>71</v>
      </c>
      <c r="AS1596" s="1" t="s">
        <v>71</v>
      </c>
      <c r="AX1596" s="1" t="s">
        <v>71</v>
      </c>
      <c r="BH1596" s="1" t="s">
        <v>71</v>
      </c>
    </row>
    <row r="1597" customFormat="false" ht="15" hidden="false" customHeight="false" outlineLevel="0" collapsed="false">
      <c r="A1597" s="1" t="s">
        <v>5472</v>
      </c>
      <c r="B1597" s="1" t="s">
        <v>5473</v>
      </c>
      <c r="C1597" s="1" t="s">
        <v>3031</v>
      </c>
      <c r="D1597" s="1" t="s">
        <v>3032</v>
      </c>
      <c r="E1597" s="1" t="s">
        <v>82</v>
      </c>
      <c r="F1597" s="1" t="s">
        <v>391</v>
      </c>
      <c r="G1597" s="1" t="s">
        <v>213</v>
      </c>
      <c r="H1597" s="1" t="s">
        <v>477</v>
      </c>
      <c r="K1597" s="1" t="s">
        <v>1772</v>
      </c>
      <c r="L1597" s="1" t="s">
        <v>1773</v>
      </c>
      <c r="M1597" s="1" t="s">
        <v>496</v>
      </c>
      <c r="N1597" s="1" t="s">
        <v>792</v>
      </c>
      <c r="O1597" s="1" t="s">
        <v>447</v>
      </c>
      <c r="P1597" s="1" t="s">
        <v>4272</v>
      </c>
      <c r="Z1597" s="1" t="s">
        <v>71</v>
      </c>
      <c r="AE1597" s="1" t="s">
        <v>5466</v>
      </c>
      <c r="AH1597" s="1" t="s">
        <v>73</v>
      </c>
      <c r="AK1597" s="1" t="s">
        <v>71</v>
      </c>
      <c r="AM1597" s="1" t="s">
        <v>71</v>
      </c>
      <c r="AN1597" s="1" t="s">
        <v>71</v>
      </c>
      <c r="AS1597" s="1" t="s">
        <v>71</v>
      </c>
      <c r="AX1597" s="1" t="s">
        <v>71</v>
      </c>
      <c r="BH1597" s="1" t="s">
        <v>71</v>
      </c>
    </row>
    <row r="1598" customFormat="false" ht="15" hidden="false" customHeight="false" outlineLevel="0" collapsed="false">
      <c r="A1598" s="1" t="s">
        <v>5474</v>
      </c>
      <c r="B1598" s="1" t="s">
        <v>5475</v>
      </c>
      <c r="C1598" s="1" t="s">
        <v>222</v>
      </c>
      <c r="D1598" s="1" t="s">
        <v>223</v>
      </c>
      <c r="E1598" s="1" t="s">
        <v>61</v>
      </c>
      <c r="F1598" s="1" t="s">
        <v>101</v>
      </c>
      <c r="G1598" s="1" t="s">
        <v>93</v>
      </c>
      <c r="H1598" s="1" t="s">
        <v>64</v>
      </c>
      <c r="K1598" s="1" t="s">
        <v>224</v>
      </c>
      <c r="L1598" s="1" t="s">
        <v>225</v>
      </c>
      <c r="M1598" s="1" t="s">
        <v>828</v>
      </c>
      <c r="N1598" s="1" t="s">
        <v>105</v>
      </c>
      <c r="O1598" s="1" t="s">
        <v>106</v>
      </c>
      <c r="P1598" s="1" t="s">
        <v>3539</v>
      </c>
      <c r="U1598" s="1" t="s">
        <v>5474</v>
      </c>
      <c r="Z1598" s="1" t="s">
        <v>71</v>
      </c>
      <c r="AE1598" s="1" t="s">
        <v>5476</v>
      </c>
      <c r="AH1598" s="1" t="s">
        <v>73</v>
      </c>
      <c r="AK1598" s="1" t="s">
        <v>71</v>
      </c>
      <c r="AM1598" s="1" t="s">
        <v>71</v>
      </c>
      <c r="AN1598" s="1" t="s">
        <v>71</v>
      </c>
      <c r="AS1598" s="1" t="s">
        <v>71</v>
      </c>
      <c r="AX1598" s="1" t="s">
        <v>71</v>
      </c>
      <c r="AY1598" s="1" t="s">
        <v>59</v>
      </c>
      <c r="AZ1598" s="1" t="s">
        <v>74</v>
      </c>
      <c r="BH1598" s="1" t="s">
        <v>71</v>
      </c>
    </row>
    <row r="1599" customFormat="false" ht="15" hidden="false" customHeight="false" outlineLevel="0" collapsed="false">
      <c r="A1599" s="1" t="s">
        <v>5477</v>
      </c>
      <c r="B1599" s="1" t="s">
        <v>5478</v>
      </c>
      <c r="C1599" s="1" t="s">
        <v>222</v>
      </c>
      <c r="D1599" s="1" t="s">
        <v>223</v>
      </c>
      <c r="E1599" s="1" t="s">
        <v>61</v>
      </c>
      <c r="F1599" s="1" t="s">
        <v>101</v>
      </c>
      <c r="G1599" s="1" t="s">
        <v>93</v>
      </c>
      <c r="H1599" s="1" t="s">
        <v>64</v>
      </c>
      <c r="K1599" s="1" t="s">
        <v>224</v>
      </c>
      <c r="L1599" s="1" t="s">
        <v>225</v>
      </c>
      <c r="M1599" s="1" t="s">
        <v>828</v>
      </c>
      <c r="N1599" s="1" t="s">
        <v>105</v>
      </c>
      <c r="O1599" s="1" t="s">
        <v>106</v>
      </c>
      <c r="P1599" s="1" t="s">
        <v>3539</v>
      </c>
      <c r="U1599" s="1" t="s">
        <v>5477</v>
      </c>
      <c r="Z1599" s="1" t="s">
        <v>71</v>
      </c>
      <c r="AE1599" s="1" t="s">
        <v>5476</v>
      </c>
      <c r="AH1599" s="1" t="s">
        <v>73</v>
      </c>
      <c r="AK1599" s="1" t="s">
        <v>71</v>
      </c>
      <c r="AM1599" s="1" t="s">
        <v>71</v>
      </c>
      <c r="AN1599" s="1" t="s">
        <v>71</v>
      </c>
      <c r="AS1599" s="1" t="s">
        <v>71</v>
      </c>
      <c r="AX1599" s="1" t="s">
        <v>71</v>
      </c>
      <c r="AY1599" s="1" t="s">
        <v>59</v>
      </c>
      <c r="AZ1599" s="1" t="s">
        <v>74</v>
      </c>
      <c r="BH1599" s="1" t="s">
        <v>71</v>
      </c>
    </row>
    <row r="1600" customFormat="false" ht="15" hidden="false" customHeight="false" outlineLevel="0" collapsed="false">
      <c r="A1600" s="1" t="s">
        <v>5479</v>
      </c>
      <c r="B1600" s="1" t="s">
        <v>5480</v>
      </c>
      <c r="C1600" s="1" t="s">
        <v>1343</v>
      </c>
      <c r="D1600" s="1" t="s">
        <v>1344</v>
      </c>
      <c r="E1600" s="1" t="s">
        <v>61</v>
      </c>
      <c r="F1600" s="1" t="s">
        <v>101</v>
      </c>
      <c r="G1600" s="1" t="s">
        <v>93</v>
      </c>
      <c r="H1600" s="1" t="s">
        <v>64</v>
      </c>
      <c r="K1600" s="1" t="s">
        <v>126</v>
      </c>
      <c r="L1600" s="1" t="s">
        <v>335</v>
      </c>
      <c r="M1600" s="1" t="s">
        <v>828</v>
      </c>
      <c r="N1600" s="1" t="s">
        <v>105</v>
      </c>
      <c r="O1600" s="1" t="s">
        <v>106</v>
      </c>
      <c r="P1600" s="1" t="s">
        <v>3539</v>
      </c>
      <c r="U1600" s="1" t="s">
        <v>5479</v>
      </c>
      <c r="Z1600" s="1" t="s">
        <v>71</v>
      </c>
      <c r="AE1600" s="1" t="s">
        <v>5476</v>
      </c>
      <c r="AH1600" s="1" t="s">
        <v>73</v>
      </c>
      <c r="AK1600" s="1" t="s">
        <v>71</v>
      </c>
      <c r="AM1600" s="1" t="s">
        <v>71</v>
      </c>
      <c r="AN1600" s="1" t="s">
        <v>71</v>
      </c>
      <c r="AS1600" s="1" t="s">
        <v>71</v>
      </c>
      <c r="AX1600" s="1" t="s">
        <v>71</v>
      </c>
      <c r="AY1600" s="1" t="s">
        <v>59</v>
      </c>
      <c r="AZ1600" s="1" t="s">
        <v>74</v>
      </c>
      <c r="BH1600" s="1" t="s">
        <v>71</v>
      </c>
    </row>
    <row r="1601" customFormat="false" ht="15" hidden="false" customHeight="false" outlineLevel="0" collapsed="false">
      <c r="A1601" s="1" t="s">
        <v>5481</v>
      </c>
      <c r="B1601" s="1" t="s">
        <v>5482</v>
      </c>
      <c r="C1601" s="1" t="s">
        <v>163</v>
      </c>
      <c r="D1601" s="1" t="s">
        <v>267</v>
      </c>
      <c r="E1601" s="1" t="s">
        <v>61</v>
      </c>
      <c r="F1601" s="1" t="s">
        <v>101</v>
      </c>
      <c r="G1601" s="1" t="s">
        <v>275</v>
      </c>
      <c r="H1601" s="1" t="s">
        <v>276</v>
      </c>
      <c r="K1601" s="1" t="s">
        <v>142</v>
      </c>
      <c r="L1601" s="1" t="s">
        <v>295</v>
      </c>
      <c r="M1601" s="1" t="s">
        <v>5483</v>
      </c>
      <c r="N1601" s="1" t="s">
        <v>1470</v>
      </c>
      <c r="O1601" s="1" t="s">
        <v>1471</v>
      </c>
      <c r="P1601" s="1" t="s">
        <v>4824</v>
      </c>
      <c r="U1601" s="1" t="s">
        <v>5481</v>
      </c>
      <c r="Z1601" s="1" t="s">
        <v>71</v>
      </c>
      <c r="AE1601" s="1" t="s">
        <v>5484</v>
      </c>
      <c r="AH1601" s="1" t="s">
        <v>73</v>
      </c>
      <c r="AK1601" s="1" t="s">
        <v>71</v>
      </c>
      <c r="AM1601" s="1" t="s">
        <v>71</v>
      </c>
      <c r="AN1601" s="1" t="s">
        <v>71</v>
      </c>
      <c r="AS1601" s="1" t="s">
        <v>71</v>
      </c>
      <c r="AX1601" s="1" t="s">
        <v>71</v>
      </c>
      <c r="AY1601" s="1" t="s">
        <v>59</v>
      </c>
      <c r="AZ1601" s="1" t="s">
        <v>74</v>
      </c>
      <c r="BH1601" s="1" t="s">
        <v>71</v>
      </c>
    </row>
    <row r="1602" customFormat="false" ht="15" hidden="false" customHeight="false" outlineLevel="0" collapsed="false">
      <c r="A1602" s="1" t="s">
        <v>5485</v>
      </c>
      <c r="B1602" s="1" t="s">
        <v>5486</v>
      </c>
      <c r="C1602" s="1" t="s">
        <v>5487</v>
      </c>
      <c r="D1602" s="1" t="s">
        <v>5488</v>
      </c>
      <c r="E1602" s="1" t="s">
        <v>61</v>
      </c>
      <c r="F1602" s="1" t="s">
        <v>101</v>
      </c>
      <c r="G1602" s="1" t="s">
        <v>148</v>
      </c>
      <c r="H1602" s="1" t="s">
        <v>231</v>
      </c>
      <c r="K1602" s="1" t="s">
        <v>240</v>
      </c>
      <c r="L1602" s="1" t="s">
        <v>241</v>
      </c>
      <c r="M1602" s="1" t="s">
        <v>310</v>
      </c>
      <c r="N1602" s="1" t="s">
        <v>243</v>
      </c>
      <c r="O1602" s="1" t="s">
        <v>244</v>
      </c>
      <c r="P1602" s="1" t="s">
        <v>3503</v>
      </c>
      <c r="U1602" s="1" t="s">
        <v>5485</v>
      </c>
      <c r="Z1602" s="1" t="s">
        <v>71</v>
      </c>
      <c r="AE1602" s="1" t="s">
        <v>5489</v>
      </c>
      <c r="AH1602" s="1" t="s">
        <v>73</v>
      </c>
      <c r="AK1602" s="1" t="s">
        <v>71</v>
      </c>
      <c r="AM1602" s="1" t="s">
        <v>71</v>
      </c>
      <c r="AN1602" s="1" t="s">
        <v>71</v>
      </c>
      <c r="AS1602" s="1" t="s">
        <v>71</v>
      </c>
      <c r="AX1602" s="1" t="s">
        <v>71</v>
      </c>
      <c r="AY1602" s="1" t="s">
        <v>59</v>
      </c>
      <c r="AZ1602" s="1" t="s">
        <v>74</v>
      </c>
      <c r="BH1602" s="1" t="s">
        <v>71</v>
      </c>
    </row>
    <row r="1603" customFormat="false" ht="15" hidden="false" customHeight="false" outlineLevel="0" collapsed="false">
      <c r="A1603" s="1" t="s">
        <v>5490</v>
      </c>
      <c r="B1603" s="1" t="s">
        <v>5491</v>
      </c>
      <c r="C1603" s="1" t="s">
        <v>5487</v>
      </c>
      <c r="D1603" s="1" t="s">
        <v>5488</v>
      </c>
      <c r="E1603" s="1" t="s">
        <v>61</v>
      </c>
      <c r="F1603" s="1" t="s">
        <v>101</v>
      </c>
      <c r="G1603" s="1" t="s">
        <v>177</v>
      </c>
      <c r="H1603" s="1" t="s">
        <v>255</v>
      </c>
      <c r="K1603" s="1" t="s">
        <v>115</v>
      </c>
      <c r="L1603" s="1" t="s">
        <v>1236</v>
      </c>
      <c r="M1603" s="1" t="s">
        <v>258</v>
      </c>
      <c r="N1603" s="1" t="s">
        <v>259</v>
      </c>
      <c r="O1603" s="1" t="s">
        <v>260</v>
      </c>
      <c r="P1603" s="1" t="s">
        <v>3768</v>
      </c>
      <c r="U1603" s="1" t="s">
        <v>5490</v>
      </c>
      <c r="Z1603" s="1" t="s">
        <v>71</v>
      </c>
      <c r="AE1603" s="1" t="s">
        <v>5489</v>
      </c>
      <c r="AH1603" s="1" t="s">
        <v>73</v>
      </c>
      <c r="AK1603" s="1" t="s">
        <v>71</v>
      </c>
      <c r="AM1603" s="1" t="s">
        <v>71</v>
      </c>
      <c r="AN1603" s="1" t="s">
        <v>71</v>
      </c>
      <c r="AS1603" s="1" t="s">
        <v>71</v>
      </c>
      <c r="AX1603" s="1" t="s">
        <v>71</v>
      </c>
      <c r="AY1603" s="1" t="s">
        <v>59</v>
      </c>
      <c r="AZ1603" s="1" t="s">
        <v>74</v>
      </c>
      <c r="BH1603" s="1" t="s">
        <v>71</v>
      </c>
    </row>
    <row r="1604" customFormat="false" ht="15" hidden="false" customHeight="false" outlineLevel="0" collapsed="false">
      <c r="A1604" s="1" t="s">
        <v>5492</v>
      </c>
      <c r="B1604" s="1" t="s">
        <v>5493</v>
      </c>
      <c r="C1604" s="1" t="s">
        <v>4633</v>
      </c>
      <c r="D1604" s="1" t="s">
        <v>4634</v>
      </c>
      <c r="E1604" s="1" t="s">
        <v>82</v>
      </c>
      <c r="F1604" s="1" t="s">
        <v>391</v>
      </c>
      <c r="G1604" s="1" t="s">
        <v>443</v>
      </c>
      <c r="H1604" s="1" t="s">
        <v>444</v>
      </c>
      <c r="K1604" s="1" t="s">
        <v>618</v>
      </c>
      <c r="L1604" s="1" t="s">
        <v>619</v>
      </c>
      <c r="M1604" s="1" t="s">
        <v>465</v>
      </c>
      <c r="N1604" s="1" t="s">
        <v>2892</v>
      </c>
      <c r="O1604" s="1" t="s">
        <v>400</v>
      </c>
      <c r="P1604" s="1" t="s">
        <v>4766</v>
      </c>
      <c r="Z1604" s="1" t="s">
        <v>71</v>
      </c>
      <c r="AE1604" s="1" t="s">
        <v>5494</v>
      </c>
      <c r="AH1604" s="1" t="s">
        <v>73</v>
      </c>
      <c r="AK1604" s="1" t="s">
        <v>71</v>
      </c>
      <c r="AM1604" s="1" t="s">
        <v>71</v>
      </c>
      <c r="AN1604" s="1" t="s">
        <v>71</v>
      </c>
      <c r="AS1604" s="1" t="s">
        <v>71</v>
      </c>
      <c r="AX1604" s="1" t="s">
        <v>71</v>
      </c>
      <c r="BH1604" s="1" t="s">
        <v>71</v>
      </c>
    </row>
    <row r="1605" customFormat="false" ht="15" hidden="false" customHeight="false" outlineLevel="0" collapsed="false">
      <c r="A1605" s="1" t="s">
        <v>5495</v>
      </c>
      <c r="B1605" s="1" t="s">
        <v>5496</v>
      </c>
      <c r="C1605" s="1" t="s">
        <v>4633</v>
      </c>
      <c r="D1605" s="1" t="s">
        <v>4634</v>
      </c>
      <c r="E1605" s="1" t="s">
        <v>82</v>
      </c>
      <c r="F1605" s="1" t="s">
        <v>391</v>
      </c>
      <c r="G1605" s="1" t="s">
        <v>443</v>
      </c>
      <c r="H1605" s="1" t="s">
        <v>444</v>
      </c>
      <c r="K1605" s="1" t="s">
        <v>618</v>
      </c>
      <c r="L1605" s="1" t="s">
        <v>619</v>
      </c>
      <c r="M1605" s="1" t="s">
        <v>465</v>
      </c>
      <c r="N1605" s="1" t="s">
        <v>2892</v>
      </c>
      <c r="O1605" s="1" t="s">
        <v>400</v>
      </c>
      <c r="P1605" s="1" t="s">
        <v>4766</v>
      </c>
      <c r="Z1605" s="1" t="s">
        <v>71</v>
      </c>
      <c r="AE1605" s="1" t="s">
        <v>5494</v>
      </c>
      <c r="AH1605" s="1" t="s">
        <v>73</v>
      </c>
      <c r="AK1605" s="1" t="s">
        <v>71</v>
      </c>
      <c r="AM1605" s="1" t="s">
        <v>71</v>
      </c>
      <c r="AN1605" s="1" t="s">
        <v>71</v>
      </c>
      <c r="AS1605" s="1" t="s">
        <v>71</v>
      </c>
      <c r="AX1605" s="1" t="s">
        <v>71</v>
      </c>
      <c r="BH1605" s="1" t="s">
        <v>71</v>
      </c>
    </row>
    <row r="1606" customFormat="false" ht="15" hidden="false" customHeight="false" outlineLevel="0" collapsed="false">
      <c r="A1606" s="1" t="s">
        <v>5497</v>
      </c>
      <c r="B1606" s="1" t="s">
        <v>5498</v>
      </c>
      <c r="C1606" s="1" t="s">
        <v>1038</v>
      </c>
      <c r="D1606" s="1" t="s">
        <v>3170</v>
      </c>
      <c r="E1606" s="1" t="s">
        <v>82</v>
      </c>
      <c r="F1606" s="1" t="s">
        <v>391</v>
      </c>
      <c r="G1606" s="1" t="s">
        <v>443</v>
      </c>
      <c r="H1606" s="1" t="s">
        <v>444</v>
      </c>
      <c r="K1606" s="1" t="s">
        <v>61</v>
      </c>
      <c r="L1606" s="1" t="s">
        <v>445</v>
      </c>
      <c r="M1606" s="1" t="s">
        <v>496</v>
      </c>
      <c r="N1606" s="1" t="s">
        <v>5499</v>
      </c>
      <c r="O1606" s="1" t="s">
        <v>5500</v>
      </c>
      <c r="P1606" s="1" t="s">
        <v>5501</v>
      </c>
      <c r="Z1606" s="1" t="s">
        <v>71</v>
      </c>
      <c r="AE1606" s="1" t="s">
        <v>5494</v>
      </c>
      <c r="AH1606" s="1" t="s">
        <v>73</v>
      </c>
      <c r="AK1606" s="1" t="s">
        <v>71</v>
      </c>
      <c r="AM1606" s="1" t="s">
        <v>71</v>
      </c>
      <c r="AN1606" s="1" t="s">
        <v>71</v>
      </c>
      <c r="AS1606" s="1" t="s">
        <v>71</v>
      </c>
      <c r="AX1606" s="1" t="s">
        <v>71</v>
      </c>
      <c r="BH1606" s="1" t="s">
        <v>71</v>
      </c>
    </row>
    <row r="1607" customFormat="false" ht="15" hidden="false" customHeight="false" outlineLevel="0" collapsed="false">
      <c r="A1607" s="1" t="s">
        <v>5502</v>
      </c>
      <c r="B1607" s="1" t="s">
        <v>5503</v>
      </c>
      <c r="C1607" s="1" t="s">
        <v>5504</v>
      </c>
      <c r="D1607" s="1" t="s">
        <v>5505</v>
      </c>
      <c r="E1607" s="1" t="s">
        <v>61</v>
      </c>
      <c r="F1607" s="1" t="s">
        <v>101</v>
      </c>
      <c r="G1607" s="1" t="s">
        <v>275</v>
      </c>
      <c r="H1607" s="1" t="s">
        <v>276</v>
      </c>
      <c r="K1607" s="1" t="s">
        <v>142</v>
      </c>
      <c r="L1607" s="1" t="s">
        <v>295</v>
      </c>
      <c r="M1607" s="1" t="s">
        <v>296</v>
      </c>
      <c r="N1607" s="1" t="s">
        <v>1470</v>
      </c>
      <c r="O1607" s="1" t="s">
        <v>1471</v>
      </c>
      <c r="P1607" s="1" t="s">
        <v>4824</v>
      </c>
      <c r="U1607" s="1" t="s">
        <v>5502</v>
      </c>
      <c r="V1607" s="1" t="s">
        <v>5506</v>
      </c>
      <c r="Z1607" s="1" t="s">
        <v>71</v>
      </c>
      <c r="AE1607" s="1" t="s">
        <v>5507</v>
      </c>
      <c r="AH1607" s="1" t="s">
        <v>73</v>
      </c>
      <c r="AK1607" s="1" t="s">
        <v>71</v>
      </c>
      <c r="AM1607" s="1" t="s">
        <v>71</v>
      </c>
      <c r="AN1607" s="1" t="s">
        <v>71</v>
      </c>
      <c r="AS1607" s="1" t="s">
        <v>71</v>
      </c>
      <c r="AX1607" s="1" t="s">
        <v>71</v>
      </c>
      <c r="AY1607" s="1" t="s">
        <v>59</v>
      </c>
      <c r="AZ1607" s="1" t="s">
        <v>74</v>
      </c>
      <c r="BH1607" s="1" t="s">
        <v>71</v>
      </c>
    </row>
    <row r="1608" customFormat="false" ht="15" hidden="false" customHeight="false" outlineLevel="0" collapsed="false">
      <c r="A1608" s="1" t="s">
        <v>5508</v>
      </c>
      <c r="B1608" s="1" t="s">
        <v>5509</v>
      </c>
      <c r="C1608" s="1" t="s">
        <v>1537</v>
      </c>
      <c r="D1608" s="1" t="s">
        <v>5510</v>
      </c>
      <c r="E1608" s="1" t="s">
        <v>82</v>
      </c>
      <c r="F1608" s="1" t="s">
        <v>391</v>
      </c>
      <c r="G1608" s="1" t="s">
        <v>443</v>
      </c>
      <c r="H1608" s="1" t="s">
        <v>444</v>
      </c>
      <c r="K1608" s="1" t="s">
        <v>61</v>
      </c>
      <c r="L1608" s="1" t="s">
        <v>445</v>
      </c>
      <c r="M1608" s="1" t="s">
        <v>496</v>
      </c>
      <c r="N1608" s="1" t="s">
        <v>3721</v>
      </c>
      <c r="O1608" s="1" t="s">
        <v>447</v>
      </c>
      <c r="P1608" s="1" t="s">
        <v>3722</v>
      </c>
      <c r="Z1608" s="1" t="s">
        <v>71</v>
      </c>
      <c r="AE1608" s="1" t="s">
        <v>5507</v>
      </c>
      <c r="AH1608" s="1" t="s">
        <v>73</v>
      </c>
      <c r="AK1608" s="1" t="s">
        <v>71</v>
      </c>
      <c r="AM1608" s="1" t="s">
        <v>71</v>
      </c>
      <c r="AN1608" s="1" t="s">
        <v>71</v>
      </c>
      <c r="AS1608" s="1" t="s">
        <v>71</v>
      </c>
      <c r="AX1608" s="1" t="s">
        <v>71</v>
      </c>
      <c r="BH1608" s="1" t="s">
        <v>71</v>
      </c>
    </row>
    <row r="1609" customFormat="false" ht="15" hidden="false" customHeight="false" outlineLevel="0" collapsed="false">
      <c r="A1609" s="1" t="s">
        <v>5511</v>
      </c>
      <c r="B1609" s="1" t="s">
        <v>5512</v>
      </c>
      <c r="C1609" s="1" t="s">
        <v>1527</v>
      </c>
      <c r="D1609" s="1" t="s">
        <v>5513</v>
      </c>
      <c r="E1609" s="1" t="s">
        <v>88</v>
      </c>
      <c r="F1609" s="1" t="s">
        <v>432</v>
      </c>
      <c r="G1609" s="1" t="s">
        <v>283</v>
      </c>
      <c r="H1609" s="1" t="s">
        <v>2652</v>
      </c>
      <c r="K1609" s="1" t="s">
        <v>170</v>
      </c>
      <c r="L1609" s="1" t="s">
        <v>2653</v>
      </c>
      <c r="M1609" s="1" t="s">
        <v>465</v>
      </c>
      <c r="N1609" s="1" t="s">
        <v>5514</v>
      </c>
      <c r="O1609" s="1" t="s">
        <v>5515</v>
      </c>
      <c r="P1609" s="1" t="s">
        <v>5516</v>
      </c>
      <c r="Z1609" s="1" t="s">
        <v>71</v>
      </c>
      <c r="AE1609" s="1" t="s">
        <v>5507</v>
      </c>
      <c r="AH1609" s="1" t="s">
        <v>73</v>
      </c>
      <c r="AK1609" s="1" t="s">
        <v>71</v>
      </c>
      <c r="AM1609" s="1" t="s">
        <v>71</v>
      </c>
      <c r="AN1609" s="1" t="s">
        <v>71</v>
      </c>
      <c r="AS1609" s="1" t="s">
        <v>71</v>
      </c>
      <c r="AX1609" s="1" t="s">
        <v>71</v>
      </c>
      <c r="BH1609" s="1" t="s">
        <v>71</v>
      </c>
    </row>
    <row r="1610" customFormat="false" ht="15" hidden="false" customHeight="false" outlineLevel="0" collapsed="false">
      <c r="A1610" s="1" t="s">
        <v>5517</v>
      </c>
      <c r="B1610" s="1" t="s">
        <v>5518</v>
      </c>
      <c r="C1610" s="1" t="s">
        <v>222</v>
      </c>
      <c r="D1610" s="1" t="s">
        <v>223</v>
      </c>
      <c r="E1610" s="1" t="s">
        <v>61</v>
      </c>
      <c r="F1610" s="1" t="s">
        <v>101</v>
      </c>
      <c r="G1610" s="1" t="s">
        <v>93</v>
      </c>
      <c r="H1610" s="1" t="s">
        <v>64</v>
      </c>
      <c r="K1610" s="1" t="s">
        <v>290</v>
      </c>
      <c r="L1610" s="1" t="s">
        <v>291</v>
      </c>
      <c r="M1610" s="1" t="s">
        <v>1387</v>
      </c>
      <c r="N1610" s="1" t="s">
        <v>105</v>
      </c>
      <c r="O1610" s="1" t="s">
        <v>106</v>
      </c>
      <c r="P1610" s="1" t="s">
        <v>3539</v>
      </c>
      <c r="U1610" s="1" t="s">
        <v>5517</v>
      </c>
      <c r="Z1610" s="1" t="s">
        <v>71</v>
      </c>
      <c r="AE1610" s="1" t="s">
        <v>5519</v>
      </c>
      <c r="AH1610" s="1" t="s">
        <v>73</v>
      </c>
      <c r="AK1610" s="1" t="s">
        <v>71</v>
      </c>
      <c r="AM1610" s="1" t="s">
        <v>71</v>
      </c>
      <c r="AN1610" s="1" t="s">
        <v>71</v>
      </c>
      <c r="AS1610" s="1" t="s">
        <v>71</v>
      </c>
      <c r="AX1610" s="1" t="s">
        <v>71</v>
      </c>
      <c r="AY1610" s="1" t="s">
        <v>59</v>
      </c>
      <c r="AZ1610" s="1" t="s">
        <v>74</v>
      </c>
      <c r="BH1610" s="1" t="s">
        <v>71</v>
      </c>
    </row>
    <row r="1611" customFormat="false" ht="15" hidden="false" customHeight="false" outlineLevel="0" collapsed="false">
      <c r="A1611" s="1" t="s">
        <v>5520</v>
      </c>
      <c r="B1611" s="1" t="s">
        <v>5521</v>
      </c>
      <c r="C1611" s="1" t="s">
        <v>136</v>
      </c>
      <c r="D1611" s="1" t="s">
        <v>208</v>
      </c>
      <c r="E1611" s="1" t="s">
        <v>61</v>
      </c>
      <c r="F1611" s="1" t="s">
        <v>101</v>
      </c>
      <c r="G1611" s="1" t="s">
        <v>93</v>
      </c>
      <c r="H1611" s="1" t="s">
        <v>64</v>
      </c>
      <c r="K1611" s="1" t="s">
        <v>206</v>
      </c>
      <c r="L1611" s="1" t="s">
        <v>1558</v>
      </c>
      <c r="M1611" s="1" t="s">
        <v>5354</v>
      </c>
      <c r="N1611" s="1" t="s">
        <v>105</v>
      </c>
      <c r="O1611" s="1" t="s">
        <v>106</v>
      </c>
      <c r="P1611" s="1" t="s">
        <v>3539</v>
      </c>
      <c r="U1611" s="1" t="s">
        <v>5520</v>
      </c>
      <c r="Z1611" s="1" t="s">
        <v>71</v>
      </c>
      <c r="AE1611" s="1" t="s">
        <v>5522</v>
      </c>
      <c r="AH1611" s="1" t="s">
        <v>73</v>
      </c>
      <c r="AK1611" s="1" t="s">
        <v>71</v>
      </c>
      <c r="AM1611" s="1" t="s">
        <v>71</v>
      </c>
      <c r="AN1611" s="1" t="s">
        <v>71</v>
      </c>
      <c r="AS1611" s="1" t="s">
        <v>71</v>
      </c>
      <c r="AX1611" s="1" t="s">
        <v>71</v>
      </c>
      <c r="AY1611" s="1" t="s">
        <v>59</v>
      </c>
      <c r="AZ1611" s="1" t="s">
        <v>74</v>
      </c>
      <c r="BH1611" s="1" t="s">
        <v>71</v>
      </c>
    </row>
    <row r="1612" customFormat="false" ht="15" hidden="false" customHeight="false" outlineLevel="0" collapsed="false">
      <c r="A1612" s="1" t="s">
        <v>5523</v>
      </c>
      <c r="B1612" s="1" t="s">
        <v>5524</v>
      </c>
      <c r="C1612" s="1" t="s">
        <v>213</v>
      </c>
      <c r="D1612" s="1" t="s">
        <v>214</v>
      </c>
      <c r="E1612" s="1" t="s">
        <v>61</v>
      </c>
      <c r="F1612" s="1" t="s">
        <v>101</v>
      </c>
      <c r="G1612" s="1" t="s">
        <v>93</v>
      </c>
      <c r="H1612" s="1" t="s">
        <v>64</v>
      </c>
      <c r="K1612" s="1" t="s">
        <v>582</v>
      </c>
      <c r="L1612" s="1" t="s">
        <v>4731</v>
      </c>
      <c r="M1612" s="1" t="s">
        <v>310</v>
      </c>
      <c r="N1612" s="1" t="s">
        <v>1177</v>
      </c>
      <c r="O1612" s="1" t="s">
        <v>1178</v>
      </c>
      <c r="P1612" s="1" t="s">
        <v>4732</v>
      </c>
      <c r="U1612" s="1" t="s">
        <v>5523</v>
      </c>
      <c r="Z1612" s="1" t="s">
        <v>71</v>
      </c>
      <c r="AE1612" s="1" t="s">
        <v>5525</v>
      </c>
      <c r="AH1612" s="1" t="s">
        <v>73</v>
      </c>
      <c r="AK1612" s="1" t="s">
        <v>71</v>
      </c>
      <c r="AM1612" s="1" t="s">
        <v>71</v>
      </c>
      <c r="AN1612" s="1" t="s">
        <v>71</v>
      </c>
      <c r="AS1612" s="1" t="s">
        <v>71</v>
      </c>
      <c r="AX1612" s="1" t="s">
        <v>71</v>
      </c>
      <c r="AY1612" s="1" t="s">
        <v>59</v>
      </c>
      <c r="AZ1612" s="1" t="s">
        <v>74</v>
      </c>
      <c r="BH1612" s="1" t="s">
        <v>71</v>
      </c>
    </row>
    <row r="1613" customFormat="false" ht="15" hidden="false" customHeight="false" outlineLevel="0" collapsed="false">
      <c r="A1613" s="1" t="s">
        <v>5526</v>
      </c>
      <c r="B1613" s="1" t="s">
        <v>5527</v>
      </c>
      <c r="C1613" s="1" t="s">
        <v>161</v>
      </c>
      <c r="D1613" s="1" t="s">
        <v>162</v>
      </c>
      <c r="E1613" s="1" t="s">
        <v>61</v>
      </c>
      <c r="F1613" s="1" t="s">
        <v>101</v>
      </c>
      <c r="G1613" s="1" t="s">
        <v>93</v>
      </c>
      <c r="H1613" s="1" t="s">
        <v>64</v>
      </c>
      <c r="K1613" s="1" t="s">
        <v>206</v>
      </c>
      <c r="L1613" s="1" t="s">
        <v>1558</v>
      </c>
      <c r="M1613" s="1" t="s">
        <v>310</v>
      </c>
      <c r="N1613" s="1" t="s">
        <v>105</v>
      </c>
      <c r="O1613" s="1" t="s">
        <v>106</v>
      </c>
      <c r="P1613" s="1" t="s">
        <v>3539</v>
      </c>
      <c r="U1613" s="1" t="s">
        <v>5526</v>
      </c>
      <c r="Z1613" s="1" t="s">
        <v>71</v>
      </c>
      <c r="AE1613" s="1" t="s">
        <v>5525</v>
      </c>
      <c r="AH1613" s="1" t="s">
        <v>73</v>
      </c>
      <c r="AK1613" s="1" t="s">
        <v>71</v>
      </c>
      <c r="AM1613" s="1" t="s">
        <v>71</v>
      </c>
      <c r="AN1613" s="1" t="s">
        <v>71</v>
      </c>
      <c r="AS1613" s="1" t="s">
        <v>71</v>
      </c>
      <c r="AX1613" s="1" t="s">
        <v>71</v>
      </c>
      <c r="AY1613" s="1" t="s">
        <v>59</v>
      </c>
      <c r="AZ1613" s="1" t="s">
        <v>74</v>
      </c>
      <c r="BH1613" s="1" t="s">
        <v>71</v>
      </c>
    </row>
    <row r="1614" customFormat="false" ht="15" hidden="false" customHeight="false" outlineLevel="0" collapsed="false">
      <c r="A1614" s="1" t="s">
        <v>5528</v>
      </c>
      <c r="B1614" s="1" t="s">
        <v>5529</v>
      </c>
      <c r="C1614" s="1" t="s">
        <v>1556</v>
      </c>
      <c r="D1614" s="1" t="s">
        <v>5530</v>
      </c>
      <c r="E1614" s="1" t="s">
        <v>61</v>
      </c>
      <c r="F1614" s="1" t="s">
        <v>101</v>
      </c>
      <c r="G1614" s="1" t="s">
        <v>148</v>
      </c>
      <c r="H1614" s="1" t="s">
        <v>231</v>
      </c>
      <c r="K1614" s="1" t="s">
        <v>240</v>
      </c>
      <c r="L1614" s="1" t="s">
        <v>241</v>
      </c>
      <c r="M1614" s="1" t="s">
        <v>310</v>
      </c>
      <c r="N1614" s="1" t="s">
        <v>243</v>
      </c>
      <c r="O1614" s="1" t="s">
        <v>244</v>
      </c>
      <c r="P1614" s="1" t="s">
        <v>3503</v>
      </c>
      <c r="U1614" s="1" t="s">
        <v>5528</v>
      </c>
      <c r="Z1614" s="1" t="s">
        <v>71</v>
      </c>
      <c r="AE1614" s="1" t="s">
        <v>5531</v>
      </c>
      <c r="AH1614" s="1" t="s">
        <v>73</v>
      </c>
      <c r="AK1614" s="1" t="s">
        <v>71</v>
      </c>
      <c r="AM1614" s="1" t="s">
        <v>71</v>
      </c>
      <c r="AN1614" s="1" t="s">
        <v>71</v>
      </c>
      <c r="AS1614" s="1" t="s">
        <v>71</v>
      </c>
      <c r="AX1614" s="1" t="s">
        <v>71</v>
      </c>
      <c r="AY1614" s="1" t="s">
        <v>59</v>
      </c>
      <c r="AZ1614" s="1" t="s">
        <v>74</v>
      </c>
      <c r="BH1614" s="1" t="s">
        <v>71</v>
      </c>
    </row>
    <row r="1615" customFormat="false" ht="15" hidden="false" customHeight="false" outlineLevel="0" collapsed="false">
      <c r="A1615" s="1" t="s">
        <v>5532</v>
      </c>
      <c r="B1615" s="1" t="s">
        <v>5533</v>
      </c>
      <c r="C1615" s="1" t="s">
        <v>1556</v>
      </c>
      <c r="D1615" s="1" t="s">
        <v>5530</v>
      </c>
      <c r="E1615" s="1" t="s">
        <v>61</v>
      </c>
      <c r="F1615" s="1" t="s">
        <v>101</v>
      </c>
      <c r="G1615" s="1" t="s">
        <v>148</v>
      </c>
      <c r="H1615" s="1" t="s">
        <v>231</v>
      </c>
      <c r="K1615" s="1" t="s">
        <v>240</v>
      </c>
      <c r="L1615" s="1" t="s">
        <v>241</v>
      </c>
      <c r="M1615" s="1" t="s">
        <v>310</v>
      </c>
      <c r="N1615" s="1" t="s">
        <v>243</v>
      </c>
      <c r="O1615" s="1" t="s">
        <v>244</v>
      </c>
      <c r="P1615" s="1" t="s">
        <v>3503</v>
      </c>
      <c r="U1615" s="1" t="s">
        <v>5532</v>
      </c>
      <c r="Z1615" s="1" t="s">
        <v>71</v>
      </c>
      <c r="AE1615" s="1" t="s">
        <v>5531</v>
      </c>
      <c r="AH1615" s="1" t="s">
        <v>73</v>
      </c>
      <c r="AK1615" s="1" t="s">
        <v>71</v>
      </c>
      <c r="AM1615" s="1" t="s">
        <v>71</v>
      </c>
      <c r="AN1615" s="1" t="s">
        <v>71</v>
      </c>
      <c r="AS1615" s="1" t="s">
        <v>71</v>
      </c>
      <c r="AX1615" s="1" t="s">
        <v>71</v>
      </c>
      <c r="AY1615" s="1" t="s">
        <v>59</v>
      </c>
      <c r="AZ1615" s="1" t="s">
        <v>74</v>
      </c>
      <c r="BH1615" s="1" t="s">
        <v>71</v>
      </c>
    </row>
    <row r="1616" customFormat="false" ht="15" hidden="false" customHeight="false" outlineLevel="0" collapsed="false">
      <c r="A1616" s="1" t="s">
        <v>5534</v>
      </c>
      <c r="B1616" s="1" t="s">
        <v>5535</v>
      </c>
      <c r="C1616" s="1" t="s">
        <v>1556</v>
      </c>
      <c r="D1616" s="1" t="s">
        <v>5530</v>
      </c>
      <c r="E1616" s="1" t="s">
        <v>61</v>
      </c>
      <c r="F1616" s="1" t="s">
        <v>101</v>
      </c>
      <c r="G1616" s="1" t="s">
        <v>148</v>
      </c>
      <c r="H1616" s="1" t="s">
        <v>231</v>
      </c>
      <c r="K1616" s="1" t="s">
        <v>168</v>
      </c>
      <c r="L1616" s="1" t="s">
        <v>1423</v>
      </c>
      <c r="M1616" s="1" t="s">
        <v>828</v>
      </c>
      <c r="N1616" s="1" t="s">
        <v>375</v>
      </c>
      <c r="O1616" s="1" t="s">
        <v>376</v>
      </c>
      <c r="P1616" s="1" t="s">
        <v>5536</v>
      </c>
      <c r="U1616" s="1" t="s">
        <v>5534</v>
      </c>
      <c r="Z1616" s="1" t="s">
        <v>71</v>
      </c>
      <c r="AE1616" s="1" t="s">
        <v>5531</v>
      </c>
      <c r="AH1616" s="1" t="s">
        <v>73</v>
      </c>
      <c r="AK1616" s="1" t="s">
        <v>71</v>
      </c>
      <c r="AM1616" s="1" t="s">
        <v>71</v>
      </c>
      <c r="AN1616" s="1" t="s">
        <v>71</v>
      </c>
      <c r="AS1616" s="1" t="s">
        <v>71</v>
      </c>
      <c r="AX1616" s="1" t="s">
        <v>71</v>
      </c>
      <c r="AY1616" s="1" t="s">
        <v>59</v>
      </c>
      <c r="AZ1616" s="1" t="s">
        <v>74</v>
      </c>
      <c r="BH1616" s="1" t="s">
        <v>71</v>
      </c>
    </row>
    <row r="1617" customFormat="false" ht="15" hidden="false" customHeight="false" outlineLevel="0" collapsed="false">
      <c r="A1617" s="1" t="s">
        <v>5537</v>
      </c>
      <c r="B1617" s="1" t="s">
        <v>5538</v>
      </c>
      <c r="C1617" s="1" t="s">
        <v>161</v>
      </c>
      <c r="D1617" s="1" t="s">
        <v>162</v>
      </c>
      <c r="E1617" s="1" t="s">
        <v>61</v>
      </c>
      <c r="F1617" s="1" t="s">
        <v>101</v>
      </c>
      <c r="G1617" s="1" t="s">
        <v>93</v>
      </c>
      <c r="H1617" s="1" t="s">
        <v>64</v>
      </c>
      <c r="K1617" s="1" t="s">
        <v>443</v>
      </c>
      <c r="L1617" s="1" t="s">
        <v>5539</v>
      </c>
      <c r="M1617" s="1" t="s">
        <v>310</v>
      </c>
      <c r="N1617" s="1" t="s">
        <v>105</v>
      </c>
      <c r="O1617" s="1" t="s">
        <v>106</v>
      </c>
      <c r="P1617" s="1" t="s">
        <v>3539</v>
      </c>
      <c r="U1617" s="1" t="s">
        <v>5537</v>
      </c>
      <c r="Z1617" s="1" t="s">
        <v>71</v>
      </c>
      <c r="AE1617" s="1" t="s">
        <v>5540</v>
      </c>
      <c r="AH1617" s="1" t="s">
        <v>73</v>
      </c>
      <c r="AK1617" s="1" t="s">
        <v>71</v>
      </c>
      <c r="AM1617" s="1" t="s">
        <v>71</v>
      </c>
      <c r="AN1617" s="1" t="s">
        <v>71</v>
      </c>
      <c r="AS1617" s="1" t="s">
        <v>71</v>
      </c>
      <c r="AX1617" s="1" t="s">
        <v>71</v>
      </c>
      <c r="AY1617" s="1" t="s">
        <v>59</v>
      </c>
      <c r="AZ1617" s="1" t="s">
        <v>74</v>
      </c>
      <c r="BH1617" s="1" t="s">
        <v>71</v>
      </c>
    </row>
    <row r="1618" customFormat="false" ht="15" hidden="false" customHeight="false" outlineLevel="0" collapsed="false">
      <c r="A1618" s="1" t="s">
        <v>5541</v>
      </c>
      <c r="B1618" s="1" t="s">
        <v>5542</v>
      </c>
      <c r="C1618" s="1" t="s">
        <v>5543</v>
      </c>
      <c r="D1618" s="1" t="s">
        <v>5544</v>
      </c>
      <c r="E1618" s="1" t="s">
        <v>61</v>
      </c>
      <c r="F1618" s="1" t="s">
        <v>101</v>
      </c>
      <c r="G1618" s="1" t="s">
        <v>93</v>
      </c>
      <c r="H1618" s="1" t="s">
        <v>64</v>
      </c>
      <c r="K1618" s="1" t="s">
        <v>229</v>
      </c>
      <c r="L1618" s="1" t="s">
        <v>605</v>
      </c>
      <c r="M1618" s="1" t="s">
        <v>104</v>
      </c>
      <c r="N1618" s="1" t="s">
        <v>105</v>
      </c>
      <c r="O1618" s="1" t="s">
        <v>106</v>
      </c>
      <c r="P1618" s="1" t="s">
        <v>3539</v>
      </c>
      <c r="U1618" s="1" t="s">
        <v>5541</v>
      </c>
      <c r="Z1618" s="1" t="s">
        <v>71</v>
      </c>
      <c r="AE1618" s="1" t="s">
        <v>5545</v>
      </c>
      <c r="AH1618" s="1" t="s">
        <v>73</v>
      </c>
      <c r="AK1618" s="1" t="s">
        <v>71</v>
      </c>
      <c r="AM1618" s="1" t="s">
        <v>71</v>
      </c>
      <c r="AN1618" s="1" t="s">
        <v>71</v>
      </c>
      <c r="AS1618" s="1" t="s">
        <v>71</v>
      </c>
      <c r="AX1618" s="1" t="s">
        <v>71</v>
      </c>
      <c r="AY1618" s="1" t="s">
        <v>59</v>
      </c>
      <c r="AZ1618" s="1" t="s">
        <v>74</v>
      </c>
      <c r="BH1618" s="1" t="s">
        <v>71</v>
      </c>
    </row>
    <row r="1619" customFormat="false" ht="15" hidden="false" customHeight="false" outlineLevel="0" collapsed="false">
      <c r="A1619" s="1" t="s">
        <v>5546</v>
      </c>
      <c r="B1619" s="1" t="s">
        <v>5547</v>
      </c>
      <c r="C1619" s="1" t="s">
        <v>5543</v>
      </c>
      <c r="D1619" s="1" t="s">
        <v>5544</v>
      </c>
      <c r="E1619" s="1" t="s">
        <v>61</v>
      </c>
      <c r="F1619" s="1" t="s">
        <v>101</v>
      </c>
      <c r="G1619" s="1" t="s">
        <v>93</v>
      </c>
      <c r="H1619" s="1" t="s">
        <v>64</v>
      </c>
      <c r="K1619" s="1" t="s">
        <v>5548</v>
      </c>
      <c r="L1619" s="1" t="s">
        <v>5549</v>
      </c>
      <c r="M1619" s="1" t="s">
        <v>258</v>
      </c>
      <c r="N1619" s="1" t="s">
        <v>105</v>
      </c>
      <c r="O1619" s="1" t="s">
        <v>106</v>
      </c>
      <c r="P1619" s="1" t="s">
        <v>3539</v>
      </c>
      <c r="U1619" s="1" t="s">
        <v>5546</v>
      </c>
      <c r="Z1619" s="1" t="s">
        <v>71</v>
      </c>
      <c r="AE1619" s="1" t="s">
        <v>5545</v>
      </c>
      <c r="AH1619" s="1" t="s">
        <v>73</v>
      </c>
      <c r="AK1619" s="1" t="s">
        <v>71</v>
      </c>
      <c r="AM1619" s="1" t="s">
        <v>71</v>
      </c>
      <c r="AN1619" s="1" t="s">
        <v>71</v>
      </c>
      <c r="AS1619" s="1" t="s">
        <v>71</v>
      </c>
      <c r="AX1619" s="1" t="s">
        <v>71</v>
      </c>
      <c r="AY1619" s="1" t="s">
        <v>59</v>
      </c>
      <c r="AZ1619" s="1" t="s">
        <v>74</v>
      </c>
      <c r="BH1619" s="1" t="s">
        <v>71</v>
      </c>
    </row>
    <row r="1620" customFormat="false" ht="15" hidden="false" customHeight="false" outlineLevel="0" collapsed="false">
      <c r="A1620" s="1" t="s">
        <v>5550</v>
      </c>
      <c r="B1620" s="1" t="s">
        <v>5551</v>
      </c>
      <c r="C1620" s="1" t="s">
        <v>213</v>
      </c>
      <c r="D1620" s="1" t="s">
        <v>214</v>
      </c>
      <c r="E1620" s="1" t="s">
        <v>61</v>
      </c>
      <c r="F1620" s="1" t="s">
        <v>101</v>
      </c>
      <c r="G1620" s="1" t="s">
        <v>93</v>
      </c>
      <c r="H1620" s="1" t="s">
        <v>64</v>
      </c>
      <c r="K1620" s="1" t="s">
        <v>3150</v>
      </c>
      <c r="L1620" s="1" t="s">
        <v>3151</v>
      </c>
      <c r="M1620" s="1" t="s">
        <v>104</v>
      </c>
      <c r="N1620" s="1" t="s">
        <v>203</v>
      </c>
      <c r="O1620" s="1" t="s">
        <v>204</v>
      </c>
      <c r="P1620" s="1" t="s">
        <v>3536</v>
      </c>
      <c r="U1620" s="1" t="s">
        <v>5550</v>
      </c>
      <c r="Z1620" s="1" t="s">
        <v>71</v>
      </c>
      <c r="AE1620" s="1" t="s">
        <v>5552</v>
      </c>
      <c r="AH1620" s="1" t="s">
        <v>73</v>
      </c>
      <c r="AK1620" s="1" t="s">
        <v>71</v>
      </c>
      <c r="AM1620" s="1" t="s">
        <v>71</v>
      </c>
      <c r="AN1620" s="1" t="s">
        <v>71</v>
      </c>
      <c r="AS1620" s="1" t="s">
        <v>71</v>
      </c>
      <c r="AX1620" s="1" t="s">
        <v>71</v>
      </c>
      <c r="AY1620" s="1" t="s">
        <v>59</v>
      </c>
      <c r="AZ1620" s="1" t="s">
        <v>74</v>
      </c>
      <c r="BH1620" s="1" t="s">
        <v>71</v>
      </c>
    </row>
    <row r="1621" customFormat="false" ht="15" hidden="false" customHeight="false" outlineLevel="0" collapsed="false">
      <c r="A1621" s="1" t="s">
        <v>5553</v>
      </c>
      <c r="B1621" s="1" t="s">
        <v>5554</v>
      </c>
      <c r="C1621" s="1" t="s">
        <v>5543</v>
      </c>
      <c r="D1621" s="1" t="s">
        <v>5544</v>
      </c>
      <c r="E1621" s="1" t="s">
        <v>61</v>
      </c>
      <c r="F1621" s="1" t="s">
        <v>101</v>
      </c>
      <c r="G1621" s="1" t="s">
        <v>93</v>
      </c>
      <c r="H1621" s="1" t="s">
        <v>64</v>
      </c>
      <c r="K1621" s="1" t="s">
        <v>201</v>
      </c>
      <c r="L1621" s="1" t="s">
        <v>4102</v>
      </c>
      <c r="M1621" s="1" t="s">
        <v>104</v>
      </c>
      <c r="N1621" s="1" t="s">
        <v>105</v>
      </c>
      <c r="O1621" s="1" t="s">
        <v>106</v>
      </c>
      <c r="P1621" s="1" t="s">
        <v>3539</v>
      </c>
      <c r="U1621" s="1" t="s">
        <v>5553</v>
      </c>
      <c r="Z1621" s="1" t="s">
        <v>71</v>
      </c>
      <c r="AE1621" s="1" t="s">
        <v>5555</v>
      </c>
      <c r="AH1621" s="1" t="s">
        <v>73</v>
      </c>
      <c r="AK1621" s="1" t="s">
        <v>71</v>
      </c>
      <c r="AM1621" s="1" t="s">
        <v>71</v>
      </c>
      <c r="AN1621" s="1" t="s">
        <v>71</v>
      </c>
      <c r="AS1621" s="1" t="s">
        <v>71</v>
      </c>
      <c r="AX1621" s="1" t="s">
        <v>71</v>
      </c>
      <c r="AY1621" s="1" t="s">
        <v>59</v>
      </c>
      <c r="AZ1621" s="1" t="s">
        <v>74</v>
      </c>
      <c r="BH1621" s="1" t="s">
        <v>71</v>
      </c>
    </row>
    <row r="1622" customFormat="false" ht="15" hidden="false" customHeight="false" outlineLevel="0" collapsed="false">
      <c r="A1622" s="1" t="s">
        <v>5556</v>
      </c>
      <c r="B1622" s="1" t="s">
        <v>5557</v>
      </c>
      <c r="C1622" s="1" t="s">
        <v>5543</v>
      </c>
      <c r="D1622" s="1" t="s">
        <v>5544</v>
      </c>
      <c r="E1622" s="1" t="s">
        <v>61</v>
      </c>
      <c r="F1622" s="1" t="s">
        <v>101</v>
      </c>
      <c r="G1622" s="1" t="s">
        <v>93</v>
      </c>
      <c r="H1622" s="1" t="s">
        <v>64</v>
      </c>
      <c r="K1622" s="1" t="s">
        <v>2214</v>
      </c>
      <c r="L1622" s="1" t="s">
        <v>5558</v>
      </c>
      <c r="M1622" s="1" t="s">
        <v>104</v>
      </c>
      <c r="N1622" s="1" t="s">
        <v>105</v>
      </c>
      <c r="O1622" s="1" t="s">
        <v>106</v>
      </c>
      <c r="P1622" s="1" t="s">
        <v>3539</v>
      </c>
      <c r="U1622" s="1" t="s">
        <v>5556</v>
      </c>
      <c r="Z1622" s="1" t="s">
        <v>71</v>
      </c>
      <c r="AE1622" s="1" t="s">
        <v>5555</v>
      </c>
      <c r="AH1622" s="1" t="s">
        <v>73</v>
      </c>
      <c r="AK1622" s="1" t="s">
        <v>71</v>
      </c>
      <c r="AM1622" s="1" t="s">
        <v>71</v>
      </c>
      <c r="AN1622" s="1" t="s">
        <v>71</v>
      </c>
      <c r="AS1622" s="1" t="s">
        <v>71</v>
      </c>
      <c r="AX1622" s="1" t="s">
        <v>71</v>
      </c>
      <c r="AY1622" s="1" t="s">
        <v>59</v>
      </c>
      <c r="AZ1622" s="1" t="s">
        <v>74</v>
      </c>
      <c r="BH1622" s="1" t="s">
        <v>71</v>
      </c>
    </row>
    <row r="1623" customFormat="false" ht="15" hidden="false" customHeight="false" outlineLevel="0" collapsed="false">
      <c r="A1623" s="1" t="s">
        <v>5559</v>
      </c>
      <c r="B1623" s="1" t="s">
        <v>5560</v>
      </c>
      <c r="C1623" s="1" t="s">
        <v>5543</v>
      </c>
      <c r="D1623" s="1" t="s">
        <v>5544</v>
      </c>
      <c r="E1623" s="1" t="s">
        <v>61</v>
      </c>
      <c r="F1623" s="1" t="s">
        <v>101</v>
      </c>
      <c r="G1623" s="1" t="s">
        <v>93</v>
      </c>
      <c r="H1623" s="1" t="s">
        <v>64</v>
      </c>
      <c r="K1623" s="1" t="s">
        <v>1784</v>
      </c>
      <c r="L1623" s="1" t="s">
        <v>1785</v>
      </c>
      <c r="M1623" s="1" t="s">
        <v>104</v>
      </c>
      <c r="N1623" s="1" t="s">
        <v>105</v>
      </c>
      <c r="O1623" s="1" t="s">
        <v>106</v>
      </c>
      <c r="P1623" s="1" t="s">
        <v>3539</v>
      </c>
      <c r="U1623" s="1" t="s">
        <v>5559</v>
      </c>
      <c r="Z1623" s="1" t="s">
        <v>71</v>
      </c>
      <c r="AE1623" s="1" t="s">
        <v>5555</v>
      </c>
      <c r="AH1623" s="1" t="s">
        <v>73</v>
      </c>
      <c r="AK1623" s="1" t="s">
        <v>71</v>
      </c>
      <c r="AM1623" s="1" t="s">
        <v>71</v>
      </c>
      <c r="AN1623" s="1" t="s">
        <v>71</v>
      </c>
      <c r="AS1623" s="1" t="s">
        <v>71</v>
      </c>
      <c r="AX1623" s="1" t="s">
        <v>71</v>
      </c>
      <c r="AY1623" s="1" t="s">
        <v>59</v>
      </c>
      <c r="AZ1623" s="1" t="s">
        <v>74</v>
      </c>
      <c r="BH1623" s="1" t="s">
        <v>71</v>
      </c>
    </row>
    <row r="1624" customFormat="false" ht="15" hidden="false" customHeight="false" outlineLevel="0" collapsed="false">
      <c r="A1624" s="1" t="s">
        <v>5561</v>
      </c>
      <c r="B1624" s="1" t="s">
        <v>5562</v>
      </c>
      <c r="C1624" s="1" t="s">
        <v>1221</v>
      </c>
      <c r="D1624" s="1" t="s">
        <v>2466</v>
      </c>
      <c r="E1624" s="1" t="s">
        <v>82</v>
      </c>
      <c r="F1624" s="1" t="s">
        <v>391</v>
      </c>
      <c r="G1624" s="1" t="s">
        <v>213</v>
      </c>
      <c r="H1624" s="1" t="s">
        <v>477</v>
      </c>
      <c r="K1624" s="1" t="s">
        <v>478</v>
      </c>
      <c r="L1624" s="1" t="s">
        <v>479</v>
      </c>
      <c r="M1624" s="1" t="s">
        <v>5114</v>
      </c>
      <c r="N1624" s="1" t="s">
        <v>4722</v>
      </c>
      <c r="O1624" s="1" t="s">
        <v>4723</v>
      </c>
      <c r="P1624" s="1" t="s">
        <v>4724</v>
      </c>
      <c r="Z1624" s="1" t="s">
        <v>71</v>
      </c>
      <c r="AE1624" s="1" t="s">
        <v>5555</v>
      </c>
      <c r="AH1624" s="1" t="s">
        <v>73</v>
      </c>
      <c r="AK1624" s="1" t="s">
        <v>71</v>
      </c>
      <c r="AM1624" s="1" t="s">
        <v>71</v>
      </c>
      <c r="AN1624" s="1" t="s">
        <v>71</v>
      </c>
      <c r="AS1624" s="1" t="s">
        <v>71</v>
      </c>
      <c r="AX1624" s="1" t="s">
        <v>71</v>
      </c>
      <c r="BH1624" s="1" t="s">
        <v>71</v>
      </c>
    </row>
    <row r="1625" customFormat="false" ht="15" hidden="false" customHeight="false" outlineLevel="0" collapsed="false">
      <c r="A1625" s="1" t="s">
        <v>5563</v>
      </c>
      <c r="B1625" s="1" t="s">
        <v>5564</v>
      </c>
      <c r="C1625" s="1" t="s">
        <v>5565</v>
      </c>
      <c r="D1625" s="1" t="s">
        <v>5566</v>
      </c>
      <c r="E1625" s="1" t="s">
        <v>65</v>
      </c>
      <c r="F1625" s="1" t="s">
        <v>119</v>
      </c>
      <c r="G1625" s="1" t="s">
        <v>88</v>
      </c>
      <c r="H1625" s="1" t="s">
        <v>255</v>
      </c>
      <c r="K1625" s="1" t="s">
        <v>215</v>
      </c>
      <c r="L1625" s="1" t="s">
        <v>5567</v>
      </c>
      <c r="M1625" s="1" t="s">
        <v>296</v>
      </c>
      <c r="N1625" s="1" t="s">
        <v>259</v>
      </c>
      <c r="O1625" s="1" t="s">
        <v>260</v>
      </c>
      <c r="P1625" s="1" t="s">
        <v>3768</v>
      </c>
      <c r="U1625" s="1" t="s">
        <v>5563</v>
      </c>
      <c r="Z1625" s="1" t="s">
        <v>71</v>
      </c>
      <c r="AE1625" s="1" t="s">
        <v>5568</v>
      </c>
      <c r="AH1625" s="1" t="s">
        <v>73</v>
      </c>
      <c r="AK1625" s="1" t="s">
        <v>71</v>
      </c>
      <c r="AM1625" s="1" t="s">
        <v>71</v>
      </c>
      <c r="AN1625" s="1" t="s">
        <v>71</v>
      </c>
      <c r="AS1625" s="1" t="s">
        <v>71</v>
      </c>
      <c r="AX1625" s="1" t="s">
        <v>71</v>
      </c>
      <c r="AY1625" s="1" t="s">
        <v>59</v>
      </c>
      <c r="AZ1625" s="1" t="s">
        <v>74</v>
      </c>
      <c r="BH1625" s="1" t="s">
        <v>71</v>
      </c>
    </row>
    <row r="1626" customFormat="false" ht="15" hidden="false" customHeight="false" outlineLevel="0" collapsed="false">
      <c r="A1626" s="1" t="s">
        <v>5569</v>
      </c>
      <c r="B1626" s="1" t="s">
        <v>5570</v>
      </c>
      <c r="C1626" s="1" t="s">
        <v>3604</v>
      </c>
      <c r="D1626" s="1" t="s">
        <v>3605</v>
      </c>
      <c r="E1626" s="1" t="s">
        <v>82</v>
      </c>
      <c r="F1626" s="1" t="s">
        <v>391</v>
      </c>
      <c r="G1626" s="1" t="s">
        <v>97</v>
      </c>
      <c r="H1626" s="1" t="s">
        <v>406</v>
      </c>
      <c r="K1626" s="1" t="s">
        <v>65</v>
      </c>
      <c r="L1626" s="1" t="s">
        <v>860</v>
      </c>
      <c r="M1626" s="1" t="s">
        <v>496</v>
      </c>
      <c r="N1626" s="1" t="s">
        <v>5571</v>
      </c>
      <c r="O1626" s="1" t="s">
        <v>5572</v>
      </c>
      <c r="P1626" s="1" t="s">
        <v>5573</v>
      </c>
      <c r="Z1626" s="1" t="s">
        <v>71</v>
      </c>
      <c r="AE1626" s="1" t="s">
        <v>5574</v>
      </c>
      <c r="AH1626" s="1" t="s">
        <v>73</v>
      </c>
      <c r="AK1626" s="1" t="s">
        <v>71</v>
      </c>
      <c r="AM1626" s="1" t="s">
        <v>71</v>
      </c>
      <c r="AN1626" s="1" t="s">
        <v>71</v>
      </c>
      <c r="AS1626" s="1" t="s">
        <v>71</v>
      </c>
      <c r="AX1626" s="1" t="s">
        <v>71</v>
      </c>
      <c r="BH1626" s="1" t="s">
        <v>71</v>
      </c>
    </row>
    <row r="1627" customFormat="false" ht="15" hidden="false" customHeight="false" outlineLevel="0" collapsed="false">
      <c r="A1627" s="1" t="s">
        <v>5575</v>
      </c>
      <c r="B1627" s="1" t="s">
        <v>5576</v>
      </c>
      <c r="C1627" s="1" t="s">
        <v>213</v>
      </c>
      <c r="D1627" s="1" t="s">
        <v>214</v>
      </c>
      <c r="E1627" s="1" t="s">
        <v>65</v>
      </c>
      <c r="F1627" s="1" t="s">
        <v>119</v>
      </c>
      <c r="G1627" s="1" t="s">
        <v>65</v>
      </c>
      <c r="H1627" s="1" t="s">
        <v>64</v>
      </c>
      <c r="K1627" s="1" t="s">
        <v>201</v>
      </c>
      <c r="L1627" s="1" t="s">
        <v>1558</v>
      </c>
      <c r="M1627" s="1" t="s">
        <v>104</v>
      </c>
      <c r="N1627" s="1" t="s">
        <v>123</v>
      </c>
      <c r="O1627" s="1" t="s">
        <v>124</v>
      </c>
      <c r="P1627" s="1" t="s">
        <v>4161</v>
      </c>
      <c r="U1627" s="1" t="s">
        <v>5575</v>
      </c>
      <c r="Z1627" s="1" t="s">
        <v>71</v>
      </c>
      <c r="AE1627" s="1" t="s">
        <v>5577</v>
      </c>
      <c r="AH1627" s="1" t="s">
        <v>73</v>
      </c>
      <c r="AK1627" s="1" t="s">
        <v>71</v>
      </c>
      <c r="AM1627" s="1" t="s">
        <v>71</v>
      </c>
      <c r="AN1627" s="1" t="s">
        <v>71</v>
      </c>
      <c r="AS1627" s="1" t="s">
        <v>71</v>
      </c>
      <c r="AX1627" s="1" t="s">
        <v>71</v>
      </c>
      <c r="AY1627" s="1" t="s">
        <v>59</v>
      </c>
      <c r="AZ1627" s="1" t="s">
        <v>74</v>
      </c>
      <c r="BH1627" s="1" t="s">
        <v>71</v>
      </c>
    </row>
    <row r="1628" customFormat="false" ht="15" hidden="false" customHeight="false" outlineLevel="0" collapsed="false">
      <c r="A1628" s="1" t="s">
        <v>5578</v>
      </c>
      <c r="B1628" s="1" t="s">
        <v>5579</v>
      </c>
      <c r="C1628" s="1" t="s">
        <v>1559</v>
      </c>
      <c r="D1628" s="1" t="s">
        <v>208</v>
      </c>
      <c r="E1628" s="1" t="s">
        <v>61</v>
      </c>
      <c r="F1628" s="1" t="s">
        <v>101</v>
      </c>
      <c r="G1628" s="1" t="s">
        <v>93</v>
      </c>
      <c r="H1628" s="1" t="s">
        <v>64</v>
      </c>
      <c r="K1628" s="1" t="s">
        <v>126</v>
      </c>
      <c r="L1628" s="1" t="s">
        <v>335</v>
      </c>
      <c r="M1628" s="1" t="s">
        <v>5580</v>
      </c>
      <c r="N1628" s="1" t="s">
        <v>105</v>
      </c>
      <c r="O1628" s="1" t="s">
        <v>106</v>
      </c>
      <c r="P1628" s="1" t="s">
        <v>3539</v>
      </c>
      <c r="U1628" s="1" t="s">
        <v>5578</v>
      </c>
      <c r="Z1628" s="1" t="s">
        <v>71</v>
      </c>
      <c r="AE1628" s="1" t="s">
        <v>5577</v>
      </c>
      <c r="AH1628" s="1" t="s">
        <v>73</v>
      </c>
      <c r="AK1628" s="1" t="s">
        <v>71</v>
      </c>
      <c r="AM1628" s="1" t="s">
        <v>71</v>
      </c>
      <c r="AN1628" s="1" t="s">
        <v>71</v>
      </c>
      <c r="AS1628" s="1" t="s">
        <v>71</v>
      </c>
      <c r="AX1628" s="1" t="s">
        <v>71</v>
      </c>
      <c r="AY1628" s="1" t="s">
        <v>59</v>
      </c>
      <c r="AZ1628" s="1" t="s">
        <v>74</v>
      </c>
      <c r="BH1628" s="1" t="s">
        <v>71</v>
      </c>
    </row>
    <row r="1629" customFormat="false" ht="15" hidden="false" customHeight="false" outlineLevel="0" collapsed="false">
      <c r="A1629" s="1" t="s">
        <v>5581</v>
      </c>
      <c r="B1629" s="1" t="s">
        <v>5582</v>
      </c>
      <c r="C1629" s="1" t="s">
        <v>136</v>
      </c>
      <c r="D1629" s="1" t="s">
        <v>208</v>
      </c>
      <c r="E1629" s="1" t="s">
        <v>61</v>
      </c>
      <c r="F1629" s="1" t="s">
        <v>101</v>
      </c>
      <c r="G1629" s="1" t="s">
        <v>1479</v>
      </c>
      <c r="H1629" s="1" t="s">
        <v>5583</v>
      </c>
      <c r="K1629" s="1" t="s">
        <v>275</v>
      </c>
      <c r="L1629" s="1" t="s">
        <v>5584</v>
      </c>
      <c r="M1629" s="1" t="s">
        <v>242</v>
      </c>
      <c r="N1629" s="1" t="s">
        <v>4854</v>
      </c>
      <c r="O1629" s="1" t="s">
        <v>4855</v>
      </c>
      <c r="P1629" s="1" t="s">
        <v>4856</v>
      </c>
      <c r="U1629" s="1" t="s">
        <v>5581</v>
      </c>
      <c r="Z1629" s="1" t="s">
        <v>71</v>
      </c>
      <c r="AE1629" s="1" t="s">
        <v>5577</v>
      </c>
      <c r="AH1629" s="1" t="s">
        <v>73</v>
      </c>
      <c r="AK1629" s="1" t="s">
        <v>71</v>
      </c>
      <c r="AM1629" s="1" t="s">
        <v>71</v>
      </c>
      <c r="AN1629" s="1" t="s">
        <v>71</v>
      </c>
      <c r="AS1629" s="1" t="s">
        <v>71</v>
      </c>
      <c r="AX1629" s="1" t="s">
        <v>71</v>
      </c>
      <c r="AY1629" s="1" t="s">
        <v>59</v>
      </c>
      <c r="AZ1629" s="1" t="s">
        <v>74</v>
      </c>
      <c r="BH1629" s="1" t="s">
        <v>71</v>
      </c>
    </row>
    <row r="1630" customFormat="false" ht="15" hidden="false" customHeight="false" outlineLevel="0" collapsed="false">
      <c r="A1630" s="1" t="s">
        <v>5585</v>
      </c>
      <c r="B1630" s="1" t="s">
        <v>5586</v>
      </c>
      <c r="C1630" s="1" t="s">
        <v>1343</v>
      </c>
      <c r="D1630" s="1" t="s">
        <v>1344</v>
      </c>
      <c r="E1630" s="1" t="s">
        <v>65</v>
      </c>
      <c r="F1630" s="1" t="s">
        <v>119</v>
      </c>
      <c r="G1630" s="1" t="s">
        <v>65</v>
      </c>
      <c r="H1630" s="1" t="s">
        <v>64</v>
      </c>
      <c r="K1630" s="1" t="s">
        <v>5290</v>
      </c>
      <c r="L1630" s="1" t="s">
        <v>335</v>
      </c>
      <c r="M1630" s="1" t="s">
        <v>828</v>
      </c>
      <c r="N1630" s="1" t="s">
        <v>123</v>
      </c>
      <c r="O1630" s="1" t="s">
        <v>124</v>
      </c>
      <c r="P1630" s="1" t="s">
        <v>4161</v>
      </c>
      <c r="U1630" s="1" t="s">
        <v>5585</v>
      </c>
      <c r="Z1630" s="1" t="s">
        <v>71</v>
      </c>
      <c r="AE1630" s="1" t="s">
        <v>5587</v>
      </c>
      <c r="AH1630" s="1" t="s">
        <v>73</v>
      </c>
      <c r="AK1630" s="1" t="s">
        <v>71</v>
      </c>
      <c r="AM1630" s="1" t="s">
        <v>71</v>
      </c>
      <c r="AN1630" s="1" t="s">
        <v>71</v>
      </c>
      <c r="AS1630" s="1" t="s">
        <v>71</v>
      </c>
      <c r="AX1630" s="1" t="s">
        <v>71</v>
      </c>
      <c r="AY1630" s="1" t="s">
        <v>59</v>
      </c>
      <c r="AZ1630" s="1" t="s">
        <v>74</v>
      </c>
      <c r="BH1630" s="1" t="s">
        <v>71</v>
      </c>
    </row>
    <row r="1631" customFormat="false" ht="15" hidden="false" customHeight="false" outlineLevel="0" collapsed="false">
      <c r="A1631" s="1" t="s">
        <v>5588</v>
      </c>
      <c r="B1631" s="1" t="s">
        <v>5589</v>
      </c>
      <c r="C1631" s="1" t="s">
        <v>5543</v>
      </c>
      <c r="D1631" s="1" t="s">
        <v>5544</v>
      </c>
      <c r="E1631" s="1" t="s">
        <v>61</v>
      </c>
      <c r="F1631" s="1" t="s">
        <v>101</v>
      </c>
      <c r="G1631" s="1" t="s">
        <v>93</v>
      </c>
      <c r="H1631" s="1" t="s">
        <v>64</v>
      </c>
      <c r="K1631" s="1" t="s">
        <v>2190</v>
      </c>
      <c r="L1631" s="1" t="s">
        <v>5590</v>
      </c>
      <c r="M1631" s="1" t="s">
        <v>5591</v>
      </c>
      <c r="N1631" s="1" t="s">
        <v>5592</v>
      </c>
      <c r="O1631" s="1" t="s">
        <v>5593</v>
      </c>
      <c r="P1631" s="1" t="s">
        <v>5594</v>
      </c>
      <c r="U1631" s="1" t="s">
        <v>5588</v>
      </c>
      <c r="Z1631" s="1" t="s">
        <v>71</v>
      </c>
      <c r="AE1631" s="1" t="s">
        <v>5587</v>
      </c>
      <c r="AH1631" s="1" t="s">
        <v>73</v>
      </c>
      <c r="AK1631" s="1" t="s">
        <v>71</v>
      </c>
      <c r="AM1631" s="1" t="s">
        <v>71</v>
      </c>
      <c r="AN1631" s="1" t="s">
        <v>71</v>
      </c>
      <c r="AS1631" s="1" t="s">
        <v>71</v>
      </c>
      <c r="AX1631" s="1" t="s">
        <v>71</v>
      </c>
      <c r="AY1631" s="1" t="s">
        <v>59</v>
      </c>
      <c r="AZ1631" s="1" t="s">
        <v>74</v>
      </c>
      <c r="BH1631" s="1" t="s">
        <v>71</v>
      </c>
    </row>
    <row r="1632" customFormat="false" ht="15" hidden="false" customHeight="false" outlineLevel="0" collapsed="false">
      <c r="A1632" s="1" t="s">
        <v>5595</v>
      </c>
      <c r="B1632" s="1" t="s">
        <v>5596</v>
      </c>
      <c r="C1632" s="1" t="s">
        <v>5543</v>
      </c>
      <c r="D1632" s="1" t="s">
        <v>5544</v>
      </c>
      <c r="E1632" s="1" t="s">
        <v>61</v>
      </c>
      <c r="F1632" s="1" t="s">
        <v>101</v>
      </c>
      <c r="G1632" s="1" t="s">
        <v>93</v>
      </c>
      <c r="H1632" s="1" t="s">
        <v>64</v>
      </c>
      <c r="K1632" s="1" t="s">
        <v>2190</v>
      </c>
      <c r="L1632" s="1" t="s">
        <v>5590</v>
      </c>
      <c r="M1632" s="1" t="s">
        <v>5591</v>
      </c>
      <c r="N1632" s="1" t="s">
        <v>5592</v>
      </c>
      <c r="O1632" s="1" t="s">
        <v>5593</v>
      </c>
      <c r="P1632" s="1" t="s">
        <v>5594</v>
      </c>
      <c r="U1632" s="1" t="s">
        <v>5595</v>
      </c>
      <c r="Z1632" s="1" t="s">
        <v>71</v>
      </c>
      <c r="AE1632" s="1" t="s">
        <v>5587</v>
      </c>
      <c r="AH1632" s="1" t="s">
        <v>73</v>
      </c>
      <c r="AK1632" s="1" t="s">
        <v>71</v>
      </c>
      <c r="AM1632" s="1" t="s">
        <v>71</v>
      </c>
      <c r="AN1632" s="1" t="s">
        <v>71</v>
      </c>
      <c r="AS1632" s="1" t="s">
        <v>71</v>
      </c>
      <c r="AX1632" s="1" t="s">
        <v>71</v>
      </c>
      <c r="AY1632" s="1" t="s">
        <v>59</v>
      </c>
      <c r="AZ1632" s="1" t="s">
        <v>74</v>
      </c>
      <c r="BH1632" s="1" t="s">
        <v>71</v>
      </c>
    </row>
    <row r="1633" customFormat="false" ht="15" hidden="false" customHeight="false" outlineLevel="0" collapsed="false">
      <c r="A1633" s="1" t="s">
        <v>5597</v>
      </c>
      <c r="B1633" s="1" t="s">
        <v>5598</v>
      </c>
      <c r="C1633" s="1" t="s">
        <v>5274</v>
      </c>
      <c r="D1633" s="1" t="s">
        <v>5275</v>
      </c>
      <c r="E1633" s="1" t="s">
        <v>61</v>
      </c>
      <c r="F1633" s="1" t="s">
        <v>101</v>
      </c>
      <c r="G1633" s="1" t="s">
        <v>275</v>
      </c>
      <c r="H1633" s="1" t="s">
        <v>276</v>
      </c>
      <c r="K1633" s="1" t="s">
        <v>130</v>
      </c>
      <c r="L1633" s="1" t="s">
        <v>5415</v>
      </c>
      <c r="M1633" s="1" t="s">
        <v>1364</v>
      </c>
      <c r="N1633" s="1" t="s">
        <v>279</v>
      </c>
      <c r="O1633" s="1" t="s">
        <v>280</v>
      </c>
      <c r="P1633" s="1" t="s">
        <v>4895</v>
      </c>
      <c r="U1633" s="1" t="s">
        <v>5597</v>
      </c>
      <c r="Z1633" s="1" t="s">
        <v>71</v>
      </c>
      <c r="AE1633" s="1" t="s">
        <v>5599</v>
      </c>
      <c r="AH1633" s="1" t="s">
        <v>73</v>
      </c>
      <c r="AK1633" s="1" t="s">
        <v>71</v>
      </c>
      <c r="AM1633" s="1" t="s">
        <v>71</v>
      </c>
      <c r="AN1633" s="1" t="s">
        <v>71</v>
      </c>
      <c r="AS1633" s="1" t="s">
        <v>71</v>
      </c>
      <c r="AX1633" s="1" t="s">
        <v>71</v>
      </c>
      <c r="AY1633" s="1" t="s">
        <v>59</v>
      </c>
      <c r="AZ1633" s="1" t="s">
        <v>74</v>
      </c>
      <c r="BH1633" s="1" t="s">
        <v>71</v>
      </c>
    </row>
    <row r="1634" customFormat="false" ht="15" hidden="false" customHeight="false" outlineLevel="0" collapsed="false">
      <c r="A1634" s="1" t="s">
        <v>5600</v>
      </c>
      <c r="B1634" s="1" t="s">
        <v>5601</v>
      </c>
      <c r="C1634" s="1" t="s">
        <v>318</v>
      </c>
      <c r="D1634" s="1" t="s">
        <v>1466</v>
      </c>
      <c r="E1634" s="1" t="s">
        <v>61</v>
      </c>
      <c r="F1634" s="1" t="s">
        <v>101</v>
      </c>
      <c r="G1634" s="1" t="s">
        <v>275</v>
      </c>
      <c r="H1634" s="1" t="s">
        <v>276</v>
      </c>
      <c r="K1634" s="1" t="s">
        <v>136</v>
      </c>
      <c r="L1634" s="1" t="s">
        <v>5602</v>
      </c>
      <c r="M1634" s="1" t="s">
        <v>296</v>
      </c>
      <c r="N1634" s="1" t="s">
        <v>279</v>
      </c>
      <c r="O1634" s="1" t="s">
        <v>280</v>
      </c>
      <c r="P1634" s="1" t="s">
        <v>4895</v>
      </c>
      <c r="U1634" s="1" t="s">
        <v>5600</v>
      </c>
      <c r="Z1634" s="1" t="s">
        <v>71</v>
      </c>
      <c r="AE1634" s="1" t="s">
        <v>5603</v>
      </c>
      <c r="AH1634" s="1" t="s">
        <v>73</v>
      </c>
      <c r="AK1634" s="1" t="s">
        <v>71</v>
      </c>
      <c r="AM1634" s="1" t="s">
        <v>71</v>
      </c>
      <c r="AN1634" s="1" t="s">
        <v>71</v>
      </c>
      <c r="AS1634" s="1" t="s">
        <v>71</v>
      </c>
      <c r="AX1634" s="1" t="s">
        <v>71</v>
      </c>
      <c r="AY1634" s="1" t="s">
        <v>59</v>
      </c>
      <c r="AZ1634" s="1" t="s">
        <v>74</v>
      </c>
      <c r="BH1634" s="1" t="s">
        <v>71</v>
      </c>
    </row>
    <row r="1635" customFormat="false" ht="15" hidden="false" customHeight="false" outlineLevel="0" collapsed="false">
      <c r="A1635" s="1" t="s">
        <v>5604</v>
      </c>
      <c r="B1635" s="1" t="s">
        <v>5605</v>
      </c>
      <c r="C1635" s="1" t="s">
        <v>142</v>
      </c>
      <c r="D1635" s="1" t="s">
        <v>1102</v>
      </c>
      <c r="E1635" s="1" t="s">
        <v>82</v>
      </c>
      <c r="F1635" s="1" t="s">
        <v>391</v>
      </c>
      <c r="G1635" s="1" t="s">
        <v>443</v>
      </c>
      <c r="H1635" s="1" t="s">
        <v>444</v>
      </c>
      <c r="K1635" s="1" t="s">
        <v>61</v>
      </c>
      <c r="L1635" s="1" t="s">
        <v>445</v>
      </c>
      <c r="M1635" s="1" t="s">
        <v>496</v>
      </c>
      <c r="N1635" s="1" t="s">
        <v>3445</v>
      </c>
      <c r="O1635" s="1" t="s">
        <v>3446</v>
      </c>
      <c r="P1635" s="1" t="s">
        <v>5606</v>
      </c>
      <c r="Z1635" s="1" t="s">
        <v>71</v>
      </c>
      <c r="AE1635" s="1" t="s">
        <v>5607</v>
      </c>
      <c r="AH1635" s="1" t="s">
        <v>73</v>
      </c>
      <c r="AK1635" s="1" t="s">
        <v>71</v>
      </c>
      <c r="AM1635" s="1" t="s">
        <v>71</v>
      </c>
      <c r="AN1635" s="1" t="s">
        <v>71</v>
      </c>
      <c r="AS1635" s="1" t="s">
        <v>71</v>
      </c>
      <c r="AX1635" s="1" t="s">
        <v>71</v>
      </c>
      <c r="BH1635" s="1" t="s">
        <v>71</v>
      </c>
    </row>
    <row r="1636" customFormat="false" ht="15" hidden="false" customHeight="false" outlineLevel="0" collapsed="false">
      <c r="A1636" s="1" t="s">
        <v>5608</v>
      </c>
      <c r="B1636" s="1" t="s">
        <v>5609</v>
      </c>
      <c r="C1636" s="1" t="s">
        <v>5610</v>
      </c>
      <c r="D1636" s="1" t="s">
        <v>5611</v>
      </c>
      <c r="E1636" s="1" t="s">
        <v>82</v>
      </c>
      <c r="F1636" s="1" t="s">
        <v>391</v>
      </c>
      <c r="G1636" s="1" t="s">
        <v>443</v>
      </c>
      <c r="H1636" s="1" t="s">
        <v>444</v>
      </c>
      <c r="K1636" s="1" t="s">
        <v>61</v>
      </c>
      <c r="L1636" s="1" t="s">
        <v>445</v>
      </c>
      <c r="M1636" s="1" t="s">
        <v>2909</v>
      </c>
      <c r="N1636" s="1" t="s">
        <v>3848</v>
      </c>
      <c r="O1636" s="1" t="s">
        <v>2563</v>
      </c>
      <c r="P1636" s="1" t="s">
        <v>3849</v>
      </c>
      <c r="Z1636" s="1" t="s">
        <v>71</v>
      </c>
      <c r="AE1636" s="1" t="s">
        <v>5607</v>
      </c>
      <c r="AH1636" s="1" t="s">
        <v>73</v>
      </c>
      <c r="AK1636" s="1" t="s">
        <v>71</v>
      </c>
      <c r="AM1636" s="1" t="s">
        <v>71</v>
      </c>
      <c r="AN1636" s="1" t="s">
        <v>71</v>
      </c>
      <c r="AS1636" s="1" t="s">
        <v>71</v>
      </c>
      <c r="AX1636" s="1" t="s">
        <v>71</v>
      </c>
      <c r="BH1636" s="1" t="s">
        <v>71</v>
      </c>
    </row>
    <row r="1637" customFormat="false" ht="15" hidden="false" customHeight="false" outlineLevel="0" collapsed="false">
      <c r="A1637" s="1" t="s">
        <v>5612</v>
      </c>
      <c r="B1637" s="1" t="s">
        <v>5613</v>
      </c>
      <c r="C1637" s="1" t="s">
        <v>5610</v>
      </c>
      <c r="D1637" s="1" t="s">
        <v>5611</v>
      </c>
      <c r="E1637" s="1" t="s">
        <v>82</v>
      </c>
      <c r="F1637" s="1" t="s">
        <v>391</v>
      </c>
      <c r="G1637" s="1" t="s">
        <v>443</v>
      </c>
      <c r="H1637" s="1" t="s">
        <v>444</v>
      </c>
      <c r="K1637" s="1" t="s">
        <v>61</v>
      </c>
      <c r="L1637" s="1" t="s">
        <v>445</v>
      </c>
      <c r="M1637" s="1" t="s">
        <v>5614</v>
      </c>
      <c r="N1637" s="1" t="s">
        <v>5615</v>
      </c>
      <c r="O1637" s="1" t="s">
        <v>5616</v>
      </c>
      <c r="P1637" s="1" t="s">
        <v>5617</v>
      </c>
      <c r="Z1637" s="1" t="s">
        <v>71</v>
      </c>
      <c r="AE1637" s="1" t="s">
        <v>5607</v>
      </c>
      <c r="AH1637" s="1" t="s">
        <v>73</v>
      </c>
      <c r="AK1637" s="1" t="s">
        <v>71</v>
      </c>
      <c r="AM1637" s="1" t="s">
        <v>71</v>
      </c>
      <c r="AN1637" s="1" t="s">
        <v>71</v>
      </c>
      <c r="AS1637" s="1" t="s">
        <v>71</v>
      </c>
      <c r="AX1637" s="1" t="s">
        <v>71</v>
      </c>
      <c r="BH1637" s="1" t="s">
        <v>71</v>
      </c>
    </row>
    <row r="1638" customFormat="false" ht="15" hidden="false" customHeight="false" outlineLevel="0" collapsed="false">
      <c r="A1638" s="1" t="s">
        <v>5618</v>
      </c>
      <c r="B1638" s="1" t="s">
        <v>5619</v>
      </c>
      <c r="C1638" s="1" t="s">
        <v>5620</v>
      </c>
      <c r="D1638" s="1" t="s">
        <v>5621</v>
      </c>
      <c r="E1638" s="1" t="s">
        <v>82</v>
      </c>
      <c r="F1638" s="1" t="s">
        <v>391</v>
      </c>
      <c r="G1638" s="1" t="s">
        <v>443</v>
      </c>
      <c r="H1638" s="1" t="s">
        <v>444</v>
      </c>
      <c r="K1638" s="1" t="s">
        <v>61</v>
      </c>
      <c r="L1638" s="1" t="s">
        <v>445</v>
      </c>
      <c r="M1638" s="1" t="s">
        <v>496</v>
      </c>
      <c r="N1638" s="1" t="s">
        <v>4061</v>
      </c>
      <c r="O1638" s="1" t="s">
        <v>447</v>
      </c>
      <c r="P1638" s="1" t="s">
        <v>4062</v>
      </c>
      <c r="Z1638" s="1" t="s">
        <v>71</v>
      </c>
      <c r="AE1638" s="1" t="s">
        <v>5607</v>
      </c>
      <c r="AH1638" s="1" t="s">
        <v>73</v>
      </c>
      <c r="AK1638" s="1" t="s">
        <v>71</v>
      </c>
      <c r="AM1638" s="1" t="s">
        <v>71</v>
      </c>
      <c r="AN1638" s="1" t="s">
        <v>71</v>
      </c>
      <c r="AS1638" s="1" t="s">
        <v>71</v>
      </c>
      <c r="AX1638" s="1" t="s">
        <v>71</v>
      </c>
      <c r="BH1638" s="1" t="s">
        <v>71</v>
      </c>
    </row>
    <row r="1639" customFormat="false" ht="15" hidden="false" customHeight="false" outlineLevel="0" collapsed="false">
      <c r="A1639" s="1" t="s">
        <v>5622</v>
      </c>
      <c r="B1639" s="1" t="s">
        <v>5623</v>
      </c>
      <c r="C1639" s="1" t="s">
        <v>5620</v>
      </c>
      <c r="D1639" s="1" t="s">
        <v>5621</v>
      </c>
      <c r="E1639" s="1" t="s">
        <v>82</v>
      </c>
      <c r="F1639" s="1" t="s">
        <v>391</v>
      </c>
      <c r="G1639" s="1" t="s">
        <v>443</v>
      </c>
      <c r="H1639" s="1" t="s">
        <v>444</v>
      </c>
      <c r="K1639" s="1" t="s">
        <v>61</v>
      </c>
      <c r="L1639" s="1" t="s">
        <v>445</v>
      </c>
      <c r="M1639" s="1" t="s">
        <v>496</v>
      </c>
      <c r="N1639" s="1" t="s">
        <v>1049</v>
      </c>
      <c r="O1639" s="1" t="s">
        <v>400</v>
      </c>
      <c r="P1639" s="1" t="s">
        <v>4213</v>
      </c>
      <c r="Z1639" s="1" t="s">
        <v>71</v>
      </c>
      <c r="AE1639" s="1" t="s">
        <v>5607</v>
      </c>
      <c r="AH1639" s="1" t="s">
        <v>73</v>
      </c>
      <c r="AK1639" s="1" t="s">
        <v>71</v>
      </c>
      <c r="AM1639" s="1" t="s">
        <v>71</v>
      </c>
      <c r="AN1639" s="1" t="s">
        <v>71</v>
      </c>
      <c r="AS1639" s="1" t="s">
        <v>71</v>
      </c>
      <c r="AX1639" s="1" t="s">
        <v>71</v>
      </c>
      <c r="BH1639" s="1" t="s">
        <v>71</v>
      </c>
    </row>
    <row r="1640" customFormat="false" ht="15" hidden="false" customHeight="false" outlineLevel="0" collapsed="false">
      <c r="A1640" s="1" t="s">
        <v>5624</v>
      </c>
      <c r="B1640" s="1" t="s">
        <v>5625</v>
      </c>
      <c r="C1640" s="1" t="s">
        <v>5620</v>
      </c>
      <c r="D1640" s="1" t="s">
        <v>5621</v>
      </c>
      <c r="E1640" s="1" t="s">
        <v>82</v>
      </c>
      <c r="F1640" s="1" t="s">
        <v>391</v>
      </c>
      <c r="G1640" s="1" t="s">
        <v>443</v>
      </c>
      <c r="H1640" s="1" t="s">
        <v>444</v>
      </c>
      <c r="K1640" s="1" t="s">
        <v>61</v>
      </c>
      <c r="L1640" s="1" t="s">
        <v>445</v>
      </c>
      <c r="M1640" s="1" t="s">
        <v>496</v>
      </c>
      <c r="N1640" s="1" t="s">
        <v>4061</v>
      </c>
      <c r="O1640" s="1" t="s">
        <v>447</v>
      </c>
      <c r="P1640" s="1" t="s">
        <v>4062</v>
      </c>
      <c r="Z1640" s="1" t="s">
        <v>71</v>
      </c>
      <c r="AE1640" s="1" t="s">
        <v>5607</v>
      </c>
      <c r="AH1640" s="1" t="s">
        <v>73</v>
      </c>
      <c r="AK1640" s="1" t="s">
        <v>71</v>
      </c>
      <c r="AM1640" s="1" t="s">
        <v>71</v>
      </c>
      <c r="AN1640" s="1" t="s">
        <v>71</v>
      </c>
      <c r="AS1640" s="1" t="s">
        <v>71</v>
      </c>
      <c r="AX1640" s="1" t="s">
        <v>71</v>
      </c>
      <c r="BH1640" s="1" t="s">
        <v>71</v>
      </c>
    </row>
    <row r="1641" customFormat="false" ht="15" hidden="false" customHeight="false" outlineLevel="0" collapsed="false">
      <c r="A1641" s="1" t="s">
        <v>5626</v>
      </c>
      <c r="B1641" s="1" t="s">
        <v>5627</v>
      </c>
      <c r="C1641" s="1" t="s">
        <v>188</v>
      </c>
      <c r="D1641" s="1" t="s">
        <v>189</v>
      </c>
      <c r="E1641" s="1" t="s">
        <v>61</v>
      </c>
      <c r="F1641" s="1" t="s">
        <v>101</v>
      </c>
      <c r="G1641" s="1" t="s">
        <v>93</v>
      </c>
      <c r="H1641" s="1" t="s">
        <v>64</v>
      </c>
      <c r="K1641" s="1" t="s">
        <v>150</v>
      </c>
      <c r="L1641" s="1" t="s">
        <v>4630</v>
      </c>
      <c r="M1641" s="1" t="s">
        <v>104</v>
      </c>
      <c r="N1641" s="1" t="s">
        <v>203</v>
      </c>
      <c r="O1641" s="1" t="s">
        <v>204</v>
      </c>
      <c r="P1641" s="1" t="s">
        <v>3536</v>
      </c>
      <c r="U1641" s="1" t="s">
        <v>5626</v>
      </c>
      <c r="Z1641" s="1" t="s">
        <v>71</v>
      </c>
      <c r="AE1641" s="1" t="s">
        <v>5628</v>
      </c>
      <c r="AH1641" s="1" t="s">
        <v>73</v>
      </c>
      <c r="AK1641" s="1" t="s">
        <v>71</v>
      </c>
      <c r="AM1641" s="1" t="s">
        <v>71</v>
      </c>
      <c r="AN1641" s="1" t="s">
        <v>71</v>
      </c>
      <c r="AS1641" s="1" t="s">
        <v>71</v>
      </c>
      <c r="AX1641" s="1" t="s">
        <v>71</v>
      </c>
      <c r="AY1641" s="1" t="s">
        <v>59</v>
      </c>
      <c r="AZ1641" s="1" t="s">
        <v>74</v>
      </c>
      <c r="BH1641" s="1" t="s">
        <v>71</v>
      </c>
    </row>
    <row r="1642" customFormat="false" ht="15" hidden="false" customHeight="false" outlineLevel="0" collapsed="false">
      <c r="A1642" s="1" t="s">
        <v>5629</v>
      </c>
      <c r="B1642" s="1" t="s">
        <v>5630</v>
      </c>
      <c r="C1642" s="1" t="s">
        <v>188</v>
      </c>
      <c r="D1642" s="1" t="s">
        <v>189</v>
      </c>
      <c r="E1642" s="1" t="s">
        <v>61</v>
      </c>
      <c r="F1642" s="1" t="s">
        <v>101</v>
      </c>
      <c r="G1642" s="1" t="s">
        <v>93</v>
      </c>
      <c r="H1642" s="1" t="s">
        <v>64</v>
      </c>
      <c r="K1642" s="1" t="s">
        <v>443</v>
      </c>
      <c r="L1642" s="1" t="s">
        <v>5539</v>
      </c>
      <c r="M1642" s="1" t="s">
        <v>104</v>
      </c>
      <c r="N1642" s="1" t="s">
        <v>105</v>
      </c>
      <c r="O1642" s="1" t="s">
        <v>106</v>
      </c>
      <c r="P1642" s="1" t="s">
        <v>3539</v>
      </c>
      <c r="U1642" s="1" t="s">
        <v>5629</v>
      </c>
      <c r="Z1642" s="1" t="s">
        <v>71</v>
      </c>
      <c r="AE1642" s="1" t="s">
        <v>5631</v>
      </c>
      <c r="AH1642" s="1" t="s">
        <v>73</v>
      </c>
      <c r="AK1642" s="1" t="s">
        <v>71</v>
      </c>
      <c r="AM1642" s="1" t="s">
        <v>71</v>
      </c>
      <c r="AN1642" s="1" t="s">
        <v>71</v>
      </c>
      <c r="AS1642" s="1" t="s">
        <v>71</v>
      </c>
      <c r="AX1642" s="1" t="s">
        <v>71</v>
      </c>
      <c r="AY1642" s="1" t="s">
        <v>59</v>
      </c>
      <c r="AZ1642" s="1" t="s">
        <v>74</v>
      </c>
      <c r="BH1642" s="1" t="s">
        <v>71</v>
      </c>
    </row>
    <row r="1643" customFormat="false" ht="15" hidden="false" customHeight="false" outlineLevel="0" collapsed="false">
      <c r="A1643" s="1" t="s">
        <v>5632</v>
      </c>
      <c r="B1643" s="1" t="s">
        <v>5633</v>
      </c>
      <c r="C1643" s="1" t="s">
        <v>5565</v>
      </c>
      <c r="D1643" s="1" t="s">
        <v>5566</v>
      </c>
      <c r="E1643" s="1" t="s">
        <v>61</v>
      </c>
      <c r="F1643" s="1" t="s">
        <v>101</v>
      </c>
      <c r="G1643" s="1" t="s">
        <v>148</v>
      </c>
      <c r="H1643" s="1" t="s">
        <v>231</v>
      </c>
      <c r="K1643" s="1" t="s">
        <v>240</v>
      </c>
      <c r="L1643" s="1" t="s">
        <v>241</v>
      </c>
      <c r="M1643" s="1" t="s">
        <v>310</v>
      </c>
      <c r="N1643" s="1" t="s">
        <v>243</v>
      </c>
      <c r="O1643" s="1" t="s">
        <v>244</v>
      </c>
      <c r="P1643" s="1" t="s">
        <v>3503</v>
      </c>
      <c r="U1643" s="1" t="s">
        <v>5632</v>
      </c>
      <c r="Z1643" s="1" t="s">
        <v>71</v>
      </c>
      <c r="AE1643" s="1" t="s">
        <v>5631</v>
      </c>
      <c r="AH1643" s="1" t="s">
        <v>73</v>
      </c>
      <c r="AK1643" s="1" t="s">
        <v>71</v>
      </c>
      <c r="AM1643" s="1" t="s">
        <v>71</v>
      </c>
      <c r="AN1643" s="1" t="s">
        <v>71</v>
      </c>
      <c r="AS1643" s="1" t="s">
        <v>71</v>
      </c>
      <c r="AX1643" s="1" t="s">
        <v>71</v>
      </c>
      <c r="AY1643" s="1" t="s">
        <v>59</v>
      </c>
      <c r="AZ1643" s="1" t="s">
        <v>74</v>
      </c>
      <c r="BH1643" s="1" t="s">
        <v>71</v>
      </c>
    </row>
    <row r="1644" customFormat="false" ht="15" hidden="false" customHeight="false" outlineLevel="0" collapsed="false">
      <c r="A1644" s="1" t="s">
        <v>5634</v>
      </c>
      <c r="B1644" s="1" t="s">
        <v>5635</v>
      </c>
      <c r="C1644" s="1" t="s">
        <v>136</v>
      </c>
      <c r="D1644" s="1" t="s">
        <v>208</v>
      </c>
      <c r="E1644" s="1" t="s">
        <v>65</v>
      </c>
      <c r="F1644" s="1" t="s">
        <v>119</v>
      </c>
      <c r="G1644" s="1" t="s">
        <v>65</v>
      </c>
      <c r="H1644" s="1" t="s">
        <v>64</v>
      </c>
      <c r="K1644" s="1" t="s">
        <v>182</v>
      </c>
      <c r="L1644" s="1" t="s">
        <v>183</v>
      </c>
      <c r="M1644" s="1" t="s">
        <v>592</v>
      </c>
      <c r="N1644" s="1" t="s">
        <v>123</v>
      </c>
      <c r="O1644" s="1" t="s">
        <v>124</v>
      </c>
      <c r="P1644" s="1" t="s">
        <v>4161</v>
      </c>
      <c r="U1644" s="1" t="s">
        <v>5634</v>
      </c>
      <c r="Z1644" s="1" t="s">
        <v>71</v>
      </c>
      <c r="AE1644" s="1" t="s">
        <v>5636</v>
      </c>
      <c r="AH1644" s="1" t="s">
        <v>73</v>
      </c>
      <c r="AK1644" s="1" t="s">
        <v>71</v>
      </c>
      <c r="AM1644" s="1" t="s">
        <v>71</v>
      </c>
      <c r="AN1644" s="1" t="s">
        <v>71</v>
      </c>
      <c r="AS1644" s="1" t="s">
        <v>71</v>
      </c>
      <c r="AX1644" s="1" t="s">
        <v>71</v>
      </c>
      <c r="AY1644" s="1" t="s">
        <v>59</v>
      </c>
      <c r="AZ1644" s="1" t="s">
        <v>74</v>
      </c>
      <c r="BH1644" s="1" t="s">
        <v>71</v>
      </c>
    </row>
    <row r="1645" customFormat="false" ht="15" hidden="false" customHeight="false" outlineLevel="0" collapsed="false">
      <c r="A1645" s="1" t="s">
        <v>5637</v>
      </c>
      <c r="B1645" s="1" t="s">
        <v>5638</v>
      </c>
      <c r="C1645" s="1" t="s">
        <v>136</v>
      </c>
      <c r="D1645" s="1" t="s">
        <v>208</v>
      </c>
      <c r="E1645" s="1" t="s">
        <v>61</v>
      </c>
      <c r="F1645" s="1" t="s">
        <v>101</v>
      </c>
      <c r="G1645" s="1" t="s">
        <v>1479</v>
      </c>
      <c r="H1645" s="1" t="s">
        <v>5583</v>
      </c>
      <c r="K1645" s="1" t="s">
        <v>275</v>
      </c>
      <c r="L1645" s="1" t="s">
        <v>5584</v>
      </c>
      <c r="M1645" s="1" t="s">
        <v>278</v>
      </c>
      <c r="N1645" s="1" t="s">
        <v>4854</v>
      </c>
      <c r="O1645" s="1" t="s">
        <v>4855</v>
      </c>
      <c r="P1645" s="1" t="s">
        <v>4856</v>
      </c>
      <c r="U1645" s="1" t="s">
        <v>5637</v>
      </c>
      <c r="Z1645" s="1" t="s">
        <v>71</v>
      </c>
      <c r="AE1645" s="1" t="s">
        <v>5639</v>
      </c>
      <c r="AH1645" s="1" t="s">
        <v>73</v>
      </c>
      <c r="AK1645" s="1" t="s">
        <v>71</v>
      </c>
      <c r="AM1645" s="1" t="s">
        <v>71</v>
      </c>
      <c r="AN1645" s="1" t="s">
        <v>71</v>
      </c>
      <c r="AS1645" s="1" t="s">
        <v>71</v>
      </c>
      <c r="AX1645" s="1" t="s">
        <v>71</v>
      </c>
      <c r="AY1645" s="1" t="s">
        <v>59</v>
      </c>
      <c r="AZ1645" s="1" t="s">
        <v>74</v>
      </c>
      <c r="BH1645" s="1" t="s">
        <v>71</v>
      </c>
    </row>
    <row r="1646" customFormat="false" ht="15" hidden="false" customHeight="false" outlineLevel="0" collapsed="false">
      <c r="A1646" s="1" t="s">
        <v>5640</v>
      </c>
      <c r="B1646" s="1" t="s">
        <v>5641</v>
      </c>
      <c r="C1646" s="1" t="s">
        <v>213</v>
      </c>
      <c r="D1646" s="1" t="s">
        <v>214</v>
      </c>
      <c r="E1646" s="1" t="s">
        <v>61</v>
      </c>
      <c r="F1646" s="1" t="s">
        <v>101</v>
      </c>
      <c r="G1646" s="1" t="s">
        <v>93</v>
      </c>
      <c r="H1646" s="1" t="s">
        <v>64</v>
      </c>
      <c r="K1646" s="1" t="s">
        <v>112</v>
      </c>
      <c r="L1646" s="1" t="s">
        <v>113</v>
      </c>
      <c r="M1646" s="1" t="s">
        <v>104</v>
      </c>
      <c r="N1646" s="1" t="s">
        <v>105</v>
      </c>
      <c r="O1646" s="1" t="s">
        <v>106</v>
      </c>
      <c r="P1646" s="1" t="s">
        <v>3539</v>
      </c>
      <c r="U1646" s="1" t="s">
        <v>5640</v>
      </c>
      <c r="Z1646" s="1" t="s">
        <v>71</v>
      </c>
      <c r="AE1646" s="1" t="s">
        <v>5642</v>
      </c>
      <c r="AH1646" s="1" t="s">
        <v>73</v>
      </c>
      <c r="AK1646" s="1" t="s">
        <v>71</v>
      </c>
      <c r="AM1646" s="1" t="s">
        <v>71</v>
      </c>
      <c r="AN1646" s="1" t="s">
        <v>71</v>
      </c>
      <c r="AS1646" s="1" t="s">
        <v>71</v>
      </c>
      <c r="AX1646" s="1" t="s">
        <v>71</v>
      </c>
      <c r="AY1646" s="1" t="s">
        <v>59</v>
      </c>
      <c r="AZ1646" s="1" t="s">
        <v>74</v>
      </c>
      <c r="BH1646" s="1" t="s">
        <v>71</v>
      </c>
    </row>
    <row r="1647" customFormat="false" ht="15" hidden="false" customHeight="false" outlineLevel="0" collapsed="false">
      <c r="A1647" s="1" t="s">
        <v>5643</v>
      </c>
      <c r="B1647" s="1" t="s">
        <v>5644</v>
      </c>
      <c r="C1647" s="1" t="s">
        <v>2383</v>
      </c>
      <c r="D1647" s="1" t="s">
        <v>5645</v>
      </c>
      <c r="E1647" s="1" t="s">
        <v>61</v>
      </c>
      <c r="F1647" s="1" t="s">
        <v>101</v>
      </c>
      <c r="G1647" s="1" t="s">
        <v>275</v>
      </c>
      <c r="H1647" s="1" t="s">
        <v>276</v>
      </c>
      <c r="K1647" s="1" t="s">
        <v>2495</v>
      </c>
      <c r="L1647" s="1" t="s">
        <v>2496</v>
      </c>
      <c r="M1647" s="1" t="s">
        <v>278</v>
      </c>
      <c r="N1647" s="1" t="s">
        <v>5646</v>
      </c>
      <c r="O1647" s="1" t="s">
        <v>5647</v>
      </c>
      <c r="P1647" s="1" t="s">
        <v>5648</v>
      </c>
      <c r="U1647" s="1" t="s">
        <v>5643</v>
      </c>
      <c r="Z1647" s="1" t="s">
        <v>71</v>
      </c>
      <c r="AE1647" s="1" t="s">
        <v>5649</v>
      </c>
      <c r="AH1647" s="1" t="s">
        <v>73</v>
      </c>
      <c r="AK1647" s="1" t="s">
        <v>71</v>
      </c>
      <c r="AM1647" s="1" t="s">
        <v>71</v>
      </c>
      <c r="AN1647" s="1" t="s">
        <v>71</v>
      </c>
      <c r="AS1647" s="1" t="s">
        <v>71</v>
      </c>
      <c r="AX1647" s="1" t="s">
        <v>71</v>
      </c>
      <c r="AY1647" s="1" t="s">
        <v>59</v>
      </c>
      <c r="AZ1647" s="1" t="s">
        <v>74</v>
      </c>
      <c r="BH1647" s="1" t="s">
        <v>71</v>
      </c>
    </row>
    <row r="1648" customFormat="false" ht="15" hidden="false" customHeight="false" outlineLevel="0" collapsed="false">
      <c r="A1648" s="1" t="s">
        <v>5650</v>
      </c>
      <c r="B1648" s="1" t="s">
        <v>5651</v>
      </c>
      <c r="C1648" s="1" t="s">
        <v>1361</v>
      </c>
      <c r="D1648" s="1" t="s">
        <v>4847</v>
      </c>
      <c r="E1648" s="1" t="s">
        <v>82</v>
      </c>
      <c r="F1648" s="1" t="s">
        <v>391</v>
      </c>
      <c r="G1648" s="1" t="s">
        <v>97</v>
      </c>
      <c r="H1648" s="1" t="s">
        <v>406</v>
      </c>
      <c r="K1648" s="1" t="s">
        <v>453</v>
      </c>
      <c r="L1648" s="1" t="s">
        <v>454</v>
      </c>
      <c r="M1648" s="1" t="s">
        <v>496</v>
      </c>
      <c r="N1648" s="1" t="s">
        <v>861</v>
      </c>
      <c r="O1648" s="1" t="s">
        <v>862</v>
      </c>
      <c r="P1648" s="1" t="s">
        <v>4122</v>
      </c>
      <c r="Z1648" s="1" t="s">
        <v>71</v>
      </c>
      <c r="AE1648" s="1" t="s">
        <v>5649</v>
      </c>
      <c r="AH1648" s="1" t="s">
        <v>73</v>
      </c>
      <c r="AK1648" s="1" t="s">
        <v>71</v>
      </c>
      <c r="AM1648" s="1" t="s">
        <v>71</v>
      </c>
      <c r="AN1648" s="1" t="s">
        <v>71</v>
      </c>
      <c r="AS1648" s="1" t="s">
        <v>71</v>
      </c>
      <c r="AX1648" s="1" t="s">
        <v>71</v>
      </c>
      <c r="BH1648" s="1" t="s">
        <v>71</v>
      </c>
    </row>
    <row r="1649" customFormat="false" ht="15" hidden="false" customHeight="false" outlineLevel="0" collapsed="false">
      <c r="A1649" s="1" t="s">
        <v>5652</v>
      </c>
      <c r="B1649" s="1" t="s">
        <v>5653</v>
      </c>
      <c r="C1649" s="1" t="s">
        <v>1361</v>
      </c>
      <c r="D1649" s="1" t="s">
        <v>4847</v>
      </c>
      <c r="E1649" s="1" t="s">
        <v>82</v>
      </c>
      <c r="F1649" s="1" t="s">
        <v>391</v>
      </c>
      <c r="G1649" s="1" t="s">
        <v>97</v>
      </c>
      <c r="H1649" s="1" t="s">
        <v>406</v>
      </c>
      <c r="K1649" s="1" t="s">
        <v>836</v>
      </c>
      <c r="L1649" s="1" t="s">
        <v>837</v>
      </c>
      <c r="M1649" s="1" t="s">
        <v>5654</v>
      </c>
      <c r="N1649" s="1" t="s">
        <v>5655</v>
      </c>
      <c r="O1649" s="1" t="s">
        <v>400</v>
      </c>
      <c r="P1649" s="1" t="s">
        <v>5656</v>
      </c>
      <c r="Z1649" s="1" t="s">
        <v>71</v>
      </c>
      <c r="AE1649" s="1" t="s">
        <v>5649</v>
      </c>
      <c r="AH1649" s="1" t="s">
        <v>73</v>
      </c>
      <c r="AK1649" s="1" t="s">
        <v>71</v>
      </c>
      <c r="AM1649" s="1" t="s">
        <v>71</v>
      </c>
      <c r="AN1649" s="1" t="s">
        <v>71</v>
      </c>
      <c r="AS1649" s="1" t="s">
        <v>71</v>
      </c>
      <c r="AX1649" s="1" t="s">
        <v>71</v>
      </c>
      <c r="BH1649" s="1" t="s">
        <v>71</v>
      </c>
    </row>
    <row r="1650" customFormat="false" ht="15" hidden="false" customHeight="false" outlineLevel="0" collapsed="false">
      <c r="A1650" s="1" t="s">
        <v>5657</v>
      </c>
      <c r="B1650" s="1" t="s">
        <v>5658</v>
      </c>
      <c r="C1650" s="1" t="s">
        <v>1361</v>
      </c>
      <c r="D1650" s="1" t="s">
        <v>4847</v>
      </c>
      <c r="E1650" s="1" t="s">
        <v>82</v>
      </c>
      <c r="F1650" s="1" t="s">
        <v>391</v>
      </c>
      <c r="G1650" s="1" t="s">
        <v>97</v>
      </c>
      <c r="H1650" s="1" t="s">
        <v>406</v>
      </c>
      <c r="K1650" s="1" t="s">
        <v>65</v>
      </c>
      <c r="L1650" s="1" t="s">
        <v>860</v>
      </c>
      <c r="M1650" s="1" t="s">
        <v>496</v>
      </c>
      <c r="N1650" s="1" t="s">
        <v>1746</v>
      </c>
      <c r="O1650" s="1" t="s">
        <v>447</v>
      </c>
      <c r="P1650" s="1" t="s">
        <v>5659</v>
      </c>
      <c r="Z1650" s="1" t="s">
        <v>71</v>
      </c>
      <c r="AE1650" s="1" t="s">
        <v>5649</v>
      </c>
      <c r="AH1650" s="1" t="s">
        <v>73</v>
      </c>
      <c r="AK1650" s="1" t="s">
        <v>71</v>
      </c>
      <c r="AM1650" s="1" t="s">
        <v>71</v>
      </c>
      <c r="AN1650" s="1" t="s">
        <v>71</v>
      </c>
      <c r="AS1650" s="1" t="s">
        <v>71</v>
      </c>
      <c r="AX1650" s="1" t="s">
        <v>71</v>
      </c>
      <c r="BH1650" s="1" t="s">
        <v>71</v>
      </c>
    </row>
    <row r="1651" customFormat="false" ht="15" hidden="false" customHeight="false" outlineLevel="0" collapsed="false">
      <c r="A1651" s="1" t="s">
        <v>5660</v>
      </c>
      <c r="B1651" s="1" t="s">
        <v>5661</v>
      </c>
      <c r="C1651" s="1" t="s">
        <v>1361</v>
      </c>
      <c r="D1651" s="1" t="s">
        <v>4847</v>
      </c>
      <c r="E1651" s="1" t="s">
        <v>82</v>
      </c>
      <c r="F1651" s="1" t="s">
        <v>391</v>
      </c>
      <c r="G1651" s="1" t="s">
        <v>97</v>
      </c>
      <c r="H1651" s="1" t="s">
        <v>406</v>
      </c>
      <c r="K1651" s="1" t="s">
        <v>453</v>
      </c>
      <c r="L1651" s="1" t="s">
        <v>454</v>
      </c>
      <c r="M1651" s="1" t="s">
        <v>496</v>
      </c>
      <c r="N1651" s="1" t="s">
        <v>551</v>
      </c>
      <c r="O1651" s="1" t="s">
        <v>447</v>
      </c>
      <c r="P1651" s="1" t="s">
        <v>3598</v>
      </c>
      <c r="Z1651" s="1" t="s">
        <v>71</v>
      </c>
      <c r="AE1651" s="1" t="s">
        <v>5649</v>
      </c>
      <c r="AH1651" s="1" t="s">
        <v>73</v>
      </c>
      <c r="AK1651" s="1" t="s">
        <v>71</v>
      </c>
      <c r="AM1651" s="1" t="s">
        <v>71</v>
      </c>
      <c r="AN1651" s="1" t="s">
        <v>71</v>
      </c>
      <c r="AS1651" s="1" t="s">
        <v>71</v>
      </c>
      <c r="AX1651" s="1" t="s">
        <v>71</v>
      </c>
      <c r="BH1651" s="1" t="s">
        <v>71</v>
      </c>
    </row>
    <row r="1652" customFormat="false" ht="15" hidden="false" customHeight="false" outlineLevel="0" collapsed="false">
      <c r="A1652" s="1" t="s">
        <v>5662</v>
      </c>
      <c r="B1652" s="1" t="s">
        <v>5663</v>
      </c>
      <c r="C1652" s="1" t="s">
        <v>1426</v>
      </c>
      <c r="D1652" s="1" t="s">
        <v>5143</v>
      </c>
      <c r="E1652" s="1" t="s">
        <v>82</v>
      </c>
      <c r="F1652" s="1" t="s">
        <v>391</v>
      </c>
      <c r="G1652" s="1" t="s">
        <v>97</v>
      </c>
      <c r="H1652" s="1" t="s">
        <v>406</v>
      </c>
      <c r="K1652" s="1" t="s">
        <v>453</v>
      </c>
      <c r="L1652" s="1" t="s">
        <v>454</v>
      </c>
      <c r="M1652" s="1" t="s">
        <v>496</v>
      </c>
      <c r="N1652" s="1" t="s">
        <v>5664</v>
      </c>
      <c r="O1652" s="1" t="s">
        <v>5665</v>
      </c>
      <c r="P1652" s="1" t="s">
        <v>5666</v>
      </c>
      <c r="Z1652" s="1" t="s">
        <v>71</v>
      </c>
      <c r="AE1652" s="1" t="s">
        <v>5667</v>
      </c>
      <c r="AH1652" s="1" t="s">
        <v>73</v>
      </c>
      <c r="AK1652" s="1" t="s">
        <v>71</v>
      </c>
      <c r="AM1652" s="1" t="s">
        <v>71</v>
      </c>
      <c r="AN1652" s="1" t="s">
        <v>71</v>
      </c>
      <c r="AS1652" s="1" t="s">
        <v>71</v>
      </c>
      <c r="AX1652" s="1" t="s">
        <v>71</v>
      </c>
      <c r="BH1652" s="1" t="s">
        <v>71</v>
      </c>
    </row>
    <row r="1653" customFormat="false" ht="15" hidden="false" customHeight="false" outlineLevel="0" collapsed="false">
      <c r="A1653" s="1" t="s">
        <v>5668</v>
      </c>
      <c r="B1653" s="1" t="s">
        <v>5669</v>
      </c>
      <c r="C1653" s="1" t="s">
        <v>5543</v>
      </c>
      <c r="D1653" s="1" t="s">
        <v>5544</v>
      </c>
      <c r="E1653" s="1" t="s">
        <v>61</v>
      </c>
      <c r="F1653" s="1" t="s">
        <v>101</v>
      </c>
      <c r="G1653" s="1" t="s">
        <v>93</v>
      </c>
      <c r="H1653" s="1" t="s">
        <v>64</v>
      </c>
      <c r="K1653" s="1" t="s">
        <v>224</v>
      </c>
      <c r="L1653" s="1" t="s">
        <v>225</v>
      </c>
      <c r="M1653" s="1" t="s">
        <v>1555</v>
      </c>
      <c r="N1653" s="1" t="s">
        <v>105</v>
      </c>
      <c r="O1653" s="1" t="s">
        <v>106</v>
      </c>
      <c r="P1653" s="1" t="s">
        <v>3539</v>
      </c>
      <c r="U1653" s="1" t="s">
        <v>5668</v>
      </c>
      <c r="Z1653" s="1" t="s">
        <v>71</v>
      </c>
      <c r="AE1653" s="1" t="s">
        <v>5670</v>
      </c>
      <c r="AH1653" s="1" t="s">
        <v>73</v>
      </c>
      <c r="AK1653" s="1" t="s">
        <v>71</v>
      </c>
      <c r="AM1653" s="1" t="s">
        <v>71</v>
      </c>
      <c r="AN1653" s="1" t="s">
        <v>71</v>
      </c>
      <c r="AS1653" s="1" t="s">
        <v>71</v>
      </c>
      <c r="AX1653" s="1" t="s">
        <v>71</v>
      </c>
      <c r="AY1653" s="1" t="s">
        <v>59</v>
      </c>
      <c r="AZ1653" s="1" t="s">
        <v>74</v>
      </c>
      <c r="BH1653" s="1" t="s">
        <v>71</v>
      </c>
    </row>
    <row r="1654" customFormat="false" ht="15" hidden="false" customHeight="false" outlineLevel="0" collapsed="false">
      <c r="A1654" s="1" t="s">
        <v>5671</v>
      </c>
      <c r="B1654" s="1" t="s">
        <v>5672</v>
      </c>
      <c r="C1654" s="1" t="s">
        <v>324</v>
      </c>
      <c r="D1654" s="1" t="s">
        <v>325</v>
      </c>
      <c r="E1654" s="1" t="s">
        <v>65</v>
      </c>
      <c r="F1654" s="1" t="s">
        <v>119</v>
      </c>
      <c r="G1654" s="1" t="s">
        <v>88</v>
      </c>
      <c r="H1654" s="1" t="s">
        <v>255</v>
      </c>
      <c r="K1654" s="1" t="s">
        <v>256</v>
      </c>
      <c r="L1654" s="1" t="s">
        <v>257</v>
      </c>
      <c r="M1654" s="1" t="s">
        <v>242</v>
      </c>
      <c r="N1654" s="1" t="s">
        <v>259</v>
      </c>
      <c r="O1654" s="1" t="s">
        <v>260</v>
      </c>
      <c r="P1654" s="1" t="s">
        <v>3768</v>
      </c>
      <c r="U1654" s="1" t="s">
        <v>5671</v>
      </c>
      <c r="Z1654" s="1" t="s">
        <v>71</v>
      </c>
      <c r="AE1654" s="1" t="s">
        <v>5673</v>
      </c>
      <c r="AH1654" s="1" t="s">
        <v>73</v>
      </c>
      <c r="AK1654" s="1" t="s">
        <v>71</v>
      </c>
      <c r="AM1654" s="1" t="s">
        <v>71</v>
      </c>
      <c r="AN1654" s="1" t="s">
        <v>71</v>
      </c>
      <c r="AS1654" s="1" t="s">
        <v>71</v>
      </c>
      <c r="AX1654" s="1" t="s">
        <v>71</v>
      </c>
      <c r="AY1654" s="1" t="s">
        <v>59</v>
      </c>
      <c r="AZ1654" s="1" t="s">
        <v>74</v>
      </c>
      <c r="BH1654" s="1" t="s">
        <v>71</v>
      </c>
    </row>
    <row r="1655" customFormat="false" ht="15" hidden="false" customHeight="false" outlineLevel="0" collapsed="false">
      <c r="A1655" s="1" t="s">
        <v>5674</v>
      </c>
      <c r="B1655" s="1" t="s">
        <v>5675</v>
      </c>
      <c r="C1655" s="1" t="s">
        <v>324</v>
      </c>
      <c r="D1655" s="1" t="s">
        <v>325</v>
      </c>
      <c r="E1655" s="1" t="s">
        <v>61</v>
      </c>
      <c r="F1655" s="1" t="s">
        <v>101</v>
      </c>
      <c r="G1655" s="1" t="s">
        <v>148</v>
      </c>
      <c r="H1655" s="1" t="s">
        <v>231</v>
      </c>
      <c r="K1655" s="1" t="s">
        <v>146</v>
      </c>
      <c r="L1655" s="1" t="s">
        <v>1386</v>
      </c>
      <c r="M1655" s="1" t="s">
        <v>242</v>
      </c>
      <c r="N1655" s="1" t="s">
        <v>1388</v>
      </c>
      <c r="O1655" s="1" t="s">
        <v>1389</v>
      </c>
      <c r="P1655" s="1" t="s">
        <v>5676</v>
      </c>
      <c r="U1655" s="1" t="s">
        <v>5674</v>
      </c>
      <c r="Z1655" s="1" t="s">
        <v>71</v>
      </c>
      <c r="AE1655" s="1" t="s">
        <v>5677</v>
      </c>
      <c r="AH1655" s="1" t="s">
        <v>73</v>
      </c>
      <c r="AK1655" s="1" t="s">
        <v>71</v>
      </c>
      <c r="AM1655" s="1" t="s">
        <v>71</v>
      </c>
      <c r="AN1655" s="1" t="s">
        <v>71</v>
      </c>
      <c r="AS1655" s="1" t="s">
        <v>71</v>
      </c>
      <c r="AX1655" s="1" t="s">
        <v>71</v>
      </c>
      <c r="AY1655" s="1" t="s">
        <v>59</v>
      </c>
      <c r="AZ1655" s="1" t="s">
        <v>74</v>
      </c>
      <c r="BH1655" s="1" t="s">
        <v>71</v>
      </c>
    </row>
    <row r="1656" customFormat="false" ht="15" hidden="false" customHeight="false" outlineLevel="0" collapsed="false">
      <c r="A1656" s="1" t="s">
        <v>5678</v>
      </c>
      <c r="B1656" s="1" t="s">
        <v>5679</v>
      </c>
      <c r="C1656" s="1" t="s">
        <v>318</v>
      </c>
      <c r="D1656" s="1" t="s">
        <v>1466</v>
      </c>
      <c r="E1656" s="1" t="s">
        <v>61</v>
      </c>
      <c r="F1656" s="1" t="s">
        <v>101</v>
      </c>
      <c r="G1656" s="1" t="s">
        <v>275</v>
      </c>
      <c r="H1656" s="1" t="s">
        <v>276</v>
      </c>
      <c r="K1656" s="1" t="s">
        <v>142</v>
      </c>
      <c r="L1656" s="1" t="s">
        <v>295</v>
      </c>
      <c r="M1656" s="1" t="s">
        <v>296</v>
      </c>
      <c r="N1656" s="1" t="s">
        <v>1470</v>
      </c>
      <c r="O1656" s="1" t="s">
        <v>1471</v>
      </c>
      <c r="P1656" s="1" t="s">
        <v>4824</v>
      </c>
      <c r="U1656" s="1" t="s">
        <v>5678</v>
      </c>
      <c r="Z1656" s="1" t="s">
        <v>71</v>
      </c>
      <c r="AE1656" s="1" t="s">
        <v>5677</v>
      </c>
      <c r="AH1656" s="1" t="s">
        <v>73</v>
      </c>
      <c r="AK1656" s="1" t="s">
        <v>71</v>
      </c>
      <c r="AM1656" s="1" t="s">
        <v>71</v>
      </c>
      <c r="AN1656" s="1" t="s">
        <v>71</v>
      </c>
      <c r="AS1656" s="1" t="s">
        <v>71</v>
      </c>
      <c r="AX1656" s="1" t="s">
        <v>71</v>
      </c>
      <c r="AY1656" s="1" t="s">
        <v>59</v>
      </c>
      <c r="AZ1656" s="1" t="s">
        <v>74</v>
      </c>
      <c r="BH1656" s="1" t="s">
        <v>71</v>
      </c>
    </row>
    <row r="1657" customFormat="false" ht="15" hidden="false" customHeight="false" outlineLevel="0" collapsed="false">
      <c r="A1657" s="1" t="s">
        <v>5680</v>
      </c>
      <c r="B1657" s="1" t="s">
        <v>5681</v>
      </c>
      <c r="C1657" s="1" t="s">
        <v>318</v>
      </c>
      <c r="D1657" s="1" t="s">
        <v>1466</v>
      </c>
      <c r="E1657" s="1" t="s">
        <v>65</v>
      </c>
      <c r="F1657" s="1" t="s">
        <v>119</v>
      </c>
      <c r="G1657" s="1" t="s">
        <v>88</v>
      </c>
      <c r="H1657" s="1" t="s">
        <v>255</v>
      </c>
      <c r="K1657" s="1" t="s">
        <v>290</v>
      </c>
      <c r="L1657" s="1" t="s">
        <v>5682</v>
      </c>
      <c r="M1657" s="1" t="s">
        <v>296</v>
      </c>
      <c r="N1657" s="1" t="s">
        <v>259</v>
      </c>
      <c r="O1657" s="1" t="s">
        <v>260</v>
      </c>
      <c r="P1657" s="1" t="s">
        <v>3768</v>
      </c>
      <c r="U1657" s="1" t="s">
        <v>5680</v>
      </c>
      <c r="Z1657" s="1" t="s">
        <v>71</v>
      </c>
      <c r="AE1657" s="1" t="s">
        <v>5677</v>
      </c>
      <c r="AH1657" s="1" t="s">
        <v>73</v>
      </c>
      <c r="AK1657" s="1" t="s">
        <v>71</v>
      </c>
      <c r="AM1657" s="1" t="s">
        <v>71</v>
      </c>
      <c r="AN1657" s="1" t="s">
        <v>71</v>
      </c>
      <c r="AS1657" s="1" t="s">
        <v>71</v>
      </c>
      <c r="AX1657" s="1" t="s">
        <v>71</v>
      </c>
      <c r="AY1657" s="1" t="s">
        <v>59</v>
      </c>
      <c r="AZ1657" s="1" t="s">
        <v>74</v>
      </c>
      <c r="BH1657" s="1" t="s">
        <v>71</v>
      </c>
    </row>
    <row r="1658" customFormat="false" ht="15" hidden="false" customHeight="false" outlineLevel="0" collapsed="false">
      <c r="A1658" s="1" t="s">
        <v>5683</v>
      </c>
      <c r="B1658" s="1" t="s">
        <v>5684</v>
      </c>
      <c r="C1658" s="1" t="s">
        <v>318</v>
      </c>
      <c r="D1658" s="1" t="s">
        <v>1466</v>
      </c>
      <c r="E1658" s="1" t="s">
        <v>61</v>
      </c>
      <c r="F1658" s="1" t="s">
        <v>101</v>
      </c>
      <c r="G1658" s="1" t="s">
        <v>275</v>
      </c>
      <c r="H1658" s="1" t="s">
        <v>276</v>
      </c>
      <c r="K1658" s="1" t="s">
        <v>5187</v>
      </c>
      <c r="L1658" s="1" t="s">
        <v>5188</v>
      </c>
      <c r="M1658" s="1" t="s">
        <v>5063</v>
      </c>
      <c r="N1658" s="1" t="s">
        <v>5189</v>
      </c>
      <c r="O1658" s="1" t="s">
        <v>5190</v>
      </c>
      <c r="P1658" s="1" t="s">
        <v>5191</v>
      </c>
      <c r="U1658" s="1" t="s">
        <v>5683</v>
      </c>
      <c r="Z1658" s="1" t="s">
        <v>71</v>
      </c>
      <c r="AE1658" s="1" t="s">
        <v>5677</v>
      </c>
      <c r="AH1658" s="1" t="s">
        <v>73</v>
      </c>
      <c r="AK1658" s="1" t="s">
        <v>71</v>
      </c>
      <c r="AM1658" s="1" t="s">
        <v>71</v>
      </c>
      <c r="AN1658" s="1" t="s">
        <v>71</v>
      </c>
      <c r="AS1658" s="1" t="s">
        <v>71</v>
      </c>
      <c r="AX1658" s="1" t="s">
        <v>71</v>
      </c>
      <c r="AY1658" s="1" t="s">
        <v>59</v>
      </c>
      <c r="AZ1658" s="1" t="s">
        <v>74</v>
      </c>
      <c r="BH1658" s="1" t="s">
        <v>71</v>
      </c>
    </row>
    <row r="1659" customFormat="false" ht="15" hidden="false" customHeight="false" outlineLevel="0" collapsed="false">
      <c r="A1659" s="1" t="s">
        <v>5685</v>
      </c>
      <c r="B1659" s="1" t="s">
        <v>5686</v>
      </c>
      <c r="C1659" s="1" t="s">
        <v>318</v>
      </c>
      <c r="D1659" s="1" t="s">
        <v>1466</v>
      </c>
      <c r="E1659" s="1" t="s">
        <v>61</v>
      </c>
      <c r="F1659" s="1" t="s">
        <v>101</v>
      </c>
      <c r="G1659" s="1" t="s">
        <v>177</v>
      </c>
      <c r="H1659" s="1" t="s">
        <v>255</v>
      </c>
      <c r="K1659" s="1" t="s">
        <v>115</v>
      </c>
      <c r="L1659" s="1" t="s">
        <v>1236</v>
      </c>
      <c r="M1659" s="1" t="s">
        <v>296</v>
      </c>
      <c r="N1659" s="1" t="s">
        <v>259</v>
      </c>
      <c r="O1659" s="1" t="s">
        <v>260</v>
      </c>
      <c r="P1659" s="1" t="s">
        <v>3768</v>
      </c>
      <c r="U1659" s="1" t="s">
        <v>5685</v>
      </c>
      <c r="Z1659" s="1" t="s">
        <v>71</v>
      </c>
      <c r="AE1659" s="1" t="s">
        <v>5677</v>
      </c>
      <c r="AH1659" s="1" t="s">
        <v>73</v>
      </c>
      <c r="AK1659" s="1" t="s">
        <v>71</v>
      </c>
      <c r="AM1659" s="1" t="s">
        <v>71</v>
      </c>
      <c r="AN1659" s="1" t="s">
        <v>71</v>
      </c>
      <c r="AS1659" s="1" t="s">
        <v>71</v>
      </c>
      <c r="AX1659" s="1" t="s">
        <v>71</v>
      </c>
      <c r="AY1659" s="1" t="s">
        <v>59</v>
      </c>
      <c r="AZ1659" s="1" t="s">
        <v>74</v>
      </c>
      <c r="BH1659" s="1" t="s">
        <v>71</v>
      </c>
    </row>
    <row r="1660" customFormat="false" ht="15" hidden="false" customHeight="false" outlineLevel="0" collapsed="false">
      <c r="A1660" s="1" t="s">
        <v>5687</v>
      </c>
      <c r="B1660" s="1" t="s">
        <v>5688</v>
      </c>
      <c r="C1660" s="1" t="s">
        <v>1343</v>
      </c>
      <c r="D1660" s="1" t="s">
        <v>1344</v>
      </c>
      <c r="E1660" s="1" t="s">
        <v>61</v>
      </c>
      <c r="F1660" s="1" t="s">
        <v>101</v>
      </c>
      <c r="G1660" s="1" t="s">
        <v>115</v>
      </c>
      <c r="H1660" s="1" t="s">
        <v>5689</v>
      </c>
      <c r="K1660" s="1" t="s">
        <v>59</v>
      </c>
      <c r="L1660" s="1" t="s">
        <v>5690</v>
      </c>
      <c r="M1660" s="1" t="s">
        <v>5691</v>
      </c>
      <c r="N1660" s="1" t="s">
        <v>5692</v>
      </c>
      <c r="O1660" s="1" t="s">
        <v>5693</v>
      </c>
      <c r="P1660" s="1" t="s">
        <v>5694</v>
      </c>
      <c r="U1660" s="1" t="s">
        <v>5687</v>
      </c>
      <c r="Z1660" s="1" t="s">
        <v>71</v>
      </c>
      <c r="AE1660" s="1" t="s">
        <v>5677</v>
      </c>
      <c r="AH1660" s="1" t="s">
        <v>73</v>
      </c>
      <c r="AK1660" s="1" t="s">
        <v>71</v>
      </c>
      <c r="AM1660" s="1" t="s">
        <v>71</v>
      </c>
      <c r="AN1660" s="1" t="s">
        <v>71</v>
      </c>
      <c r="AS1660" s="1" t="s">
        <v>71</v>
      </c>
      <c r="AX1660" s="1" t="s">
        <v>71</v>
      </c>
      <c r="AY1660" s="1" t="s">
        <v>59</v>
      </c>
      <c r="AZ1660" s="1" t="s">
        <v>74</v>
      </c>
      <c r="BH1660" s="1" t="s">
        <v>71</v>
      </c>
    </row>
    <row r="1661" customFormat="false" ht="15" hidden="false" customHeight="false" outlineLevel="0" collapsed="false">
      <c r="A1661" s="1" t="s">
        <v>5695</v>
      </c>
      <c r="B1661" s="1" t="s">
        <v>5696</v>
      </c>
      <c r="C1661" s="1" t="s">
        <v>136</v>
      </c>
      <c r="D1661" s="1" t="s">
        <v>208</v>
      </c>
      <c r="E1661" s="1" t="s">
        <v>61</v>
      </c>
      <c r="F1661" s="1" t="s">
        <v>101</v>
      </c>
      <c r="G1661" s="1" t="s">
        <v>93</v>
      </c>
      <c r="H1661" s="1" t="s">
        <v>64</v>
      </c>
      <c r="K1661" s="1" t="s">
        <v>1784</v>
      </c>
      <c r="L1661" s="1" t="s">
        <v>1785</v>
      </c>
      <c r="M1661" s="1" t="s">
        <v>122</v>
      </c>
      <c r="N1661" s="1" t="s">
        <v>105</v>
      </c>
      <c r="O1661" s="1" t="s">
        <v>106</v>
      </c>
      <c r="P1661" s="1" t="s">
        <v>3539</v>
      </c>
      <c r="U1661" s="1" t="s">
        <v>5695</v>
      </c>
      <c r="Z1661" s="1" t="s">
        <v>71</v>
      </c>
      <c r="AE1661" s="1" t="s">
        <v>5697</v>
      </c>
      <c r="AH1661" s="1" t="s">
        <v>73</v>
      </c>
      <c r="AK1661" s="1" t="s">
        <v>71</v>
      </c>
      <c r="AM1661" s="1" t="s">
        <v>71</v>
      </c>
      <c r="AN1661" s="1" t="s">
        <v>71</v>
      </c>
      <c r="AS1661" s="1" t="s">
        <v>71</v>
      </c>
      <c r="AX1661" s="1" t="s">
        <v>71</v>
      </c>
      <c r="AY1661" s="1" t="s">
        <v>59</v>
      </c>
      <c r="AZ1661" s="1" t="s">
        <v>74</v>
      </c>
      <c r="BH1661" s="1" t="s">
        <v>71</v>
      </c>
    </row>
    <row r="1662" customFormat="false" ht="15" hidden="false" customHeight="false" outlineLevel="0" collapsed="false">
      <c r="A1662" s="1" t="s">
        <v>5698</v>
      </c>
      <c r="B1662" s="1" t="s">
        <v>5699</v>
      </c>
      <c r="C1662" s="1" t="s">
        <v>136</v>
      </c>
      <c r="D1662" s="1" t="s">
        <v>208</v>
      </c>
      <c r="E1662" s="1" t="s">
        <v>61</v>
      </c>
      <c r="F1662" s="1" t="s">
        <v>101</v>
      </c>
      <c r="G1662" s="1" t="s">
        <v>93</v>
      </c>
      <c r="H1662" s="1" t="s">
        <v>64</v>
      </c>
      <c r="K1662" s="1" t="s">
        <v>215</v>
      </c>
      <c r="L1662" s="1" t="s">
        <v>197</v>
      </c>
      <c r="M1662" s="1" t="s">
        <v>104</v>
      </c>
      <c r="N1662" s="1" t="s">
        <v>105</v>
      </c>
      <c r="O1662" s="1" t="s">
        <v>106</v>
      </c>
      <c r="P1662" s="1" t="s">
        <v>3539</v>
      </c>
      <c r="U1662" s="1" t="s">
        <v>5698</v>
      </c>
      <c r="Z1662" s="1" t="s">
        <v>71</v>
      </c>
      <c r="AE1662" s="1" t="s">
        <v>5697</v>
      </c>
      <c r="AH1662" s="1" t="s">
        <v>73</v>
      </c>
      <c r="AK1662" s="1" t="s">
        <v>71</v>
      </c>
      <c r="AM1662" s="1" t="s">
        <v>71</v>
      </c>
      <c r="AN1662" s="1" t="s">
        <v>71</v>
      </c>
      <c r="AS1662" s="1" t="s">
        <v>71</v>
      </c>
      <c r="AX1662" s="1" t="s">
        <v>71</v>
      </c>
      <c r="AY1662" s="1" t="s">
        <v>59</v>
      </c>
      <c r="AZ1662" s="1" t="s">
        <v>74</v>
      </c>
      <c r="BH1662" s="1" t="s">
        <v>71</v>
      </c>
    </row>
    <row r="1663" customFormat="false" ht="15" hidden="false" customHeight="false" outlineLevel="0" collapsed="false">
      <c r="A1663" s="1" t="s">
        <v>5700</v>
      </c>
      <c r="B1663" s="1" t="s">
        <v>5701</v>
      </c>
      <c r="C1663" s="1" t="s">
        <v>1070</v>
      </c>
      <c r="D1663" s="1" t="s">
        <v>3765</v>
      </c>
      <c r="E1663" s="1" t="s">
        <v>61</v>
      </c>
      <c r="F1663" s="1" t="s">
        <v>101</v>
      </c>
      <c r="G1663" s="1" t="s">
        <v>148</v>
      </c>
      <c r="H1663" s="1" t="s">
        <v>231</v>
      </c>
      <c r="K1663" s="1" t="s">
        <v>372</v>
      </c>
      <c r="L1663" s="1" t="s">
        <v>5702</v>
      </c>
      <c r="M1663" s="1" t="s">
        <v>296</v>
      </c>
      <c r="N1663" s="1" t="s">
        <v>243</v>
      </c>
      <c r="O1663" s="1" t="s">
        <v>244</v>
      </c>
      <c r="P1663" s="1" t="s">
        <v>3503</v>
      </c>
      <c r="U1663" s="1" t="s">
        <v>5700</v>
      </c>
      <c r="Z1663" s="1" t="s">
        <v>71</v>
      </c>
      <c r="AE1663" s="1" t="s">
        <v>5697</v>
      </c>
      <c r="AH1663" s="1" t="s">
        <v>73</v>
      </c>
      <c r="AK1663" s="1" t="s">
        <v>71</v>
      </c>
      <c r="AM1663" s="1" t="s">
        <v>71</v>
      </c>
      <c r="AN1663" s="1" t="s">
        <v>71</v>
      </c>
      <c r="AS1663" s="1" t="s">
        <v>71</v>
      </c>
      <c r="AX1663" s="1" t="s">
        <v>71</v>
      </c>
      <c r="AY1663" s="1" t="s">
        <v>59</v>
      </c>
      <c r="AZ1663" s="1" t="s">
        <v>74</v>
      </c>
      <c r="BH1663" s="1" t="s">
        <v>71</v>
      </c>
    </row>
    <row r="1664" customFormat="false" ht="15" hidden="false" customHeight="false" outlineLevel="0" collapsed="false">
      <c r="A1664" s="1" t="s">
        <v>5703</v>
      </c>
      <c r="B1664" s="1" t="s">
        <v>5704</v>
      </c>
      <c r="C1664" s="1" t="s">
        <v>1343</v>
      </c>
      <c r="D1664" s="1" t="s">
        <v>1344</v>
      </c>
      <c r="E1664" s="1" t="s">
        <v>61</v>
      </c>
      <c r="F1664" s="1" t="s">
        <v>101</v>
      </c>
      <c r="G1664" s="1" t="s">
        <v>93</v>
      </c>
      <c r="H1664" s="1" t="s">
        <v>64</v>
      </c>
      <c r="K1664" s="1" t="s">
        <v>126</v>
      </c>
      <c r="L1664" s="1" t="s">
        <v>335</v>
      </c>
      <c r="M1664" s="1" t="s">
        <v>1512</v>
      </c>
      <c r="N1664" s="1" t="s">
        <v>105</v>
      </c>
      <c r="O1664" s="1" t="s">
        <v>106</v>
      </c>
      <c r="P1664" s="1" t="s">
        <v>3539</v>
      </c>
      <c r="U1664" s="1" t="s">
        <v>5703</v>
      </c>
      <c r="Z1664" s="1" t="s">
        <v>71</v>
      </c>
      <c r="AE1664" s="1" t="s">
        <v>5697</v>
      </c>
      <c r="AH1664" s="1" t="s">
        <v>73</v>
      </c>
      <c r="AK1664" s="1" t="s">
        <v>71</v>
      </c>
      <c r="AM1664" s="1" t="s">
        <v>71</v>
      </c>
      <c r="AN1664" s="1" t="s">
        <v>71</v>
      </c>
      <c r="AS1664" s="1" t="s">
        <v>71</v>
      </c>
      <c r="AX1664" s="1" t="s">
        <v>71</v>
      </c>
      <c r="AY1664" s="1" t="s">
        <v>59</v>
      </c>
      <c r="AZ1664" s="1" t="s">
        <v>74</v>
      </c>
      <c r="BH1664" s="1" t="s">
        <v>71</v>
      </c>
    </row>
    <row r="1665" customFormat="false" ht="15" hidden="false" customHeight="false" outlineLevel="0" collapsed="false">
      <c r="A1665" s="1" t="s">
        <v>5705</v>
      </c>
      <c r="B1665" s="1" t="s">
        <v>5706</v>
      </c>
      <c r="C1665" s="1" t="s">
        <v>5543</v>
      </c>
      <c r="D1665" s="1" t="s">
        <v>5544</v>
      </c>
      <c r="E1665" s="1" t="s">
        <v>61</v>
      </c>
      <c r="F1665" s="1" t="s">
        <v>101</v>
      </c>
      <c r="G1665" s="1" t="s">
        <v>93</v>
      </c>
      <c r="H1665" s="1" t="s">
        <v>64</v>
      </c>
      <c r="K1665" s="1" t="s">
        <v>988</v>
      </c>
      <c r="L1665" s="1" t="s">
        <v>5707</v>
      </c>
      <c r="M1665" s="1" t="s">
        <v>5708</v>
      </c>
      <c r="N1665" s="1" t="s">
        <v>5709</v>
      </c>
      <c r="O1665" s="1" t="s">
        <v>5710</v>
      </c>
      <c r="P1665" s="1" t="s">
        <v>5711</v>
      </c>
      <c r="U1665" s="1" t="s">
        <v>5705</v>
      </c>
      <c r="Z1665" s="1" t="s">
        <v>71</v>
      </c>
      <c r="AE1665" s="1" t="s">
        <v>5712</v>
      </c>
      <c r="AH1665" s="1" t="s">
        <v>73</v>
      </c>
      <c r="AK1665" s="1" t="s">
        <v>71</v>
      </c>
      <c r="AM1665" s="1" t="s">
        <v>71</v>
      </c>
      <c r="AN1665" s="1" t="s">
        <v>71</v>
      </c>
      <c r="AS1665" s="1" t="s">
        <v>71</v>
      </c>
      <c r="AX1665" s="1" t="s">
        <v>71</v>
      </c>
      <c r="AY1665" s="1" t="s">
        <v>59</v>
      </c>
      <c r="AZ1665" s="1" t="s">
        <v>74</v>
      </c>
      <c r="BH1665" s="1" t="s">
        <v>71</v>
      </c>
    </row>
    <row r="1666" customFormat="false" ht="15" hidden="false" customHeight="false" outlineLevel="0" collapsed="false">
      <c r="A1666" s="1" t="s">
        <v>5713</v>
      </c>
      <c r="B1666" s="1" t="s">
        <v>5714</v>
      </c>
      <c r="C1666" s="1" t="s">
        <v>288</v>
      </c>
      <c r="D1666" s="1" t="s">
        <v>289</v>
      </c>
      <c r="E1666" s="1" t="s">
        <v>61</v>
      </c>
      <c r="F1666" s="1" t="s">
        <v>101</v>
      </c>
      <c r="G1666" s="1" t="s">
        <v>134</v>
      </c>
      <c r="H1666" s="1" t="s">
        <v>4875</v>
      </c>
      <c r="K1666" s="1" t="s">
        <v>5096</v>
      </c>
      <c r="L1666" s="1" t="s">
        <v>5097</v>
      </c>
      <c r="M1666" s="1" t="s">
        <v>104</v>
      </c>
      <c r="N1666" s="1" t="s">
        <v>1177</v>
      </c>
      <c r="O1666" s="1" t="s">
        <v>1178</v>
      </c>
      <c r="P1666" s="1" t="s">
        <v>4732</v>
      </c>
      <c r="U1666" s="1" t="s">
        <v>5713</v>
      </c>
      <c r="Z1666" s="1" t="s">
        <v>71</v>
      </c>
      <c r="AE1666" s="1" t="s">
        <v>5715</v>
      </c>
      <c r="AH1666" s="1" t="s">
        <v>73</v>
      </c>
      <c r="AK1666" s="1" t="s">
        <v>71</v>
      </c>
      <c r="AM1666" s="1" t="s">
        <v>71</v>
      </c>
      <c r="AN1666" s="1" t="s">
        <v>71</v>
      </c>
      <c r="AS1666" s="1" t="s">
        <v>71</v>
      </c>
      <c r="AX1666" s="1" t="s">
        <v>71</v>
      </c>
      <c r="AY1666" s="1" t="s">
        <v>59</v>
      </c>
      <c r="AZ1666" s="1" t="s">
        <v>74</v>
      </c>
      <c r="BH1666" s="1" t="s">
        <v>71</v>
      </c>
    </row>
    <row r="1667" customFormat="false" ht="15" hidden="false" customHeight="false" outlineLevel="0" collapsed="false">
      <c r="A1667" s="1" t="s">
        <v>5716</v>
      </c>
      <c r="B1667" s="1" t="s">
        <v>5717</v>
      </c>
      <c r="C1667" s="1" t="s">
        <v>288</v>
      </c>
      <c r="D1667" s="1" t="s">
        <v>289</v>
      </c>
      <c r="E1667" s="1" t="s">
        <v>61</v>
      </c>
      <c r="F1667" s="1" t="s">
        <v>101</v>
      </c>
      <c r="G1667" s="1" t="s">
        <v>93</v>
      </c>
      <c r="H1667" s="1" t="s">
        <v>64</v>
      </c>
      <c r="K1667" s="1" t="s">
        <v>206</v>
      </c>
      <c r="L1667" s="1" t="s">
        <v>1558</v>
      </c>
      <c r="M1667" s="1" t="s">
        <v>104</v>
      </c>
      <c r="N1667" s="1" t="s">
        <v>105</v>
      </c>
      <c r="O1667" s="1" t="s">
        <v>106</v>
      </c>
      <c r="P1667" s="1" t="s">
        <v>3539</v>
      </c>
      <c r="U1667" s="1" t="s">
        <v>5716</v>
      </c>
      <c r="Z1667" s="1" t="s">
        <v>71</v>
      </c>
      <c r="AE1667" s="1" t="s">
        <v>5715</v>
      </c>
      <c r="AH1667" s="1" t="s">
        <v>73</v>
      </c>
      <c r="AK1667" s="1" t="s">
        <v>71</v>
      </c>
      <c r="AM1667" s="1" t="s">
        <v>71</v>
      </c>
      <c r="AN1667" s="1" t="s">
        <v>71</v>
      </c>
      <c r="AS1667" s="1" t="s">
        <v>71</v>
      </c>
      <c r="AX1667" s="1" t="s">
        <v>71</v>
      </c>
      <c r="AY1667" s="1" t="s">
        <v>59</v>
      </c>
      <c r="AZ1667" s="1" t="s">
        <v>74</v>
      </c>
      <c r="BH1667" s="1" t="s">
        <v>71</v>
      </c>
    </row>
    <row r="1668" customFormat="false" ht="15" hidden="false" customHeight="false" outlineLevel="0" collapsed="false">
      <c r="A1668" s="1" t="s">
        <v>5718</v>
      </c>
      <c r="B1668" s="1" t="s">
        <v>5719</v>
      </c>
      <c r="C1668" s="1" t="s">
        <v>1200</v>
      </c>
      <c r="D1668" s="1" t="s">
        <v>3535</v>
      </c>
      <c r="E1668" s="1" t="s">
        <v>61</v>
      </c>
      <c r="F1668" s="1" t="s">
        <v>101</v>
      </c>
      <c r="G1668" s="1" t="s">
        <v>93</v>
      </c>
      <c r="H1668" s="1" t="s">
        <v>64</v>
      </c>
      <c r="K1668" s="1" t="s">
        <v>1784</v>
      </c>
      <c r="L1668" s="1" t="s">
        <v>1785</v>
      </c>
      <c r="M1668" s="1" t="s">
        <v>104</v>
      </c>
      <c r="N1668" s="1" t="s">
        <v>105</v>
      </c>
      <c r="O1668" s="1" t="s">
        <v>106</v>
      </c>
      <c r="P1668" s="1" t="s">
        <v>3539</v>
      </c>
      <c r="U1668" s="1" t="s">
        <v>5718</v>
      </c>
      <c r="Z1668" s="1" t="s">
        <v>71</v>
      </c>
      <c r="AE1668" s="1" t="s">
        <v>5720</v>
      </c>
      <c r="AH1668" s="1" t="s">
        <v>73</v>
      </c>
      <c r="AK1668" s="1" t="s">
        <v>71</v>
      </c>
      <c r="AM1668" s="1" t="s">
        <v>71</v>
      </c>
      <c r="AN1668" s="1" t="s">
        <v>71</v>
      </c>
      <c r="AS1668" s="1" t="s">
        <v>71</v>
      </c>
      <c r="AX1668" s="1" t="s">
        <v>71</v>
      </c>
      <c r="AY1668" s="1" t="s">
        <v>59</v>
      </c>
      <c r="AZ1668" s="1" t="s">
        <v>74</v>
      </c>
      <c r="BH1668" s="1" t="s">
        <v>71</v>
      </c>
    </row>
    <row r="1669" customFormat="false" ht="15" hidden="false" customHeight="false" outlineLevel="0" collapsed="false">
      <c r="A1669" s="1" t="s">
        <v>5721</v>
      </c>
      <c r="B1669" s="1" t="s">
        <v>5722</v>
      </c>
      <c r="C1669" s="1" t="s">
        <v>1200</v>
      </c>
      <c r="D1669" s="1" t="s">
        <v>3535</v>
      </c>
      <c r="E1669" s="1" t="s">
        <v>65</v>
      </c>
      <c r="F1669" s="1" t="s">
        <v>119</v>
      </c>
      <c r="G1669" s="1" t="s">
        <v>65</v>
      </c>
      <c r="H1669" s="1" t="s">
        <v>64</v>
      </c>
      <c r="K1669" s="1" t="s">
        <v>177</v>
      </c>
      <c r="L1669" s="1" t="s">
        <v>178</v>
      </c>
      <c r="M1669" s="1" t="s">
        <v>592</v>
      </c>
      <c r="N1669" s="1" t="s">
        <v>123</v>
      </c>
      <c r="O1669" s="1" t="s">
        <v>124</v>
      </c>
      <c r="P1669" s="1" t="s">
        <v>4161</v>
      </c>
      <c r="U1669" s="1" t="s">
        <v>5721</v>
      </c>
      <c r="Z1669" s="1" t="s">
        <v>71</v>
      </c>
      <c r="AE1669" s="1" t="s">
        <v>5720</v>
      </c>
      <c r="AH1669" s="1" t="s">
        <v>73</v>
      </c>
      <c r="AK1669" s="1" t="s">
        <v>71</v>
      </c>
      <c r="AM1669" s="1" t="s">
        <v>71</v>
      </c>
      <c r="AN1669" s="1" t="s">
        <v>71</v>
      </c>
      <c r="AS1669" s="1" t="s">
        <v>71</v>
      </c>
      <c r="AX1669" s="1" t="s">
        <v>71</v>
      </c>
      <c r="AY1669" s="1" t="s">
        <v>59</v>
      </c>
      <c r="AZ1669" s="1" t="s">
        <v>74</v>
      </c>
      <c r="BH1669" s="1" t="s">
        <v>71</v>
      </c>
    </row>
    <row r="1670" customFormat="false" ht="15" hidden="false" customHeight="false" outlineLevel="0" collapsed="false">
      <c r="A1670" s="1" t="s">
        <v>5723</v>
      </c>
      <c r="B1670" s="1" t="s">
        <v>5724</v>
      </c>
      <c r="C1670" s="1" t="s">
        <v>1200</v>
      </c>
      <c r="D1670" s="1" t="s">
        <v>3535</v>
      </c>
      <c r="E1670" s="1" t="s">
        <v>61</v>
      </c>
      <c r="F1670" s="1" t="s">
        <v>101</v>
      </c>
      <c r="G1670" s="1" t="s">
        <v>93</v>
      </c>
      <c r="H1670" s="1" t="s">
        <v>64</v>
      </c>
      <c r="K1670" s="1" t="s">
        <v>1092</v>
      </c>
      <c r="L1670" s="1" t="s">
        <v>1093</v>
      </c>
      <c r="M1670" s="1" t="s">
        <v>104</v>
      </c>
      <c r="N1670" s="1" t="s">
        <v>105</v>
      </c>
      <c r="O1670" s="1" t="s">
        <v>106</v>
      </c>
      <c r="P1670" s="1" t="s">
        <v>3539</v>
      </c>
      <c r="U1670" s="1" t="s">
        <v>5723</v>
      </c>
      <c r="Z1670" s="1" t="s">
        <v>71</v>
      </c>
      <c r="AE1670" s="1" t="s">
        <v>5720</v>
      </c>
      <c r="AH1670" s="1" t="s">
        <v>73</v>
      </c>
      <c r="AK1670" s="1" t="s">
        <v>71</v>
      </c>
      <c r="AM1670" s="1" t="s">
        <v>71</v>
      </c>
      <c r="AN1670" s="1" t="s">
        <v>71</v>
      </c>
      <c r="AS1670" s="1" t="s">
        <v>71</v>
      </c>
      <c r="AX1670" s="1" t="s">
        <v>71</v>
      </c>
      <c r="AY1670" s="1" t="s">
        <v>59</v>
      </c>
      <c r="AZ1670" s="1" t="s">
        <v>74</v>
      </c>
      <c r="BH1670" s="1" t="s">
        <v>71</v>
      </c>
    </row>
    <row r="1671" customFormat="false" ht="15" hidden="false" customHeight="false" outlineLevel="0" collapsed="false">
      <c r="A1671" s="1" t="s">
        <v>5725</v>
      </c>
      <c r="B1671" s="1" t="s">
        <v>5726</v>
      </c>
      <c r="C1671" s="1" t="s">
        <v>1200</v>
      </c>
      <c r="D1671" s="1" t="s">
        <v>3535</v>
      </c>
      <c r="E1671" s="1" t="s">
        <v>61</v>
      </c>
      <c r="F1671" s="1" t="s">
        <v>101</v>
      </c>
      <c r="G1671" s="1" t="s">
        <v>93</v>
      </c>
      <c r="H1671" s="1" t="s">
        <v>64</v>
      </c>
      <c r="K1671" s="1" t="s">
        <v>206</v>
      </c>
      <c r="L1671" s="1" t="s">
        <v>1558</v>
      </c>
      <c r="M1671" s="1" t="s">
        <v>104</v>
      </c>
      <c r="N1671" s="1" t="s">
        <v>105</v>
      </c>
      <c r="O1671" s="1" t="s">
        <v>106</v>
      </c>
      <c r="P1671" s="1" t="s">
        <v>3539</v>
      </c>
      <c r="U1671" s="1" t="s">
        <v>5725</v>
      </c>
      <c r="Z1671" s="1" t="s">
        <v>71</v>
      </c>
      <c r="AE1671" s="1" t="s">
        <v>5720</v>
      </c>
      <c r="AH1671" s="1" t="s">
        <v>73</v>
      </c>
      <c r="AK1671" s="1" t="s">
        <v>71</v>
      </c>
      <c r="AM1671" s="1" t="s">
        <v>71</v>
      </c>
      <c r="AN1671" s="1" t="s">
        <v>71</v>
      </c>
      <c r="AS1671" s="1" t="s">
        <v>71</v>
      </c>
      <c r="AX1671" s="1" t="s">
        <v>71</v>
      </c>
      <c r="AY1671" s="1" t="s">
        <v>59</v>
      </c>
      <c r="AZ1671" s="1" t="s">
        <v>74</v>
      </c>
      <c r="BH1671" s="1" t="s">
        <v>71</v>
      </c>
    </row>
    <row r="1672" customFormat="false" ht="15" hidden="false" customHeight="false" outlineLevel="0" collapsed="false">
      <c r="A1672" s="1" t="s">
        <v>5727</v>
      </c>
      <c r="B1672" s="1" t="s">
        <v>5728</v>
      </c>
      <c r="C1672" s="1" t="s">
        <v>1200</v>
      </c>
      <c r="D1672" s="1" t="s">
        <v>3535</v>
      </c>
      <c r="E1672" s="1" t="s">
        <v>61</v>
      </c>
      <c r="F1672" s="1" t="s">
        <v>101</v>
      </c>
      <c r="G1672" s="1" t="s">
        <v>93</v>
      </c>
      <c r="H1672" s="1" t="s">
        <v>64</v>
      </c>
      <c r="K1672" s="1" t="s">
        <v>389</v>
      </c>
      <c r="L1672" s="1" t="s">
        <v>5138</v>
      </c>
      <c r="M1672" s="1" t="s">
        <v>104</v>
      </c>
      <c r="N1672" s="1" t="s">
        <v>5729</v>
      </c>
      <c r="O1672" s="1" t="s">
        <v>5730</v>
      </c>
      <c r="P1672" s="1" t="s">
        <v>5731</v>
      </c>
      <c r="U1672" s="1" t="s">
        <v>5727</v>
      </c>
      <c r="Z1672" s="1" t="s">
        <v>71</v>
      </c>
      <c r="AE1672" s="1" t="s">
        <v>5720</v>
      </c>
      <c r="AH1672" s="1" t="s">
        <v>73</v>
      </c>
      <c r="AK1672" s="1" t="s">
        <v>71</v>
      </c>
      <c r="AM1672" s="1" t="s">
        <v>71</v>
      </c>
      <c r="AN1672" s="1" t="s">
        <v>71</v>
      </c>
      <c r="AS1672" s="1" t="s">
        <v>71</v>
      </c>
      <c r="AX1672" s="1" t="s">
        <v>71</v>
      </c>
      <c r="AY1672" s="1" t="s">
        <v>59</v>
      </c>
      <c r="AZ1672" s="1" t="s">
        <v>74</v>
      </c>
      <c r="BH1672" s="1" t="s">
        <v>71</v>
      </c>
    </row>
    <row r="1673" customFormat="false" ht="15" hidden="false" customHeight="false" outlineLevel="0" collapsed="false">
      <c r="A1673" s="1" t="s">
        <v>5732</v>
      </c>
      <c r="B1673" s="1" t="s">
        <v>5733</v>
      </c>
      <c r="C1673" s="1" t="s">
        <v>1200</v>
      </c>
      <c r="D1673" s="1" t="s">
        <v>3535</v>
      </c>
      <c r="E1673" s="1" t="s">
        <v>61</v>
      </c>
      <c r="F1673" s="1" t="s">
        <v>101</v>
      </c>
      <c r="G1673" s="1" t="s">
        <v>93</v>
      </c>
      <c r="H1673" s="1" t="s">
        <v>64</v>
      </c>
      <c r="K1673" s="1" t="s">
        <v>290</v>
      </c>
      <c r="L1673" s="1" t="s">
        <v>291</v>
      </c>
      <c r="M1673" s="1" t="s">
        <v>104</v>
      </c>
      <c r="N1673" s="1" t="s">
        <v>105</v>
      </c>
      <c r="O1673" s="1" t="s">
        <v>106</v>
      </c>
      <c r="P1673" s="1" t="s">
        <v>3539</v>
      </c>
      <c r="U1673" s="1" t="s">
        <v>5732</v>
      </c>
      <c r="Z1673" s="1" t="s">
        <v>71</v>
      </c>
      <c r="AE1673" s="1" t="s">
        <v>5720</v>
      </c>
      <c r="AH1673" s="1" t="s">
        <v>73</v>
      </c>
      <c r="AK1673" s="1" t="s">
        <v>71</v>
      </c>
      <c r="AM1673" s="1" t="s">
        <v>71</v>
      </c>
      <c r="AN1673" s="1" t="s">
        <v>71</v>
      </c>
      <c r="AS1673" s="1" t="s">
        <v>71</v>
      </c>
      <c r="AX1673" s="1" t="s">
        <v>71</v>
      </c>
      <c r="AY1673" s="1" t="s">
        <v>59</v>
      </c>
      <c r="AZ1673" s="1" t="s">
        <v>74</v>
      </c>
      <c r="BH1673" s="1" t="s">
        <v>71</v>
      </c>
    </row>
    <row r="1674" customFormat="false" ht="15" hidden="false" customHeight="false" outlineLevel="0" collapsed="false">
      <c r="A1674" s="1" t="s">
        <v>5734</v>
      </c>
      <c r="B1674" s="1" t="s">
        <v>5735</v>
      </c>
      <c r="C1674" s="1" t="s">
        <v>288</v>
      </c>
      <c r="D1674" s="1" t="s">
        <v>289</v>
      </c>
      <c r="E1674" s="1" t="s">
        <v>148</v>
      </c>
      <c r="F1674" s="1" t="s">
        <v>1495</v>
      </c>
      <c r="G1674" s="1" t="s">
        <v>224</v>
      </c>
      <c r="H1674" s="1" t="s">
        <v>5736</v>
      </c>
      <c r="K1674" s="1" t="s">
        <v>59</v>
      </c>
      <c r="L1674" s="1" t="s">
        <v>5737</v>
      </c>
      <c r="M1674" s="1" t="s">
        <v>5738</v>
      </c>
      <c r="N1674" s="1" t="s">
        <v>5423</v>
      </c>
      <c r="O1674" s="1" t="s">
        <v>5424</v>
      </c>
      <c r="P1674" s="1" t="s">
        <v>5425</v>
      </c>
      <c r="U1674" s="1" t="s">
        <v>5734</v>
      </c>
      <c r="Z1674" s="1" t="s">
        <v>71</v>
      </c>
      <c r="AE1674" s="1" t="s">
        <v>5739</v>
      </c>
      <c r="AH1674" s="1" t="s">
        <v>73</v>
      </c>
      <c r="AK1674" s="1" t="s">
        <v>71</v>
      </c>
      <c r="AM1674" s="1" t="s">
        <v>71</v>
      </c>
      <c r="AN1674" s="1" t="s">
        <v>71</v>
      </c>
      <c r="AS1674" s="1" t="s">
        <v>71</v>
      </c>
      <c r="AX1674" s="1" t="s">
        <v>71</v>
      </c>
      <c r="AY1674" s="1" t="s">
        <v>59</v>
      </c>
      <c r="AZ1674" s="1" t="s">
        <v>74</v>
      </c>
      <c r="BH1674" s="1" t="s">
        <v>71</v>
      </c>
    </row>
    <row r="1675" customFormat="false" ht="15" hidden="false" customHeight="false" outlineLevel="0" collapsed="false">
      <c r="A1675" s="1" t="s">
        <v>5740</v>
      </c>
      <c r="B1675" s="1" t="s">
        <v>5741</v>
      </c>
      <c r="C1675" s="1" t="s">
        <v>288</v>
      </c>
      <c r="D1675" s="1" t="s">
        <v>289</v>
      </c>
      <c r="E1675" s="1" t="s">
        <v>148</v>
      </c>
      <c r="F1675" s="1" t="s">
        <v>1495</v>
      </c>
      <c r="G1675" s="1" t="s">
        <v>224</v>
      </c>
      <c r="H1675" s="1" t="s">
        <v>5736</v>
      </c>
      <c r="K1675" s="1" t="s">
        <v>65</v>
      </c>
      <c r="L1675" s="1" t="s">
        <v>5742</v>
      </c>
      <c r="M1675" s="1" t="s">
        <v>5738</v>
      </c>
      <c r="N1675" s="1" t="s">
        <v>5709</v>
      </c>
      <c r="O1675" s="1" t="s">
        <v>5710</v>
      </c>
      <c r="P1675" s="1" t="s">
        <v>5711</v>
      </c>
      <c r="U1675" s="1" t="s">
        <v>5740</v>
      </c>
      <c r="Z1675" s="1" t="s">
        <v>71</v>
      </c>
      <c r="AE1675" s="1" t="s">
        <v>5739</v>
      </c>
      <c r="AH1675" s="1" t="s">
        <v>73</v>
      </c>
      <c r="AK1675" s="1" t="s">
        <v>71</v>
      </c>
      <c r="AM1675" s="1" t="s">
        <v>71</v>
      </c>
      <c r="AN1675" s="1" t="s">
        <v>71</v>
      </c>
      <c r="AS1675" s="1" t="s">
        <v>71</v>
      </c>
      <c r="AX1675" s="1" t="s">
        <v>71</v>
      </c>
      <c r="AY1675" s="1" t="s">
        <v>59</v>
      </c>
      <c r="AZ1675" s="1" t="s">
        <v>74</v>
      </c>
      <c r="BH1675" s="1" t="s">
        <v>71</v>
      </c>
    </row>
    <row r="1676" customFormat="false" ht="15" hidden="false" customHeight="false" outlineLevel="0" collapsed="false">
      <c r="A1676" s="1" t="s">
        <v>5743</v>
      </c>
      <c r="B1676" s="1" t="s">
        <v>5744</v>
      </c>
      <c r="C1676" s="1" t="s">
        <v>288</v>
      </c>
      <c r="D1676" s="1" t="s">
        <v>289</v>
      </c>
      <c r="E1676" s="1" t="s">
        <v>148</v>
      </c>
      <c r="F1676" s="1" t="s">
        <v>1495</v>
      </c>
      <c r="G1676" s="1" t="s">
        <v>478</v>
      </c>
      <c r="H1676" s="1" t="s">
        <v>5745</v>
      </c>
      <c r="K1676" s="1" t="s">
        <v>59</v>
      </c>
      <c r="L1676" s="1" t="s">
        <v>5746</v>
      </c>
      <c r="M1676" s="1" t="s">
        <v>5747</v>
      </c>
      <c r="N1676" s="1" t="s">
        <v>5423</v>
      </c>
      <c r="O1676" s="1" t="s">
        <v>5424</v>
      </c>
      <c r="P1676" s="1" t="s">
        <v>5425</v>
      </c>
      <c r="U1676" s="1" t="s">
        <v>5743</v>
      </c>
      <c r="Z1676" s="1" t="s">
        <v>71</v>
      </c>
      <c r="AE1676" s="1" t="s">
        <v>5739</v>
      </c>
      <c r="AH1676" s="1" t="s">
        <v>73</v>
      </c>
      <c r="AK1676" s="1" t="s">
        <v>71</v>
      </c>
      <c r="AM1676" s="1" t="s">
        <v>71</v>
      </c>
      <c r="AN1676" s="1" t="s">
        <v>71</v>
      </c>
      <c r="AS1676" s="1" t="s">
        <v>71</v>
      </c>
      <c r="AX1676" s="1" t="s">
        <v>71</v>
      </c>
      <c r="AY1676" s="1" t="s">
        <v>59</v>
      </c>
      <c r="AZ1676" s="1" t="s">
        <v>74</v>
      </c>
      <c r="BH1676" s="1" t="s">
        <v>71</v>
      </c>
    </row>
    <row r="1677" customFormat="false" ht="15" hidden="false" customHeight="false" outlineLevel="0" collapsed="false">
      <c r="A1677" s="1" t="s">
        <v>5748</v>
      </c>
      <c r="B1677" s="1" t="s">
        <v>5749</v>
      </c>
      <c r="C1677" s="1" t="s">
        <v>1487</v>
      </c>
      <c r="D1677" s="1" t="s">
        <v>1488</v>
      </c>
      <c r="E1677" s="1" t="s">
        <v>61</v>
      </c>
      <c r="F1677" s="1" t="s">
        <v>101</v>
      </c>
      <c r="G1677" s="1" t="s">
        <v>275</v>
      </c>
      <c r="H1677" s="1" t="s">
        <v>276</v>
      </c>
      <c r="K1677" s="1" t="s">
        <v>1479</v>
      </c>
      <c r="L1677" s="1" t="s">
        <v>1480</v>
      </c>
      <c r="M1677" s="1" t="s">
        <v>296</v>
      </c>
      <c r="N1677" s="1" t="s">
        <v>1365</v>
      </c>
      <c r="O1677" s="1" t="s">
        <v>1366</v>
      </c>
      <c r="P1677" s="1" t="s">
        <v>4820</v>
      </c>
      <c r="U1677" s="1" t="s">
        <v>5748</v>
      </c>
      <c r="Z1677" s="1" t="s">
        <v>71</v>
      </c>
      <c r="AE1677" s="1" t="s">
        <v>5750</v>
      </c>
      <c r="AH1677" s="1" t="s">
        <v>73</v>
      </c>
      <c r="AK1677" s="1" t="s">
        <v>71</v>
      </c>
      <c r="AM1677" s="1" t="s">
        <v>71</v>
      </c>
      <c r="AN1677" s="1" t="s">
        <v>71</v>
      </c>
      <c r="AS1677" s="1" t="s">
        <v>71</v>
      </c>
      <c r="AX1677" s="1" t="s">
        <v>71</v>
      </c>
      <c r="AY1677" s="1" t="s">
        <v>59</v>
      </c>
      <c r="AZ1677" s="1" t="s">
        <v>74</v>
      </c>
      <c r="BH1677" s="1" t="s">
        <v>71</v>
      </c>
    </row>
    <row r="1678" customFormat="false" ht="15" hidden="false" customHeight="false" outlineLevel="0" collapsed="false">
      <c r="A1678" s="1" t="s">
        <v>5751</v>
      </c>
      <c r="B1678" s="1" t="s">
        <v>5752</v>
      </c>
      <c r="C1678" s="1" t="s">
        <v>1556</v>
      </c>
      <c r="D1678" s="1" t="s">
        <v>5530</v>
      </c>
      <c r="E1678" s="1" t="s">
        <v>65</v>
      </c>
      <c r="F1678" s="1" t="s">
        <v>119</v>
      </c>
      <c r="G1678" s="1" t="s">
        <v>88</v>
      </c>
      <c r="H1678" s="1" t="s">
        <v>255</v>
      </c>
      <c r="K1678" s="1" t="s">
        <v>256</v>
      </c>
      <c r="L1678" s="1" t="s">
        <v>257</v>
      </c>
      <c r="M1678" s="1" t="s">
        <v>242</v>
      </c>
      <c r="N1678" s="1" t="s">
        <v>259</v>
      </c>
      <c r="O1678" s="1" t="s">
        <v>260</v>
      </c>
      <c r="P1678" s="1" t="s">
        <v>3768</v>
      </c>
      <c r="U1678" s="1" t="s">
        <v>5751</v>
      </c>
      <c r="Z1678" s="1" t="s">
        <v>71</v>
      </c>
      <c r="AE1678" s="1" t="s">
        <v>5750</v>
      </c>
      <c r="AH1678" s="1" t="s">
        <v>73</v>
      </c>
      <c r="AK1678" s="1" t="s">
        <v>71</v>
      </c>
      <c r="AM1678" s="1" t="s">
        <v>71</v>
      </c>
      <c r="AN1678" s="1" t="s">
        <v>71</v>
      </c>
      <c r="AS1678" s="1" t="s">
        <v>71</v>
      </c>
      <c r="AX1678" s="1" t="s">
        <v>71</v>
      </c>
      <c r="AY1678" s="1" t="s">
        <v>59</v>
      </c>
      <c r="AZ1678" s="1" t="s">
        <v>74</v>
      </c>
      <c r="BH1678" s="1" t="s">
        <v>71</v>
      </c>
    </row>
    <row r="1679" customFormat="false" ht="15" hidden="false" customHeight="false" outlineLevel="0" collapsed="false">
      <c r="A1679" s="1" t="s">
        <v>5753</v>
      </c>
      <c r="B1679" s="1" t="s">
        <v>5754</v>
      </c>
      <c r="C1679" s="1" t="s">
        <v>1556</v>
      </c>
      <c r="D1679" s="1" t="s">
        <v>5530</v>
      </c>
      <c r="E1679" s="1" t="s">
        <v>61</v>
      </c>
      <c r="F1679" s="1" t="s">
        <v>101</v>
      </c>
      <c r="G1679" s="1" t="s">
        <v>148</v>
      </c>
      <c r="H1679" s="1" t="s">
        <v>231</v>
      </c>
      <c r="K1679" s="1" t="s">
        <v>1335</v>
      </c>
      <c r="L1679" s="1" t="s">
        <v>1336</v>
      </c>
      <c r="M1679" s="1" t="s">
        <v>296</v>
      </c>
      <c r="N1679" s="1" t="s">
        <v>243</v>
      </c>
      <c r="O1679" s="1" t="s">
        <v>244</v>
      </c>
      <c r="P1679" s="1" t="s">
        <v>3503</v>
      </c>
      <c r="U1679" s="1" t="s">
        <v>5753</v>
      </c>
      <c r="V1679" s="1" t="s">
        <v>5755</v>
      </c>
      <c r="Z1679" s="1" t="s">
        <v>71</v>
      </c>
      <c r="AE1679" s="1" t="s">
        <v>5750</v>
      </c>
      <c r="AH1679" s="1" t="s">
        <v>73</v>
      </c>
      <c r="AK1679" s="1" t="s">
        <v>71</v>
      </c>
      <c r="AM1679" s="1" t="s">
        <v>71</v>
      </c>
      <c r="AN1679" s="1" t="s">
        <v>71</v>
      </c>
      <c r="AS1679" s="1" t="s">
        <v>71</v>
      </c>
      <c r="AX1679" s="1" t="s">
        <v>71</v>
      </c>
      <c r="AY1679" s="1" t="s">
        <v>59</v>
      </c>
      <c r="AZ1679" s="1" t="s">
        <v>74</v>
      </c>
      <c r="BH1679" s="1" t="s">
        <v>71</v>
      </c>
    </row>
    <row r="1680" customFormat="false" ht="15" hidden="false" customHeight="false" outlineLevel="0" collapsed="false">
      <c r="A1680" s="1" t="s">
        <v>5756</v>
      </c>
      <c r="B1680" s="1" t="s">
        <v>5757</v>
      </c>
      <c r="C1680" s="1" t="s">
        <v>161</v>
      </c>
      <c r="D1680" s="1" t="s">
        <v>162</v>
      </c>
      <c r="E1680" s="1" t="s">
        <v>61</v>
      </c>
      <c r="F1680" s="1" t="s">
        <v>101</v>
      </c>
      <c r="G1680" s="1" t="s">
        <v>93</v>
      </c>
      <c r="H1680" s="1" t="s">
        <v>64</v>
      </c>
      <c r="K1680" s="1" t="s">
        <v>290</v>
      </c>
      <c r="L1680" s="1" t="s">
        <v>291</v>
      </c>
      <c r="M1680" s="1" t="s">
        <v>104</v>
      </c>
      <c r="N1680" s="1" t="s">
        <v>105</v>
      </c>
      <c r="O1680" s="1" t="s">
        <v>106</v>
      </c>
      <c r="P1680" s="1" t="s">
        <v>3539</v>
      </c>
      <c r="U1680" s="1" t="s">
        <v>5756</v>
      </c>
      <c r="Z1680" s="1" t="s">
        <v>71</v>
      </c>
      <c r="AE1680" s="1" t="s">
        <v>5758</v>
      </c>
      <c r="AH1680" s="1" t="s">
        <v>73</v>
      </c>
      <c r="AK1680" s="1" t="s">
        <v>71</v>
      </c>
      <c r="AM1680" s="1" t="s">
        <v>71</v>
      </c>
      <c r="AN1680" s="1" t="s">
        <v>71</v>
      </c>
      <c r="AS1680" s="1" t="s">
        <v>71</v>
      </c>
      <c r="AX1680" s="1" t="s">
        <v>71</v>
      </c>
      <c r="AY1680" s="1" t="s">
        <v>59</v>
      </c>
      <c r="AZ1680" s="1" t="s">
        <v>74</v>
      </c>
      <c r="BH1680" s="1" t="s">
        <v>71</v>
      </c>
    </row>
    <row r="1681" customFormat="false" ht="15" hidden="false" customHeight="false" outlineLevel="0" collapsed="false">
      <c r="A1681" s="1" t="s">
        <v>5759</v>
      </c>
      <c r="B1681" s="1" t="s">
        <v>5760</v>
      </c>
      <c r="C1681" s="1" t="s">
        <v>161</v>
      </c>
      <c r="D1681" s="1" t="s">
        <v>162</v>
      </c>
      <c r="E1681" s="1" t="s">
        <v>61</v>
      </c>
      <c r="F1681" s="1" t="s">
        <v>101</v>
      </c>
      <c r="G1681" s="1" t="s">
        <v>93</v>
      </c>
      <c r="H1681" s="1" t="s">
        <v>64</v>
      </c>
      <c r="K1681" s="1" t="s">
        <v>249</v>
      </c>
      <c r="L1681" s="1" t="s">
        <v>250</v>
      </c>
      <c r="M1681" s="1" t="s">
        <v>104</v>
      </c>
      <c r="N1681" s="1" t="s">
        <v>105</v>
      </c>
      <c r="O1681" s="1" t="s">
        <v>106</v>
      </c>
      <c r="P1681" s="1" t="s">
        <v>3539</v>
      </c>
      <c r="U1681" s="1" t="s">
        <v>5759</v>
      </c>
      <c r="Z1681" s="1" t="s">
        <v>71</v>
      </c>
      <c r="AE1681" s="1" t="s">
        <v>5758</v>
      </c>
      <c r="AH1681" s="1" t="s">
        <v>73</v>
      </c>
      <c r="AK1681" s="1" t="s">
        <v>71</v>
      </c>
      <c r="AM1681" s="1" t="s">
        <v>71</v>
      </c>
      <c r="AN1681" s="1" t="s">
        <v>71</v>
      </c>
      <c r="AS1681" s="1" t="s">
        <v>71</v>
      </c>
      <c r="AX1681" s="1" t="s">
        <v>71</v>
      </c>
      <c r="AY1681" s="1" t="s">
        <v>59</v>
      </c>
      <c r="AZ1681" s="1" t="s">
        <v>74</v>
      </c>
      <c r="BH1681" s="1" t="s">
        <v>71</v>
      </c>
    </row>
    <row r="1682" customFormat="false" ht="15" hidden="false" customHeight="false" outlineLevel="0" collapsed="false">
      <c r="A1682" s="1" t="s">
        <v>5761</v>
      </c>
      <c r="B1682" s="1" t="s">
        <v>5762</v>
      </c>
      <c r="C1682" s="1" t="s">
        <v>161</v>
      </c>
      <c r="D1682" s="1" t="s">
        <v>162</v>
      </c>
      <c r="E1682" s="1" t="s">
        <v>61</v>
      </c>
      <c r="F1682" s="1" t="s">
        <v>101</v>
      </c>
      <c r="G1682" s="1" t="s">
        <v>93</v>
      </c>
      <c r="H1682" s="1" t="s">
        <v>64</v>
      </c>
      <c r="K1682" s="1" t="s">
        <v>201</v>
      </c>
      <c r="L1682" s="1" t="s">
        <v>4102</v>
      </c>
      <c r="M1682" s="1" t="s">
        <v>104</v>
      </c>
      <c r="N1682" s="1" t="s">
        <v>105</v>
      </c>
      <c r="O1682" s="1" t="s">
        <v>106</v>
      </c>
      <c r="P1682" s="1" t="s">
        <v>3539</v>
      </c>
      <c r="U1682" s="1" t="s">
        <v>5761</v>
      </c>
      <c r="Z1682" s="1" t="s">
        <v>71</v>
      </c>
      <c r="AE1682" s="1" t="s">
        <v>5763</v>
      </c>
      <c r="AH1682" s="1" t="s">
        <v>73</v>
      </c>
      <c r="AK1682" s="1" t="s">
        <v>71</v>
      </c>
      <c r="AM1682" s="1" t="s">
        <v>71</v>
      </c>
      <c r="AN1682" s="1" t="s">
        <v>71</v>
      </c>
      <c r="AS1682" s="1" t="s">
        <v>71</v>
      </c>
      <c r="AX1682" s="1" t="s">
        <v>71</v>
      </c>
      <c r="AY1682" s="1" t="s">
        <v>59</v>
      </c>
      <c r="AZ1682" s="1" t="s">
        <v>74</v>
      </c>
      <c r="BH1682" s="1" t="s">
        <v>71</v>
      </c>
    </row>
    <row r="1683" customFormat="false" ht="15" hidden="false" customHeight="false" outlineLevel="0" collapsed="false">
      <c r="A1683" s="1" t="s">
        <v>5764</v>
      </c>
      <c r="B1683" s="1" t="s">
        <v>5765</v>
      </c>
      <c r="C1683" s="1" t="s">
        <v>4818</v>
      </c>
      <c r="D1683" s="1" t="s">
        <v>4819</v>
      </c>
      <c r="E1683" s="1" t="s">
        <v>61</v>
      </c>
      <c r="F1683" s="1" t="s">
        <v>101</v>
      </c>
      <c r="G1683" s="1" t="s">
        <v>275</v>
      </c>
      <c r="H1683" s="1" t="s">
        <v>276</v>
      </c>
      <c r="K1683" s="1" t="s">
        <v>1118</v>
      </c>
      <c r="L1683" s="1" t="s">
        <v>3151</v>
      </c>
      <c r="M1683" s="1" t="s">
        <v>296</v>
      </c>
      <c r="N1683" s="1" t="s">
        <v>5189</v>
      </c>
      <c r="O1683" s="1" t="s">
        <v>5190</v>
      </c>
      <c r="P1683" s="1" t="s">
        <v>5191</v>
      </c>
      <c r="U1683" s="1" t="s">
        <v>5764</v>
      </c>
      <c r="Z1683" s="1" t="s">
        <v>71</v>
      </c>
      <c r="AE1683" s="1" t="s">
        <v>5766</v>
      </c>
      <c r="AH1683" s="1" t="s">
        <v>73</v>
      </c>
      <c r="AK1683" s="1" t="s">
        <v>71</v>
      </c>
      <c r="AM1683" s="1" t="s">
        <v>71</v>
      </c>
      <c r="AN1683" s="1" t="s">
        <v>71</v>
      </c>
      <c r="AS1683" s="1" t="s">
        <v>71</v>
      </c>
      <c r="AX1683" s="1" t="s">
        <v>71</v>
      </c>
      <c r="AY1683" s="1" t="s">
        <v>59</v>
      </c>
      <c r="AZ1683" s="1" t="s">
        <v>74</v>
      </c>
      <c r="BH1683" s="1" t="s">
        <v>71</v>
      </c>
    </row>
    <row r="1684" customFormat="false" ht="15" hidden="false" customHeight="false" outlineLevel="0" collapsed="false">
      <c r="A1684" s="1" t="s">
        <v>5767</v>
      </c>
      <c r="B1684" s="1" t="s">
        <v>5768</v>
      </c>
      <c r="C1684" s="1" t="s">
        <v>5565</v>
      </c>
      <c r="D1684" s="1" t="s">
        <v>5566</v>
      </c>
      <c r="E1684" s="1" t="s">
        <v>65</v>
      </c>
      <c r="F1684" s="1" t="s">
        <v>119</v>
      </c>
      <c r="G1684" s="1" t="s">
        <v>88</v>
      </c>
      <c r="H1684" s="1" t="s">
        <v>255</v>
      </c>
      <c r="K1684" s="1" t="s">
        <v>256</v>
      </c>
      <c r="L1684" s="1" t="s">
        <v>257</v>
      </c>
      <c r="M1684" s="1" t="s">
        <v>258</v>
      </c>
      <c r="N1684" s="1" t="s">
        <v>259</v>
      </c>
      <c r="O1684" s="1" t="s">
        <v>260</v>
      </c>
      <c r="P1684" s="1" t="s">
        <v>3768</v>
      </c>
      <c r="U1684" s="1" t="s">
        <v>5767</v>
      </c>
      <c r="Z1684" s="1" t="s">
        <v>71</v>
      </c>
      <c r="AE1684" s="1" t="s">
        <v>5769</v>
      </c>
      <c r="AH1684" s="1" t="s">
        <v>73</v>
      </c>
      <c r="AK1684" s="1" t="s">
        <v>71</v>
      </c>
      <c r="AM1684" s="1" t="s">
        <v>71</v>
      </c>
      <c r="AN1684" s="1" t="s">
        <v>71</v>
      </c>
      <c r="AS1684" s="1" t="s">
        <v>71</v>
      </c>
      <c r="AX1684" s="1" t="s">
        <v>71</v>
      </c>
      <c r="AY1684" s="1" t="s">
        <v>59</v>
      </c>
      <c r="AZ1684" s="1" t="s">
        <v>74</v>
      </c>
      <c r="BH1684" s="1" t="s">
        <v>71</v>
      </c>
    </row>
    <row r="1685" customFormat="false" ht="15" hidden="false" customHeight="false" outlineLevel="0" collapsed="false">
      <c r="A1685" s="1" t="s">
        <v>5770</v>
      </c>
      <c r="B1685" s="1" t="s">
        <v>5771</v>
      </c>
      <c r="C1685" s="1" t="s">
        <v>5565</v>
      </c>
      <c r="D1685" s="1" t="s">
        <v>5566</v>
      </c>
      <c r="E1685" s="1" t="s">
        <v>61</v>
      </c>
      <c r="F1685" s="1" t="s">
        <v>101</v>
      </c>
      <c r="G1685" s="1" t="s">
        <v>148</v>
      </c>
      <c r="H1685" s="1" t="s">
        <v>231</v>
      </c>
      <c r="K1685" s="1" t="s">
        <v>435</v>
      </c>
      <c r="L1685" s="1" t="s">
        <v>5331</v>
      </c>
      <c r="M1685" s="1" t="s">
        <v>828</v>
      </c>
      <c r="N1685" s="1" t="s">
        <v>375</v>
      </c>
      <c r="O1685" s="1" t="s">
        <v>376</v>
      </c>
      <c r="P1685" s="1" t="s">
        <v>5536</v>
      </c>
      <c r="U1685" s="1" t="s">
        <v>5770</v>
      </c>
      <c r="Z1685" s="1" t="s">
        <v>71</v>
      </c>
      <c r="AE1685" s="1" t="s">
        <v>5769</v>
      </c>
      <c r="AH1685" s="1" t="s">
        <v>73</v>
      </c>
      <c r="AK1685" s="1" t="s">
        <v>71</v>
      </c>
      <c r="AM1685" s="1" t="s">
        <v>71</v>
      </c>
      <c r="AN1685" s="1" t="s">
        <v>71</v>
      </c>
      <c r="AS1685" s="1" t="s">
        <v>71</v>
      </c>
      <c r="AX1685" s="1" t="s">
        <v>71</v>
      </c>
      <c r="AY1685" s="1" t="s">
        <v>59</v>
      </c>
      <c r="AZ1685" s="1" t="s">
        <v>74</v>
      </c>
      <c r="BH1685" s="1" t="s">
        <v>71</v>
      </c>
    </row>
    <row r="1686" customFormat="false" ht="15" hidden="false" customHeight="false" outlineLevel="0" collapsed="false">
      <c r="A1686" s="1" t="s">
        <v>5772</v>
      </c>
      <c r="B1686" s="1" t="s">
        <v>5773</v>
      </c>
      <c r="C1686" s="1" t="s">
        <v>1070</v>
      </c>
      <c r="D1686" s="1" t="s">
        <v>3765</v>
      </c>
      <c r="E1686" s="1" t="s">
        <v>65</v>
      </c>
      <c r="F1686" s="1" t="s">
        <v>119</v>
      </c>
      <c r="G1686" s="1" t="s">
        <v>61</v>
      </c>
      <c r="H1686" s="1" t="s">
        <v>231</v>
      </c>
      <c r="K1686" s="1" t="s">
        <v>142</v>
      </c>
      <c r="L1686" s="1" t="s">
        <v>5774</v>
      </c>
      <c r="M1686" s="1" t="s">
        <v>1604</v>
      </c>
      <c r="N1686" s="1" t="s">
        <v>375</v>
      </c>
      <c r="O1686" s="1" t="s">
        <v>376</v>
      </c>
      <c r="P1686" s="1" t="s">
        <v>5536</v>
      </c>
      <c r="U1686" s="1" t="s">
        <v>5772</v>
      </c>
      <c r="Z1686" s="1" t="s">
        <v>71</v>
      </c>
      <c r="AE1686" s="1" t="s">
        <v>5775</v>
      </c>
      <c r="AH1686" s="1" t="s">
        <v>73</v>
      </c>
      <c r="AK1686" s="1" t="s">
        <v>71</v>
      </c>
      <c r="AM1686" s="1" t="s">
        <v>71</v>
      </c>
      <c r="AN1686" s="1" t="s">
        <v>71</v>
      </c>
      <c r="AS1686" s="1" t="s">
        <v>71</v>
      </c>
      <c r="AX1686" s="1" t="s">
        <v>71</v>
      </c>
      <c r="AY1686" s="1" t="s">
        <v>59</v>
      </c>
      <c r="AZ1686" s="1" t="s">
        <v>74</v>
      </c>
      <c r="BH1686" s="1" t="s">
        <v>71</v>
      </c>
    </row>
    <row r="1687" customFormat="false" ht="15" hidden="false" customHeight="false" outlineLevel="0" collapsed="false">
      <c r="A1687" s="1" t="s">
        <v>5776</v>
      </c>
      <c r="B1687" s="1" t="s">
        <v>5777</v>
      </c>
      <c r="C1687" s="1" t="s">
        <v>5543</v>
      </c>
      <c r="D1687" s="1" t="s">
        <v>5544</v>
      </c>
      <c r="E1687" s="1" t="s">
        <v>61</v>
      </c>
      <c r="F1687" s="1" t="s">
        <v>101</v>
      </c>
      <c r="G1687" s="1" t="s">
        <v>275</v>
      </c>
      <c r="H1687" s="1" t="s">
        <v>276</v>
      </c>
      <c r="K1687" s="1" t="s">
        <v>138</v>
      </c>
      <c r="L1687" s="1" t="s">
        <v>5778</v>
      </c>
      <c r="M1687" s="1" t="s">
        <v>5708</v>
      </c>
      <c r="N1687" s="1" t="s">
        <v>5779</v>
      </c>
      <c r="O1687" s="1" t="s">
        <v>5780</v>
      </c>
      <c r="P1687" s="1" t="s">
        <v>5781</v>
      </c>
      <c r="U1687" s="1" t="s">
        <v>5776</v>
      </c>
      <c r="Z1687" s="1" t="s">
        <v>71</v>
      </c>
      <c r="AE1687" s="1" t="s">
        <v>5782</v>
      </c>
      <c r="AH1687" s="1" t="s">
        <v>73</v>
      </c>
      <c r="AK1687" s="1" t="s">
        <v>71</v>
      </c>
      <c r="AM1687" s="1" t="s">
        <v>71</v>
      </c>
      <c r="AN1687" s="1" t="s">
        <v>71</v>
      </c>
      <c r="AS1687" s="1" t="s">
        <v>71</v>
      </c>
      <c r="AX1687" s="1" t="s">
        <v>71</v>
      </c>
      <c r="AY1687" s="1" t="s">
        <v>59</v>
      </c>
      <c r="AZ1687" s="1" t="s">
        <v>74</v>
      </c>
      <c r="BH1687" s="1" t="s">
        <v>71</v>
      </c>
    </row>
    <row r="1688" customFormat="false" ht="15" hidden="false" customHeight="false" outlineLevel="0" collapsed="false">
      <c r="A1688" s="1" t="s">
        <v>5783</v>
      </c>
      <c r="B1688" s="1" t="s">
        <v>5784</v>
      </c>
      <c r="C1688" s="1" t="s">
        <v>288</v>
      </c>
      <c r="D1688" s="1" t="s">
        <v>289</v>
      </c>
      <c r="E1688" s="1" t="s">
        <v>61</v>
      </c>
      <c r="F1688" s="1" t="s">
        <v>101</v>
      </c>
      <c r="G1688" s="1" t="s">
        <v>134</v>
      </c>
      <c r="H1688" s="1" t="s">
        <v>4875</v>
      </c>
      <c r="K1688" s="1" t="s">
        <v>5096</v>
      </c>
      <c r="L1688" s="1" t="s">
        <v>5097</v>
      </c>
      <c r="M1688" s="1" t="s">
        <v>1555</v>
      </c>
      <c r="N1688" s="1" t="s">
        <v>105</v>
      </c>
      <c r="O1688" s="1" t="s">
        <v>106</v>
      </c>
      <c r="P1688" s="1" t="s">
        <v>3539</v>
      </c>
      <c r="U1688" s="1" t="s">
        <v>5783</v>
      </c>
      <c r="Z1688" s="1" t="s">
        <v>71</v>
      </c>
      <c r="AE1688" s="1" t="s">
        <v>5782</v>
      </c>
      <c r="AH1688" s="1" t="s">
        <v>73</v>
      </c>
      <c r="AK1688" s="1" t="s">
        <v>71</v>
      </c>
      <c r="AM1688" s="1" t="s">
        <v>71</v>
      </c>
      <c r="AN1688" s="1" t="s">
        <v>71</v>
      </c>
      <c r="AS1688" s="1" t="s">
        <v>71</v>
      </c>
      <c r="AX1688" s="1" t="s">
        <v>71</v>
      </c>
      <c r="AY1688" s="1" t="s">
        <v>59</v>
      </c>
      <c r="AZ1688" s="1" t="s">
        <v>74</v>
      </c>
      <c r="BH1688" s="1" t="s">
        <v>71</v>
      </c>
    </row>
    <row r="1689" customFormat="false" ht="15" hidden="false" customHeight="false" outlineLevel="0" collapsed="false">
      <c r="A1689" s="1" t="s">
        <v>5785</v>
      </c>
      <c r="B1689" s="1" t="s">
        <v>5786</v>
      </c>
      <c r="C1689" s="1" t="s">
        <v>213</v>
      </c>
      <c r="D1689" s="1" t="s">
        <v>214</v>
      </c>
      <c r="E1689" s="1" t="s">
        <v>61</v>
      </c>
      <c r="F1689" s="1" t="s">
        <v>101</v>
      </c>
      <c r="G1689" s="1" t="s">
        <v>93</v>
      </c>
      <c r="H1689" s="1" t="s">
        <v>64</v>
      </c>
      <c r="K1689" s="1" t="s">
        <v>206</v>
      </c>
      <c r="L1689" s="1" t="s">
        <v>1558</v>
      </c>
      <c r="M1689" s="1" t="s">
        <v>104</v>
      </c>
      <c r="N1689" s="1" t="s">
        <v>105</v>
      </c>
      <c r="O1689" s="1" t="s">
        <v>106</v>
      </c>
      <c r="P1689" s="1" t="s">
        <v>3539</v>
      </c>
      <c r="U1689" s="1" t="s">
        <v>5785</v>
      </c>
      <c r="Z1689" s="1" t="s">
        <v>71</v>
      </c>
      <c r="AE1689" s="1" t="s">
        <v>5782</v>
      </c>
      <c r="AH1689" s="1" t="s">
        <v>73</v>
      </c>
      <c r="AK1689" s="1" t="s">
        <v>71</v>
      </c>
      <c r="AM1689" s="1" t="s">
        <v>71</v>
      </c>
      <c r="AN1689" s="1" t="s">
        <v>71</v>
      </c>
      <c r="AS1689" s="1" t="s">
        <v>71</v>
      </c>
      <c r="AX1689" s="1" t="s">
        <v>71</v>
      </c>
      <c r="AY1689" s="1" t="s">
        <v>59</v>
      </c>
      <c r="AZ1689" s="1" t="s">
        <v>74</v>
      </c>
      <c r="BH1689" s="1" t="s">
        <v>71</v>
      </c>
    </row>
    <row r="1690" customFormat="false" ht="15" hidden="false" customHeight="false" outlineLevel="0" collapsed="false">
      <c r="A1690" s="1" t="s">
        <v>5787</v>
      </c>
      <c r="B1690" s="1" t="s">
        <v>5788</v>
      </c>
      <c r="C1690" s="1" t="s">
        <v>5789</v>
      </c>
      <c r="D1690" s="1" t="s">
        <v>5790</v>
      </c>
      <c r="E1690" s="1" t="s">
        <v>61</v>
      </c>
      <c r="F1690" s="1" t="s">
        <v>101</v>
      </c>
      <c r="G1690" s="1" t="s">
        <v>275</v>
      </c>
      <c r="H1690" s="1" t="s">
        <v>276</v>
      </c>
      <c r="K1690" s="1" t="s">
        <v>2495</v>
      </c>
      <c r="L1690" s="1" t="s">
        <v>2496</v>
      </c>
      <c r="M1690" s="1" t="s">
        <v>1589</v>
      </c>
      <c r="N1690" s="1" t="s">
        <v>1498</v>
      </c>
      <c r="O1690" s="1" t="s">
        <v>1499</v>
      </c>
      <c r="P1690" s="1" t="s">
        <v>3712</v>
      </c>
      <c r="U1690" s="1" t="s">
        <v>5787</v>
      </c>
      <c r="Z1690" s="1" t="s">
        <v>71</v>
      </c>
      <c r="AE1690" s="1" t="s">
        <v>5791</v>
      </c>
      <c r="AH1690" s="1" t="s">
        <v>73</v>
      </c>
      <c r="AK1690" s="1" t="s">
        <v>71</v>
      </c>
      <c r="AM1690" s="1" t="s">
        <v>71</v>
      </c>
      <c r="AN1690" s="1" t="s">
        <v>71</v>
      </c>
      <c r="AS1690" s="1" t="s">
        <v>71</v>
      </c>
      <c r="AX1690" s="1" t="s">
        <v>71</v>
      </c>
      <c r="AY1690" s="1" t="s">
        <v>59</v>
      </c>
      <c r="AZ1690" s="1" t="s">
        <v>74</v>
      </c>
      <c r="BH1690" s="1" t="s">
        <v>71</v>
      </c>
    </row>
    <row r="1691" customFormat="false" ht="15" hidden="false" customHeight="false" outlineLevel="0" collapsed="false">
      <c r="A1691" s="1" t="s">
        <v>5792</v>
      </c>
      <c r="B1691" s="1" t="s">
        <v>5793</v>
      </c>
      <c r="C1691" s="1" t="s">
        <v>1584</v>
      </c>
      <c r="D1691" s="1" t="s">
        <v>5794</v>
      </c>
      <c r="E1691" s="1" t="s">
        <v>82</v>
      </c>
      <c r="F1691" s="1" t="s">
        <v>391</v>
      </c>
      <c r="G1691" s="1" t="s">
        <v>443</v>
      </c>
      <c r="H1691" s="1" t="s">
        <v>444</v>
      </c>
      <c r="K1691" s="1" t="s">
        <v>618</v>
      </c>
      <c r="L1691" s="1" t="s">
        <v>619</v>
      </c>
      <c r="M1691" s="1" t="s">
        <v>465</v>
      </c>
      <c r="N1691" s="1" t="s">
        <v>1133</v>
      </c>
      <c r="O1691" s="1" t="s">
        <v>1134</v>
      </c>
      <c r="P1691" s="1" t="s">
        <v>5795</v>
      </c>
      <c r="Z1691" s="1" t="s">
        <v>71</v>
      </c>
      <c r="AE1691" s="1" t="s">
        <v>5796</v>
      </c>
      <c r="AH1691" s="1" t="s">
        <v>73</v>
      </c>
      <c r="AK1691" s="1" t="s">
        <v>71</v>
      </c>
      <c r="AM1691" s="1" t="s">
        <v>71</v>
      </c>
      <c r="AN1691" s="1" t="s">
        <v>71</v>
      </c>
      <c r="AS1691" s="1" t="s">
        <v>71</v>
      </c>
      <c r="AX1691" s="1" t="s">
        <v>71</v>
      </c>
      <c r="BH1691" s="1" t="s">
        <v>71</v>
      </c>
    </row>
    <row r="1692" customFormat="false" ht="15" hidden="false" customHeight="false" outlineLevel="0" collapsed="false">
      <c r="A1692" s="1" t="s">
        <v>5797</v>
      </c>
      <c r="B1692" s="1" t="s">
        <v>5798</v>
      </c>
      <c r="C1692" s="1" t="s">
        <v>706</v>
      </c>
      <c r="D1692" s="1" t="s">
        <v>707</v>
      </c>
      <c r="E1692" s="1" t="s">
        <v>82</v>
      </c>
      <c r="F1692" s="1" t="s">
        <v>391</v>
      </c>
      <c r="G1692" s="1" t="s">
        <v>213</v>
      </c>
      <c r="H1692" s="1" t="s">
        <v>477</v>
      </c>
      <c r="K1692" s="1" t="s">
        <v>478</v>
      </c>
      <c r="L1692" s="1" t="s">
        <v>479</v>
      </c>
      <c r="M1692" s="1" t="s">
        <v>496</v>
      </c>
      <c r="N1692" s="1" t="s">
        <v>1777</v>
      </c>
      <c r="O1692" s="1" t="s">
        <v>1778</v>
      </c>
      <c r="P1692" s="1" t="s">
        <v>5025</v>
      </c>
      <c r="Z1692" s="1" t="s">
        <v>71</v>
      </c>
      <c r="AE1692" s="1" t="s">
        <v>5796</v>
      </c>
      <c r="AH1692" s="1" t="s">
        <v>73</v>
      </c>
      <c r="AK1692" s="1" t="s">
        <v>71</v>
      </c>
      <c r="AM1692" s="1" t="s">
        <v>71</v>
      </c>
      <c r="AN1692" s="1" t="s">
        <v>71</v>
      </c>
      <c r="AS1692" s="1" t="s">
        <v>71</v>
      </c>
      <c r="AX1692" s="1" t="s">
        <v>71</v>
      </c>
      <c r="BH1692" s="1" t="s">
        <v>71</v>
      </c>
    </row>
    <row r="1693" customFormat="false" ht="15" hidden="false" customHeight="false" outlineLevel="0" collapsed="false">
      <c r="A1693" s="1" t="s">
        <v>5799</v>
      </c>
      <c r="B1693" s="1" t="s">
        <v>5800</v>
      </c>
      <c r="C1693" s="1" t="s">
        <v>706</v>
      </c>
      <c r="D1693" s="1" t="s">
        <v>707</v>
      </c>
      <c r="E1693" s="1" t="s">
        <v>82</v>
      </c>
      <c r="F1693" s="1" t="s">
        <v>391</v>
      </c>
      <c r="G1693" s="1" t="s">
        <v>213</v>
      </c>
      <c r="H1693" s="1" t="s">
        <v>477</v>
      </c>
      <c r="K1693" s="1" t="s">
        <v>478</v>
      </c>
      <c r="L1693" s="1" t="s">
        <v>479</v>
      </c>
      <c r="M1693" s="1" t="s">
        <v>496</v>
      </c>
      <c r="N1693" s="1" t="s">
        <v>1072</v>
      </c>
      <c r="O1693" s="1" t="s">
        <v>1073</v>
      </c>
      <c r="P1693" s="1" t="s">
        <v>5801</v>
      </c>
      <c r="Z1693" s="1" t="s">
        <v>71</v>
      </c>
      <c r="AE1693" s="1" t="s">
        <v>5796</v>
      </c>
      <c r="AH1693" s="1" t="s">
        <v>73</v>
      </c>
      <c r="AK1693" s="1" t="s">
        <v>71</v>
      </c>
      <c r="AM1693" s="1" t="s">
        <v>71</v>
      </c>
      <c r="AN1693" s="1" t="s">
        <v>71</v>
      </c>
      <c r="AS1693" s="1" t="s">
        <v>71</v>
      </c>
      <c r="AX1693" s="1" t="s">
        <v>71</v>
      </c>
      <c r="BH1693" s="1" t="s">
        <v>71</v>
      </c>
    </row>
    <row r="1694" customFormat="false" ht="15" hidden="false" customHeight="false" outlineLevel="0" collapsed="false">
      <c r="A1694" s="1" t="s">
        <v>5802</v>
      </c>
      <c r="B1694" s="1" t="s">
        <v>5803</v>
      </c>
      <c r="C1694" s="1" t="s">
        <v>1823</v>
      </c>
      <c r="D1694" s="1" t="s">
        <v>1824</v>
      </c>
      <c r="E1694" s="1" t="s">
        <v>82</v>
      </c>
      <c r="F1694" s="1" t="s">
        <v>391</v>
      </c>
      <c r="G1694" s="1" t="s">
        <v>1356</v>
      </c>
      <c r="H1694" s="1" t="s">
        <v>1825</v>
      </c>
      <c r="K1694" s="1" t="s">
        <v>251</v>
      </c>
      <c r="L1694" s="1" t="s">
        <v>3580</v>
      </c>
      <c r="M1694" s="1" t="s">
        <v>496</v>
      </c>
      <c r="N1694" s="1" t="s">
        <v>1832</v>
      </c>
      <c r="O1694" s="1" t="s">
        <v>400</v>
      </c>
      <c r="P1694" s="1" t="s">
        <v>4623</v>
      </c>
      <c r="Z1694" s="1" t="s">
        <v>71</v>
      </c>
      <c r="AE1694" s="1" t="s">
        <v>5804</v>
      </c>
      <c r="AH1694" s="1" t="s">
        <v>73</v>
      </c>
      <c r="AK1694" s="1" t="s">
        <v>71</v>
      </c>
      <c r="AM1694" s="1" t="s">
        <v>71</v>
      </c>
      <c r="AN1694" s="1" t="s">
        <v>71</v>
      </c>
      <c r="AS1694" s="1" t="s">
        <v>71</v>
      </c>
      <c r="AX1694" s="1" t="s">
        <v>71</v>
      </c>
      <c r="BH1694" s="1" t="s">
        <v>71</v>
      </c>
    </row>
    <row r="1695" customFormat="false" ht="15" hidden="false" customHeight="false" outlineLevel="0" collapsed="false">
      <c r="A1695" s="1" t="s">
        <v>5805</v>
      </c>
      <c r="B1695" s="1" t="s">
        <v>5806</v>
      </c>
      <c r="C1695" s="1" t="s">
        <v>5504</v>
      </c>
      <c r="D1695" s="1" t="s">
        <v>5505</v>
      </c>
      <c r="E1695" s="1" t="s">
        <v>61</v>
      </c>
      <c r="F1695" s="1" t="s">
        <v>101</v>
      </c>
      <c r="G1695" s="1" t="s">
        <v>275</v>
      </c>
      <c r="H1695" s="1" t="s">
        <v>276</v>
      </c>
      <c r="K1695" s="1" t="s">
        <v>1479</v>
      </c>
      <c r="L1695" s="1" t="s">
        <v>1480</v>
      </c>
      <c r="M1695" s="1" t="s">
        <v>296</v>
      </c>
      <c r="N1695" s="1" t="s">
        <v>1365</v>
      </c>
      <c r="O1695" s="1" t="s">
        <v>1366</v>
      </c>
      <c r="P1695" s="1" t="s">
        <v>4820</v>
      </c>
      <c r="U1695" s="1" t="s">
        <v>5805</v>
      </c>
      <c r="V1695" s="1" t="s">
        <v>5506</v>
      </c>
      <c r="Z1695" s="1" t="s">
        <v>71</v>
      </c>
      <c r="AE1695" s="1" t="s">
        <v>5807</v>
      </c>
      <c r="AH1695" s="1" t="s">
        <v>73</v>
      </c>
      <c r="AK1695" s="1" t="s">
        <v>71</v>
      </c>
      <c r="AM1695" s="1" t="s">
        <v>71</v>
      </c>
      <c r="AN1695" s="1" t="s">
        <v>71</v>
      </c>
      <c r="AS1695" s="1" t="s">
        <v>71</v>
      </c>
      <c r="AX1695" s="1" t="s">
        <v>71</v>
      </c>
      <c r="AY1695" s="1" t="s">
        <v>59</v>
      </c>
      <c r="AZ1695" s="1" t="s">
        <v>74</v>
      </c>
      <c r="BH1695" s="1" t="s">
        <v>71</v>
      </c>
    </row>
    <row r="1696" customFormat="false" ht="15" hidden="false" customHeight="false" outlineLevel="0" collapsed="false">
      <c r="A1696" s="1" t="s">
        <v>5808</v>
      </c>
      <c r="B1696" s="1" t="s">
        <v>5809</v>
      </c>
      <c r="C1696" s="1" t="s">
        <v>288</v>
      </c>
      <c r="D1696" s="1" t="s">
        <v>289</v>
      </c>
      <c r="E1696" s="1" t="s">
        <v>61</v>
      </c>
      <c r="F1696" s="1" t="s">
        <v>101</v>
      </c>
      <c r="G1696" s="1" t="s">
        <v>134</v>
      </c>
      <c r="H1696" s="1" t="s">
        <v>4875</v>
      </c>
      <c r="K1696" s="1" t="s">
        <v>293</v>
      </c>
      <c r="L1696" s="1" t="s">
        <v>4876</v>
      </c>
      <c r="M1696" s="1" t="s">
        <v>104</v>
      </c>
      <c r="N1696" s="1" t="s">
        <v>105</v>
      </c>
      <c r="O1696" s="1" t="s">
        <v>106</v>
      </c>
      <c r="P1696" s="1" t="s">
        <v>3539</v>
      </c>
      <c r="U1696" s="1" t="s">
        <v>5808</v>
      </c>
      <c r="Z1696" s="1" t="s">
        <v>71</v>
      </c>
      <c r="AE1696" s="1" t="s">
        <v>5807</v>
      </c>
      <c r="AH1696" s="1" t="s">
        <v>73</v>
      </c>
      <c r="AK1696" s="1" t="s">
        <v>71</v>
      </c>
      <c r="AM1696" s="1" t="s">
        <v>71</v>
      </c>
      <c r="AN1696" s="1" t="s">
        <v>71</v>
      </c>
      <c r="AS1696" s="1" t="s">
        <v>71</v>
      </c>
      <c r="AX1696" s="1" t="s">
        <v>71</v>
      </c>
      <c r="AY1696" s="1" t="s">
        <v>59</v>
      </c>
      <c r="AZ1696" s="1" t="s">
        <v>74</v>
      </c>
      <c r="BH1696" s="1" t="s">
        <v>71</v>
      </c>
    </row>
    <row r="1697" customFormat="false" ht="15" hidden="false" customHeight="false" outlineLevel="0" collapsed="false">
      <c r="A1697" s="1" t="s">
        <v>5810</v>
      </c>
      <c r="B1697" s="1" t="s">
        <v>5811</v>
      </c>
      <c r="C1697" s="1" t="s">
        <v>288</v>
      </c>
      <c r="D1697" s="1" t="s">
        <v>289</v>
      </c>
      <c r="E1697" s="1" t="s">
        <v>61</v>
      </c>
      <c r="F1697" s="1" t="s">
        <v>101</v>
      </c>
      <c r="G1697" s="1" t="s">
        <v>134</v>
      </c>
      <c r="H1697" s="1" t="s">
        <v>4875</v>
      </c>
      <c r="K1697" s="1" t="s">
        <v>293</v>
      </c>
      <c r="L1697" s="1" t="s">
        <v>4876</v>
      </c>
      <c r="M1697" s="1" t="s">
        <v>1555</v>
      </c>
      <c r="N1697" s="1" t="s">
        <v>105</v>
      </c>
      <c r="O1697" s="1" t="s">
        <v>106</v>
      </c>
      <c r="P1697" s="1" t="s">
        <v>3539</v>
      </c>
      <c r="U1697" s="1" t="s">
        <v>5810</v>
      </c>
      <c r="Z1697" s="1" t="s">
        <v>71</v>
      </c>
      <c r="AE1697" s="1" t="s">
        <v>5807</v>
      </c>
      <c r="AH1697" s="1" t="s">
        <v>73</v>
      </c>
      <c r="AK1697" s="1" t="s">
        <v>71</v>
      </c>
      <c r="AM1697" s="1" t="s">
        <v>71</v>
      </c>
      <c r="AN1697" s="1" t="s">
        <v>71</v>
      </c>
      <c r="AS1697" s="1" t="s">
        <v>71</v>
      </c>
      <c r="AX1697" s="1" t="s">
        <v>71</v>
      </c>
      <c r="AY1697" s="1" t="s">
        <v>59</v>
      </c>
      <c r="AZ1697" s="1" t="s">
        <v>74</v>
      </c>
      <c r="BH1697" s="1" t="s">
        <v>71</v>
      </c>
    </row>
    <row r="1698" customFormat="false" ht="15" hidden="false" customHeight="false" outlineLevel="0" collapsed="false">
      <c r="A1698" s="1" t="s">
        <v>5812</v>
      </c>
      <c r="B1698" s="1" t="s">
        <v>5813</v>
      </c>
      <c r="C1698" s="1" t="s">
        <v>288</v>
      </c>
      <c r="D1698" s="1" t="s">
        <v>289</v>
      </c>
      <c r="E1698" s="1" t="s">
        <v>61</v>
      </c>
      <c r="F1698" s="1" t="s">
        <v>101</v>
      </c>
      <c r="G1698" s="1" t="s">
        <v>134</v>
      </c>
      <c r="H1698" s="1" t="s">
        <v>4875</v>
      </c>
      <c r="K1698" s="1" t="s">
        <v>293</v>
      </c>
      <c r="L1698" s="1" t="s">
        <v>4876</v>
      </c>
      <c r="M1698" s="1" t="s">
        <v>104</v>
      </c>
      <c r="N1698" s="1" t="s">
        <v>105</v>
      </c>
      <c r="O1698" s="1" t="s">
        <v>106</v>
      </c>
      <c r="P1698" s="1" t="s">
        <v>3539</v>
      </c>
      <c r="U1698" s="1" t="s">
        <v>5812</v>
      </c>
      <c r="Z1698" s="1" t="s">
        <v>71</v>
      </c>
      <c r="AE1698" s="1" t="s">
        <v>5807</v>
      </c>
      <c r="AH1698" s="1" t="s">
        <v>73</v>
      </c>
      <c r="AK1698" s="1" t="s">
        <v>71</v>
      </c>
      <c r="AM1698" s="1" t="s">
        <v>71</v>
      </c>
      <c r="AN1698" s="1" t="s">
        <v>71</v>
      </c>
      <c r="AS1698" s="1" t="s">
        <v>71</v>
      </c>
      <c r="AX1698" s="1" t="s">
        <v>71</v>
      </c>
      <c r="AY1698" s="1" t="s">
        <v>59</v>
      </c>
      <c r="AZ1698" s="1" t="s">
        <v>74</v>
      </c>
      <c r="BH1698" s="1" t="s">
        <v>71</v>
      </c>
    </row>
    <row r="1699" customFormat="false" ht="15" hidden="false" customHeight="false" outlineLevel="0" collapsed="false">
      <c r="A1699" s="1" t="s">
        <v>5814</v>
      </c>
      <c r="B1699" s="1" t="s">
        <v>5815</v>
      </c>
      <c r="C1699" s="1" t="s">
        <v>288</v>
      </c>
      <c r="D1699" s="1" t="s">
        <v>289</v>
      </c>
      <c r="E1699" s="1" t="s">
        <v>61</v>
      </c>
      <c r="F1699" s="1" t="s">
        <v>101</v>
      </c>
      <c r="G1699" s="1" t="s">
        <v>134</v>
      </c>
      <c r="H1699" s="1" t="s">
        <v>4875</v>
      </c>
      <c r="K1699" s="1" t="s">
        <v>293</v>
      </c>
      <c r="L1699" s="1" t="s">
        <v>4876</v>
      </c>
      <c r="M1699" s="1" t="s">
        <v>1555</v>
      </c>
      <c r="N1699" s="1" t="s">
        <v>105</v>
      </c>
      <c r="O1699" s="1" t="s">
        <v>106</v>
      </c>
      <c r="P1699" s="1" t="s">
        <v>3539</v>
      </c>
      <c r="U1699" s="1" t="s">
        <v>5814</v>
      </c>
      <c r="Z1699" s="1" t="s">
        <v>71</v>
      </c>
      <c r="AE1699" s="1" t="s">
        <v>5807</v>
      </c>
      <c r="AH1699" s="1" t="s">
        <v>73</v>
      </c>
      <c r="AK1699" s="1" t="s">
        <v>71</v>
      </c>
      <c r="AM1699" s="1" t="s">
        <v>71</v>
      </c>
      <c r="AN1699" s="1" t="s">
        <v>71</v>
      </c>
      <c r="AS1699" s="1" t="s">
        <v>71</v>
      </c>
      <c r="AX1699" s="1" t="s">
        <v>71</v>
      </c>
      <c r="AY1699" s="1" t="s">
        <v>59</v>
      </c>
      <c r="AZ1699" s="1" t="s">
        <v>74</v>
      </c>
      <c r="BH1699" s="1" t="s">
        <v>71</v>
      </c>
    </row>
    <row r="1700" customFormat="false" ht="15" hidden="false" customHeight="false" outlineLevel="0" collapsed="false">
      <c r="A1700" s="1" t="s">
        <v>5816</v>
      </c>
      <c r="B1700" s="1" t="s">
        <v>5817</v>
      </c>
      <c r="C1700" s="1" t="s">
        <v>288</v>
      </c>
      <c r="D1700" s="1" t="s">
        <v>289</v>
      </c>
      <c r="E1700" s="1" t="s">
        <v>61</v>
      </c>
      <c r="F1700" s="1" t="s">
        <v>101</v>
      </c>
      <c r="G1700" s="1" t="s">
        <v>134</v>
      </c>
      <c r="H1700" s="1" t="s">
        <v>4875</v>
      </c>
      <c r="K1700" s="1" t="s">
        <v>293</v>
      </c>
      <c r="L1700" s="1" t="s">
        <v>4876</v>
      </c>
      <c r="M1700" s="1" t="s">
        <v>828</v>
      </c>
      <c r="N1700" s="1" t="s">
        <v>105</v>
      </c>
      <c r="O1700" s="1" t="s">
        <v>106</v>
      </c>
      <c r="P1700" s="1" t="s">
        <v>3539</v>
      </c>
      <c r="U1700" s="1" t="s">
        <v>5816</v>
      </c>
      <c r="Z1700" s="1" t="s">
        <v>71</v>
      </c>
      <c r="AE1700" s="1" t="s">
        <v>5807</v>
      </c>
      <c r="AH1700" s="1" t="s">
        <v>73</v>
      </c>
      <c r="AK1700" s="1" t="s">
        <v>71</v>
      </c>
      <c r="AM1700" s="1" t="s">
        <v>71</v>
      </c>
      <c r="AN1700" s="1" t="s">
        <v>71</v>
      </c>
      <c r="AS1700" s="1" t="s">
        <v>71</v>
      </c>
      <c r="AX1700" s="1" t="s">
        <v>71</v>
      </c>
      <c r="AY1700" s="1" t="s">
        <v>59</v>
      </c>
      <c r="AZ1700" s="1" t="s">
        <v>74</v>
      </c>
      <c r="BH1700" s="1" t="s">
        <v>71</v>
      </c>
    </row>
    <row r="1701" customFormat="false" ht="15" hidden="false" customHeight="false" outlineLevel="0" collapsed="false">
      <c r="A1701" s="1" t="s">
        <v>5818</v>
      </c>
      <c r="B1701" s="1" t="s">
        <v>5819</v>
      </c>
      <c r="C1701" s="1" t="s">
        <v>288</v>
      </c>
      <c r="D1701" s="1" t="s">
        <v>289</v>
      </c>
      <c r="E1701" s="1" t="s">
        <v>61</v>
      </c>
      <c r="F1701" s="1" t="s">
        <v>101</v>
      </c>
      <c r="G1701" s="1" t="s">
        <v>134</v>
      </c>
      <c r="H1701" s="1" t="s">
        <v>4875</v>
      </c>
      <c r="K1701" s="1" t="s">
        <v>293</v>
      </c>
      <c r="L1701" s="1" t="s">
        <v>4876</v>
      </c>
      <c r="M1701" s="1" t="s">
        <v>1555</v>
      </c>
      <c r="N1701" s="1" t="s">
        <v>105</v>
      </c>
      <c r="O1701" s="1" t="s">
        <v>106</v>
      </c>
      <c r="P1701" s="1" t="s">
        <v>3539</v>
      </c>
      <c r="U1701" s="1" t="s">
        <v>5818</v>
      </c>
      <c r="Z1701" s="1" t="s">
        <v>71</v>
      </c>
      <c r="AE1701" s="1" t="s">
        <v>5807</v>
      </c>
      <c r="AH1701" s="1" t="s">
        <v>73</v>
      </c>
      <c r="AK1701" s="1" t="s">
        <v>71</v>
      </c>
      <c r="AM1701" s="1" t="s">
        <v>71</v>
      </c>
      <c r="AN1701" s="1" t="s">
        <v>71</v>
      </c>
      <c r="AS1701" s="1" t="s">
        <v>71</v>
      </c>
      <c r="AX1701" s="1" t="s">
        <v>71</v>
      </c>
      <c r="AY1701" s="1" t="s">
        <v>59</v>
      </c>
      <c r="AZ1701" s="1" t="s">
        <v>74</v>
      </c>
      <c r="BH1701" s="1" t="s">
        <v>71</v>
      </c>
    </row>
    <row r="1702" customFormat="false" ht="15" hidden="false" customHeight="false" outlineLevel="0" collapsed="false">
      <c r="A1702" s="1" t="s">
        <v>5820</v>
      </c>
      <c r="B1702" s="1" t="s">
        <v>5821</v>
      </c>
      <c r="C1702" s="1" t="s">
        <v>288</v>
      </c>
      <c r="D1702" s="1" t="s">
        <v>289</v>
      </c>
      <c r="E1702" s="1" t="s">
        <v>61</v>
      </c>
      <c r="F1702" s="1" t="s">
        <v>101</v>
      </c>
      <c r="G1702" s="1" t="s">
        <v>134</v>
      </c>
      <c r="H1702" s="1" t="s">
        <v>4875</v>
      </c>
      <c r="K1702" s="1" t="s">
        <v>293</v>
      </c>
      <c r="L1702" s="1" t="s">
        <v>4876</v>
      </c>
      <c r="M1702" s="1" t="s">
        <v>104</v>
      </c>
      <c r="N1702" s="1" t="s">
        <v>105</v>
      </c>
      <c r="O1702" s="1" t="s">
        <v>106</v>
      </c>
      <c r="P1702" s="1" t="s">
        <v>3539</v>
      </c>
      <c r="U1702" s="1" t="s">
        <v>5820</v>
      </c>
      <c r="Z1702" s="1" t="s">
        <v>71</v>
      </c>
      <c r="AE1702" s="1" t="s">
        <v>5807</v>
      </c>
      <c r="AH1702" s="1" t="s">
        <v>73</v>
      </c>
      <c r="AK1702" s="1" t="s">
        <v>71</v>
      </c>
      <c r="AM1702" s="1" t="s">
        <v>71</v>
      </c>
      <c r="AN1702" s="1" t="s">
        <v>71</v>
      </c>
      <c r="AS1702" s="1" t="s">
        <v>71</v>
      </c>
      <c r="AX1702" s="1" t="s">
        <v>71</v>
      </c>
      <c r="AY1702" s="1" t="s">
        <v>59</v>
      </c>
      <c r="AZ1702" s="1" t="s">
        <v>74</v>
      </c>
      <c r="BH1702" s="1" t="s">
        <v>71</v>
      </c>
    </row>
    <row r="1703" customFormat="false" ht="15" hidden="false" customHeight="false" outlineLevel="0" collapsed="false">
      <c r="A1703" s="1" t="s">
        <v>5822</v>
      </c>
      <c r="B1703" s="1" t="s">
        <v>5823</v>
      </c>
      <c r="C1703" s="1" t="s">
        <v>5504</v>
      </c>
      <c r="D1703" s="1" t="s">
        <v>5505</v>
      </c>
      <c r="E1703" s="1" t="s">
        <v>61</v>
      </c>
      <c r="F1703" s="1" t="s">
        <v>101</v>
      </c>
      <c r="G1703" s="1" t="s">
        <v>275</v>
      </c>
      <c r="H1703" s="1" t="s">
        <v>276</v>
      </c>
      <c r="K1703" s="1" t="s">
        <v>157</v>
      </c>
      <c r="L1703" s="1" t="s">
        <v>1363</v>
      </c>
      <c r="M1703" s="1" t="s">
        <v>296</v>
      </c>
      <c r="N1703" s="1" t="s">
        <v>5824</v>
      </c>
      <c r="O1703" s="1" t="s">
        <v>5825</v>
      </c>
      <c r="P1703" s="1" t="s">
        <v>5826</v>
      </c>
      <c r="U1703" s="1" t="s">
        <v>5822</v>
      </c>
      <c r="Z1703" s="1" t="s">
        <v>71</v>
      </c>
      <c r="AE1703" s="1" t="s">
        <v>5807</v>
      </c>
      <c r="AH1703" s="1" t="s">
        <v>73</v>
      </c>
      <c r="AK1703" s="1" t="s">
        <v>71</v>
      </c>
      <c r="AM1703" s="1" t="s">
        <v>71</v>
      </c>
      <c r="AN1703" s="1" t="s">
        <v>71</v>
      </c>
      <c r="AS1703" s="1" t="s">
        <v>71</v>
      </c>
      <c r="AX1703" s="1" t="s">
        <v>71</v>
      </c>
      <c r="AY1703" s="1" t="s">
        <v>59</v>
      </c>
      <c r="AZ1703" s="1" t="s">
        <v>74</v>
      </c>
      <c r="BH1703" s="1" t="s">
        <v>71</v>
      </c>
    </row>
    <row r="1704" customFormat="false" ht="15" hidden="false" customHeight="false" outlineLevel="0" collapsed="false">
      <c r="A1704" s="1" t="s">
        <v>5827</v>
      </c>
      <c r="B1704" s="1" t="s">
        <v>5828</v>
      </c>
      <c r="C1704" s="1" t="s">
        <v>88</v>
      </c>
      <c r="D1704" s="1" t="s">
        <v>154</v>
      </c>
      <c r="E1704" s="1" t="s">
        <v>61</v>
      </c>
      <c r="F1704" s="1" t="s">
        <v>101</v>
      </c>
      <c r="G1704" s="1" t="s">
        <v>93</v>
      </c>
      <c r="H1704" s="1" t="s">
        <v>64</v>
      </c>
      <c r="K1704" s="1" t="s">
        <v>290</v>
      </c>
      <c r="L1704" s="1" t="s">
        <v>291</v>
      </c>
      <c r="M1704" s="1" t="s">
        <v>104</v>
      </c>
      <c r="N1704" s="1" t="s">
        <v>123</v>
      </c>
      <c r="O1704" s="1" t="s">
        <v>124</v>
      </c>
      <c r="P1704" s="1" t="s">
        <v>4161</v>
      </c>
      <c r="U1704" s="1" t="s">
        <v>5827</v>
      </c>
      <c r="Z1704" s="1" t="s">
        <v>71</v>
      </c>
      <c r="AE1704" s="1" t="s">
        <v>5829</v>
      </c>
      <c r="AH1704" s="1" t="s">
        <v>73</v>
      </c>
      <c r="AK1704" s="1" t="s">
        <v>71</v>
      </c>
      <c r="AM1704" s="1" t="s">
        <v>71</v>
      </c>
      <c r="AN1704" s="1" t="s">
        <v>71</v>
      </c>
      <c r="AS1704" s="1" t="s">
        <v>71</v>
      </c>
      <c r="AX1704" s="1" t="s">
        <v>71</v>
      </c>
      <c r="AY1704" s="1" t="s">
        <v>59</v>
      </c>
      <c r="AZ1704" s="1" t="s">
        <v>74</v>
      </c>
      <c r="BH1704" s="1" t="s">
        <v>71</v>
      </c>
    </row>
    <row r="1705" customFormat="false" ht="15" hidden="false" customHeight="false" outlineLevel="0" collapsed="false">
      <c r="A1705" s="1" t="s">
        <v>5830</v>
      </c>
      <c r="B1705" s="1" t="s">
        <v>5831</v>
      </c>
      <c r="C1705" s="1" t="s">
        <v>5832</v>
      </c>
      <c r="D1705" s="1" t="s">
        <v>5833</v>
      </c>
      <c r="E1705" s="1" t="s">
        <v>82</v>
      </c>
      <c r="F1705" s="1" t="s">
        <v>391</v>
      </c>
      <c r="G1705" s="1" t="s">
        <v>443</v>
      </c>
      <c r="H1705" s="1" t="s">
        <v>444</v>
      </c>
      <c r="K1705" s="1" t="s">
        <v>286</v>
      </c>
      <c r="L1705" s="1" t="s">
        <v>2339</v>
      </c>
      <c r="M1705" s="1" t="s">
        <v>496</v>
      </c>
      <c r="N1705" s="1" t="s">
        <v>784</v>
      </c>
      <c r="O1705" s="1" t="s">
        <v>785</v>
      </c>
      <c r="P1705" s="1" t="s">
        <v>5834</v>
      </c>
      <c r="Z1705" s="1" t="s">
        <v>71</v>
      </c>
      <c r="AE1705" s="1" t="s">
        <v>5835</v>
      </c>
      <c r="AH1705" s="1" t="s">
        <v>73</v>
      </c>
      <c r="AK1705" s="1" t="s">
        <v>71</v>
      </c>
      <c r="AM1705" s="1" t="s">
        <v>71</v>
      </c>
      <c r="AN1705" s="1" t="s">
        <v>71</v>
      </c>
      <c r="AS1705" s="1" t="s">
        <v>71</v>
      </c>
      <c r="AX1705" s="1" t="s">
        <v>71</v>
      </c>
      <c r="BH1705" s="1" t="s">
        <v>71</v>
      </c>
    </row>
    <row r="1706" customFormat="false" ht="15" hidden="false" customHeight="false" outlineLevel="0" collapsed="false">
      <c r="A1706" s="1" t="s">
        <v>5836</v>
      </c>
      <c r="B1706" s="1" t="s">
        <v>5837</v>
      </c>
      <c r="C1706" s="1" t="s">
        <v>5543</v>
      </c>
      <c r="D1706" s="1" t="s">
        <v>5544</v>
      </c>
      <c r="E1706" s="1" t="s">
        <v>61</v>
      </c>
      <c r="F1706" s="1" t="s">
        <v>101</v>
      </c>
      <c r="G1706" s="1" t="s">
        <v>93</v>
      </c>
      <c r="H1706" s="1" t="s">
        <v>64</v>
      </c>
      <c r="K1706" s="1" t="s">
        <v>112</v>
      </c>
      <c r="L1706" s="1" t="s">
        <v>113</v>
      </c>
      <c r="M1706" s="1" t="s">
        <v>104</v>
      </c>
      <c r="N1706" s="1" t="s">
        <v>105</v>
      </c>
      <c r="O1706" s="1" t="s">
        <v>106</v>
      </c>
      <c r="P1706" s="1" t="s">
        <v>3539</v>
      </c>
      <c r="U1706" s="1" t="s">
        <v>5836</v>
      </c>
      <c r="Z1706" s="1" t="s">
        <v>71</v>
      </c>
      <c r="AE1706" s="1" t="s">
        <v>5838</v>
      </c>
      <c r="AH1706" s="1" t="s">
        <v>73</v>
      </c>
      <c r="AK1706" s="1" t="s">
        <v>71</v>
      </c>
      <c r="AM1706" s="1" t="s">
        <v>71</v>
      </c>
      <c r="AN1706" s="1" t="s">
        <v>71</v>
      </c>
      <c r="AS1706" s="1" t="s">
        <v>71</v>
      </c>
      <c r="AX1706" s="1" t="s">
        <v>71</v>
      </c>
      <c r="AY1706" s="1" t="s">
        <v>59</v>
      </c>
      <c r="AZ1706" s="1" t="s">
        <v>74</v>
      </c>
      <c r="BH1706" s="1" t="s">
        <v>71</v>
      </c>
    </row>
    <row r="1707" customFormat="false" ht="15" hidden="false" customHeight="false" outlineLevel="0" collapsed="false">
      <c r="A1707" s="1" t="s">
        <v>5839</v>
      </c>
      <c r="B1707" s="1" t="s">
        <v>5840</v>
      </c>
      <c r="C1707" s="1" t="s">
        <v>288</v>
      </c>
      <c r="D1707" s="1" t="s">
        <v>289</v>
      </c>
      <c r="E1707" s="1" t="s">
        <v>61</v>
      </c>
      <c r="F1707" s="1" t="s">
        <v>101</v>
      </c>
      <c r="G1707" s="1" t="s">
        <v>93</v>
      </c>
      <c r="H1707" s="1" t="s">
        <v>64</v>
      </c>
      <c r="K1707" s="1" t="s">
        <v>126</v>
      </c>
      <c r="L1707" s="1" t="s">
        <v>335</v>
      </c>
      <c r="M1707" s="1" t="s">
        <v>5841</v>
      </c>
      <c r="N1707" s="1" t="s">
        <v>105</v>
      </c>
      <c r="O1707" s="1" t="s">
        <v>106</v>
      </c>
      <c r="P1707" s="1" t="s">
        <v>3539</v>
      </c>
      <c r="U1707" s="1" t="s">
        <v>5839</v>
      </c>
      <c r="Z1707" s="1" t="s">
        <v>71</v>
      </c>
      <c r="AE1707" s="1" t="s">
        <v>5842</v>
      </c>
      <c r="AH1707" s="1" t="s">
        <v>73</v>
      </c>
      <c r="AK1707" s="1" t="s">
        <v>71</v>
      </c>
      <c r="AM1707" s="1" t="s">
        <v>71</v>
      </c>
      <c r="AN1707" s="1" t="s">
        <v>71</v>
      </c>
      <c r="AS1707" s="1" t="s">
        <v>71</v>
      </c>
      <c r="AX1707" s="1" t="s">
        <v>71</v>
      </c>
      <c r="AY1707" s="1" t="s">
        <v>59</v>
      </c>
      <c r="AZ1707" s="1" t="s">
        <v>74</v>
      </c>
      <c r="BH1707" s="1" t="s">
        <v>71</v>
      </c>
    </row>
    <row r="1708" customFormat="false" ht="15" hidden="false" customHeight="false" outlineLevel="0" collapsed="false">
      <c r="A1708" s="1" t="s">
        <v>5843</v>
      </c>
      <c r="B1708" s="1" t="s">
        <v>5844</v>
      </c>
      <c r="C1708" s="1" t="s">
        <v>5845</v>
      </c>
      <c r="D1708" s="1" t="s">
        <v>5846</v>
      </c>
      <c r="E1708" s="1" t="s">
        <v>88</v>
      </c>
      <c r="F1708" s="1" t="s">
        <v>432</v>
      </c>
      <c r="G1708" s="1" t="s">
        <v>283</v>
      </c>
      <c r="H1708" s="1" t="s">
        <v>2652</v>
      </c>
      <c r="K1708" s="1" t="s">
        <v>170</v>
      </c>
      <c r="L1708" s="1" t="s">
        <v>2653</v>
      </c>
      <c r="M1708" s="1" t="s">
        <v>496</v>
      </c>
      <c r="N1708" s="1" t="s">
        <v>5847</v>
      </c>
      <c r="O1708" s="1" t="s">
        <v>400</v>
      </c>
      <c r="P1708" s="1" t="s">
        <v>5848</v>
      </c>
      <c r="Z1708" s="1" t="s">
        <v>71</v>
      </c>
      <c r="AE1708" s="1" t="s">
        <v>5849</v>
      </c>
      <c r="AH1708" s="1" t="s">
        <v>73</v>
      </c>
      <c r="AK1708" s="1" t="s">
        <v>71</v>
      </c>
      <c r="AM1708" s="1" t="s">
        <v>71</v>
      </c>
      <c r="AN1708" s="1" t="s">
        <v>71</v>
      </c>
      <c r="AS1708" s="1" t="s">
        <v>71</v>
      </c>
      <c r="AX1708" s="1" t="s">
        <v>71</v>
      </c>
      <c r="BH1708" s="1" t="s">
        <v>71</v>
      </c>
    </row>
    <row r="1709" customFormat="false" ht="15" hidden="false" customHeight="false" outlineLevel="0" collapsed="false">
      <c r="A1709" s="1" t="s">
        <v>5850</v>
      </c>
      <c r="B1709" s="1" t="s">
        <v>5851</v>
      </c>
      <c r="C1709" s="1" t="s">
        <v>1426</v>
      </c>
      <c r="D1709" s="1" t="s">
        <v>5143</v>
      </c>
      <c r="E1709" s="1" t="s">
        <v>82</v>
      </c>
      <c r="F1709" s="1" t="s">
        <v>391</v>
      </c>
      <c r="G1709" s="1" t="s">
        <v>97</v>
      </c>
      <c r="H1709" s="1" t="s">
        <v>406</v>
      </c>
      <c r="K1709" s="1" t="s">
        <v>407</v>
      </c>
      <c r="L1709" s="1" t="s">
        <v>408</v>
      </c>
      <c r="M1709" s="1" t="s">
        <v>496</v>
      </c>
      <c r="N1709" s="1" t="s">
        <v>5852</v>
      </c>
      <c r="O1709" s="1" t="s">
        <v>5853</v>
      </c>
      <c r="P1709" s="1" t="s">
        <v>5854</v>
      </c>
      <c r="Z1709" s="1" t="s">
        <v>71</v>
      </c>
      <c r="AE1709" s="1" t="s">
        <v>5849</v>
      </c>
      <c r="AH1709" s="1" t="s">
        <v>73</v>
      </c>
      <c r="AK1709" s="1" t="s">
        <v>71</v>
      </c>
      <c r="AM1709" s="1" t="s">
        <v>71</v>
      </c>
      <c r="AN1709" s="1" t="s">
        <v>71</v>
      </c>
      <c r="AS1709" s="1" t="s">
        <v>71</v>
      </c>
      <c r="AX1709" s="1" t="s">
        <v>71</v>
      </c>
      <c r="BH1709" s="1" t="s">
        <v>71</v>
      </c>
    </row>
    <row r="1710" customFormat="false" ht="15" hidden="false" customHeight="false" outlineLevel="0" collapsed="false">
      <c r="A1710" s="1" t="s">
        <v>5855</v>
      </c>
      <c r="B1710" s="1" t="s">
        <v>5856</v>
      </c>
      <c r="C1710" s="1" t="s">
        <v>2706</v>
      </c>
      <c r="D1710" s="1" t="s">
        <v>2707</v>
      </c>
      <c r="E1710" s="1" t="s">
        <v>82</v>
      </c>
      <c r="F1710" s="1" t="s">
        <v>391</v>
      </c>
      <c r="G1710" s="1" t="s">
        <v>97</v>
      </c>
      <c r="H1710" s="1" t="s">
        <v>406</v>
      </c>
      <c r="K1710" s="1" t="s">
        <v>2144</v>
      </c>
      <c r="L1710" s="1" t="s">
        <v>2145</v>
      </c>
      <c r="M1710" s="1" t="s">
        <v>496</v>
      </c>
      <c r="N1710" s="1" t="s">
        <v>2237</v>
      </c>
      <c r="O1710" s="1" t="s">
        <v>2238</v>
      </c>
      <c r="P1710" s="1" t="s">
        <v>5857</v>
      </c>
      <c r="Z1710" s="1" t="s">
        <v>71</v>
      </c>
      <c r="AE1710" s="1" t="s">
        <v>5849</v>
      </c>
      <c r="AH1710" s="1" t="s">
        <v>73</v>
      </c>
      <c r="AK1710" s="1" t="s">
        <v>71</v>
      </c>
      <c r="AM1710" s="1" t="s">
        <v>71</v>
      </c>
      <c r="AN1710" s="1" t="s">
        <v>71</v>
      </c>
      <c r="AS1710" s="1" t="s">
        <v>71</v>
      </c>
      <c r="AX1710" s="1" t="s">
        <v>71</v>
      </c>
      <c r="BH1710" s="1" t="s">
        <v>71</v>
      </c>
    </row>
    <row r="1711" customFormat="false" ht="15" hidden="false" customHeight="false" outlineLevel="0" collapsed="false">
      <c r="A1711" s="1" t="s">
        <v>5858</v>
      </c>
      <c r="B1711" s="1" t="s">
        <v>5859</v>
      </c>
      <c r="C1711" s="1" t="s">
        <v>1587</v>
      </c>
      <c r="D1711" s="1" t="s">
        <v>5860</v>
      </c>
      <c r="E1711" s="1" t="s">
        <v>82</v>
      </c>
      <c r="F1711" s="1" t="s">
        <v>391</v>
      </c>
      <c r="G1711" s="1" t="s">
        <v>213</v>
      </c>
      <c r="H1711" s="1" t="s">
        <v>477</v>
      </c>
      <c r="K1711" s="1" t="s">
        <v>478</v>
      </c>
      <c r="L1711" s="1" t="s">
        <v>479</v>
      </c>
      <c r="M1711" s="1" t="s">
        <v>496</v>
      </c>
      <c r="N1711" s="1" t="s">
        <v>2032</v>
      </c>
      <c r="O1711" s="1" t="s">
        <v>447</v>
      </c>
      <c r="P1711" s="1" t="s">
        <v>3474</v>
      </c>
      <c r="Z1711" s="1" t="s">
        <v>71</v>
      </c>
      <c r="AE1711" s="1" t="s">
        <v>5849</v>
      </c>
      <c r="AH1711" s="1" t="s">
        <v>73</v>
      </c>
      <c r="AK1711" s="1" t="s">
        <v>71</v>
      </c>
      <c r="AM1711" s="1" t="s">
        <v>71</v>
      </c>
      <c r="AN1711" s="1" t="s">
        <v>71</v>
      </c>
      <c r="AS1711" s="1" t="s">
        <v>71</v>
      </c>
      <c r="AX1711" s="1" t="s">
        <v>71</v>
      </c>
      <c r="BH1711" s="1" t="s">
        <v>71</v>
      </c>
    </row>
    <row r="1712" customFormat="false" ht="15" hidden="false" customHeight="false" outlineLevel="0" collapsed="false">
      <c r="A1712" s="1" t="s">
        <v>5861</v>
      </c>
      <c r="B1712" s="1" t="s">
        <v>5862</v>
      </c>
      <c r="C1712" s="1" t="s">
        <v>1587</v>
      </c>
      <c r="D1712" s="1" t="s">
        <v>5860</v>
      </c>
      <c r="E1712" s="1" t="s">
        <v>82</v>
      </c>
      <c r="F1712" s="1" t="s">
        <v>391</v>
      </c>
      <c r="G1712" s="1" t="s">
        <v>213</v>
      </c>
      <c r="H1712" s="1" t="s">
        <v>477</v>
      </c>
      <c r="K1712" s="1" t="s">
        <v>478</v>
      </c>
      <c r="L1712" s="1" t="s">
        <v>479</v>
      </c>
      <c r="M1712" s="1" t="s">
        <v>496</v>
      </c>
      <c r="N1712" s="1" t="s">
        <v>2032</v>
      </c>
      <c r="O1712" s="1" t="s">
        <v>447</v>
      </c>
      <c r="P1712" s="1" t="s">
        <v>3474</v>
      </c>
      <c r="Z1712" s="1" t="s">
        <v>71</v>
      </c>
      <c r="AE1712" s="1" t="s">
        <v>5849</v>
      </c>
      <c r="AH1712" s="1" t="s">
        <v>73</v>
      </c>
      <c r="AK1712" s="1" t="s">
        <v>71</v>
      </c>
      <c r="AM1712" s="1" t="s">
        <v>71</v>
      </c>
      <c r="AN1712" s="1" t="s">
        <v>71</v>
      </c>
      <c r="AS1712" s="1" t="s">
        <v>71</v>
      </c>
      <c r="AX1712" s="1" t="s">
        <v>71</v>
      </c>
      <c r="BH1712" s="1" t="s">
        <v>71</v>
      </c>
    </row>
    <row r="1713" customFormat="false" ht="15" hidden="false" customHeight="false" outlineLevel="0" collapsed="false">
      <c r="A1713" s="1" t="s">
        <v>5863</v>
      </c>
      <c r="B1713" s="1" t="s">
        <v>5864</v>
      </c>
      <c r="C1713" s="1" t="s">
        <v>1587</v>
      </c>
      <c r="D1713" s="1" t="s">
        <v>5860</v>
      </c>
      <c r="E1713" s="1" t="s">
        <v>82</v>
      </c>
      <c r="F1713" s="1" t="s">
        <v>391</v>
      </c>
      <c r="G1713" s="1" t="s">
        <v>213</v>
      </c>
      <c r="H1713" s="1" t="s">
        <v>477</v>
      </c>
      <c r="K1713" s="1" t="s">
        <v>1904</v>
      </c>
      <c r="L1713" s="1" t="s">
        <v>1905</v>
      </c>
      <c r="M1713" s="1" t="s">
        <v>496</v>
      </c>
      <c r="N1713" s="1" t="s">
        <v>536</v>
      </c>
      <c r="O1713" s="1" t="s">
        <v>537</v>
      </c>
      <c r="P1713" s="1" t="s">
        <v>3884</v>
      </c>
      <c r="Z1713" s="1" t="s">
        <v>71</v>
      </c>
      <c r="AE1713" s="1" t="s">
        <v>5865</v>
      </c>
      <c r="AH1713" s="1" t="s">
        <v>73</v>
      </c>
      <c r="AK1713" s="1" t="s">
        <v>71</v>
      </c>
      <c r="AM1713" s="1" t="s">
        <v>71</v>
      </c>
      <c r="AN1713" s="1" t="s">
        <v>71</v>
      </c>
      <c r="AS1713" s="1" t="s">
        <v>71</v>
      </c>
      <c r="AX1713" s="1" t="s">
        <v>71</v>
      </c>
      <c r="BH1713" s="1" t="s">
        <v>71</v>
      </c>
    </row>
    <row r="1714" customFormat="false" ht="15" hidden="false" customHeight="false" outlineLevel="0" collapsed="false">
      <c r="A1714" s="1" t="s">
        <v>5866</v>
      </c>
      <c r="B1714" s="1" t="s">
        <v>5867</v>
      </c>
      <c r="C1714" s="1" t="s">
        <v>1587</v>
      </c>
      <c r="D1714" s="1" t="s">
        <v>5860</v>
      </c>
      <c r="E1714" s="1" t="s">
        <v>82</v>
      </c>
      <c r="F1714" s="1" t="s">
        <v>391</v>
      </c>
      <c r="G1714" s="1" t="s">
        <v>213</v>
      </c>
      <c r="H1714" s="1" t="s">
        <v>477</v>
      </c>
      <c r="K1714" s="1" t="s">
        <v>1904</v>
      </c>
      <c r="L1714" s="1" t="s">
        <v>1905</v>
      </c>
      <c r="M1714" s="1" t="s">
        <v>496</v>
      </c>
      <c r="N1714" s="1" t="s">
        <v>480</v>
      </c>
      <c r="O1714" s="1" t="s">
        <v>447</v>
      </c>
      <c r="P1714" s="1" t="s">
        <v>5868</v>
      </c>
      <c r="Z1714" s="1" t="s">
        <v>71</v>
      </c>
      <c r="AE1714" s="1" t="s">
        <v>5865</v>
      </c>
      <c r="AH1714" s="1" t="s">
        <v>73</v>
      </c>
      <c r="AK1714" s="1" t="s">
        <v>71</v>
      </c>
      <c r="AM1714" s="1" t="s">
        <v>71</v>
      </c>
      <c r="AN1714" s="1" t="s">
        <v>71</v>
      </c>
      <c r="AS1714" s="1" t="s">
        <v>71</v>
      </c>
      <c r="AX1714" s="1" t="s">
        <v>71</v>
      </c>
      <c r="BH1714" s="1" t="s">
        <v>71</v>
      </c>
    </row>
    <row r="1715" customFormat="false" ht="15" hidden="false" customHeight="false" outlineLevel="0" collapsed="false">
      <c r="A1715" s="1" t="s">
        <v>5869</v>
      </c>
      <c r="B1715" s="1" t="s">
        <v>5870</v>
      </c>
      <c r="C1715" s="1" t="s">
        <v>1587</v>
      </c>
      <c r="D1715" s="1" t="s">
        <v>5860</v>
      </c>
      <c r="E1715" s="1" t="s">
        <v>82</v>
      </c>
      <c r="F1715" s="1" t="s">
        <v>391</v>
      </c>
      <c r="G1715" s="1" t="s">
        <v>213</v>
      </c>
      <c r="H1715" s="1" t="s">
        <v>477</v>
      </c>
      <c r="K1715" s="1" t="s">
        <v>1904</v>
      </c>
      <c r="L1715" s="1" t="s">
        <v>1905</v>
      </c>
      <c r="M1715" s="1" t="s">
        <v>496</v>
      </c>
      <c r="N1715" s="1" t="s">
        <v>884</v>
      </c>
      <c r="O1715" s="1" t="s">
        <v>447</v>
      </c>
      <c r="P1715" s="1" t="s">
        <v>3888</v>
      </c>
      <c r="Z1715" s="1" t="s">
        <v>71</v>
      </c>
      <c r="AE1715" s="1" t="s">
        <v>5865</v>
      </c>
      <c r="AH1715" s="1" t="s">
        <v>73</v>
      </c>
      <c r="AK1715" s="1" t="s">
        <v>71</v>
      </c>
      <c r="AM1715" s="1" t="s">
        <v>71</v>
      </c>
      <c r="AN1715" s="1" t="s">
        <v>71</v>
      </c>
      <c r="AS1715" s="1" t="s">
        <v>71</v>
      </c>
      <c r="AX1715" s="1" t="s">
        <v>71</v>
      </c>
      <c r="BH1715" s="1" t="s">
        <v>71</v>
      </c>
    </row>
    <row r="1716" customFormat="false" ht="15" hidden="false" customHeight="false" outlineLevel="0" collapsed="false">
      <c r="A1716" s="1" t="s">
        <v>5871</v>
      </c>
      <c r="B1716" s="1" t="s">
        <v>5872</v>
      </c>
      <c r="C1716" s="1" t="s">
        <v>1587</v>
      </c>
      <c r="D1716" s="1" t="s">
        <v>5860</v>
      </c>
      <c r="E1716" s="1" t="s">
        <v>82</v>
      </c>
      <c r="F1716" s="1" t="s">
        <v>391</v>
      </c>
      <c r="G1716" s="1" t="s">
        <v>213</v>
      </c>
      <c r="H1716" s="1" t="s">
        <v>477</v>
      </c>
      <c r="K1716" s="1" t="s">
        <v>1904</v>
      </c>
      <c r="L1716" s="1" t="s">
        <v>1905</v>
      </c>
      <c r="M1716" s="1" t="s">
        <v>496</v>
      </c>
      <c r="N1716" s="1" t="s">
        <v>884</v>
      </c>
      <c r="O1716" s="1" t="s">
        <v>447</v>
      </c>
      <c r="P1716" s="1" t="s">
        <v>3888</v>
      </c>
      <c r="Z1716" s="1" t="s">
        <v>71</v>
      </c>
      <c r="AE1716" s="1" t="s">
        <v>5865</v>
      </c>
      <c r="AH1716" s="1" t="s">
        <v>73</v>
      </c>
      <c r="AK1716" s="1" t="s">
        <v>71</v>
      </c>
      <c r="AM1716" s="1" t="s">
        <v>71</v>
      </c>
      <c r="AN1716" s="1" t="s">
        <v>71</v>
      </c>
      <c r="AS1716" s="1" t="s">
        <v>71</v>
      </c>
      <c r="AX1716" s="1" t="s">
        <v>71</v>
      </c>
      <c r="BH1716" s="1" t="s">
        <v>71</v>
      </c>
    </row>
    <row r="1717" customFormat="false" ht="15" hidden="false" customHeight="false" outlineLevel="0" collapsed="false">
      <c r="A1717" s="1" t="s">
        <v>5873</v>
      </c>
      <c r="B1717" s="1" t="s">
        <v>5874</v>
      </c>
      <c r="C1717" s="1" t="s">
        <v>1587</v>
      </c>
      <c r="D1717" s="1" t="s">
        <v>5860</v>
      </c>
      <c r="E1717" s="1" t="s">
        <v>82</v>
      </c>
      <c r="F1717" s="1" t="s">
        <v>391</v>
      </c>
      <c r="G1717" s="1" t="s">
        <v>213</v>
      </c>
      <c r="H1717" s="1" t="s">
        <v>477</v>
      </c>
      <c r="K1717" s="1" t="s">
        <v>1904</v>
      </c>
      <c r="L1717" s="1" t="s">
        <v>1905</v>
      </c>
      <c r="M1717" s="1" t="s">
        <v>496</v>
      </c>
      <c r="N1717" s="1" t="s">
        <v>446</v>
      </c>
      <c r="O1717" s="1" t="s">
        <v>447</v>
      </c>
      <c r="P1717" s="1" t="s">
        <v>3969</v>
      </c>
      <c r="Z1717" s="1" t="s">
        <v>71</v>
      </c>
      <c r="AE1717" s="1" t="s">
        <v>5865</v>
      </c>
      <c r="AH1717" s="1" t="s">
        <v>73</v>
      </c>
      <c r="AK1717" s="1" t="s">
        <v>71</v>
      </c>
      <c r="AM1717" s="1" t="s">
        <v>71</v>
      </c>
      <c r="AN1717" s="1" t="s">
        <v>71</v>
      </c>
      <c r="AS1717" s="1" t="s">
        <v>71</v>
      </c>
      <c r="AX1717" s="1" t="s">
        <v>71</v>
      </c>
      <c r="BH1717" s="1" t="s">
        <v>71</v>
      </c>
    </row>
    <row r="1718" customFormat="false" ht="15" hidden="false" customHeight="false" outlineLevel="0" collapsed="false">
      <c r="A1718" s="1" t="s">
        <v>5875</v>
      </c>
      <c r="B1718" s="1" t="s">
        <v>5876</v>
      </c>
      <c r="C1718" s="1" t="s">
        <v>1587</v>
      </c>
      <c r="D1718" s="1" t="s">
        <v>5860</v>
      </c>
      <c r="E1718" s="1" t="s">
        <v>82</v>
      </c>
      <c r="F1718" s="1" t="s">
        <v>391</v>
      </c>
      <c r="G1718" s="1" t="s">
        <v>213</v>
      </c>
      <c r="H1718" s="1" t="s">
        <v>477</v>
      </c>
      <c r="K1718" s="1" t="s">
        <v>1904</v>
      </c>
      <c r="L1718" s="1" t="s">
        <v>1905</v>
      </c>
      <c r="M1718" s="1" t="s">
        <v>496</v>
      </c>
      <c r="N1718" s="1" t="s">
        <v>880</v>
      </c>
      <c r="O1718" s="1" t="s">
        <v>881</v>
      </c>
      <c r="P1718" s="1" t="s">
        <v>5877</v>
      </c>
      <c r="Z1718" s="1" t="s">
        <v>71</v>
      </c>
      <c r="AE1718" s="1" t="s">
        <v>5865</v>
      </c>
      <c r="AH1718" s="1" t="s">
        <v>73</v>
      </c>
      <c r="AK1718" s="1" t="s">
        <v>71</v>
      </c>
      <c r="AM1718" s="1" t="s">
        <v>71</v>
      </c>
      <c r="AN1718" s="1" t="s">
        <v>71</v>
      </c>
      <c r="AS1718" s="1" t="s">
        <v>71</v>
      </c>
      <c r="AX1718" s="1" t="s">
        <v>71</v>
      </c>
      <c r="BH1718" s="1" t="s">
        <v>71</v>
      </c>
    </row>
    <row r="1719" customFormat="false" ht="15" hidden="false" customHeight="false" outlineLevel="0" collapsed="false">
      <c r="A1719" s="1" t="s">
        <v>5878</v>
      </c>
      <c r="B1719" s="1" t="s">
        <v>5879</v>
      </c>
      <c r="C1719" s="1" t="s">
        <v>1587</v>
      </c>
      <c r="D1719" s="1" t="s">
        <v>5860</v>
      </c>
      <c r="E1719" s="1" t="s">
        <v>82</v>
      </c>
      <c r="F1719" s="1" t="s">
        <v>391</v>
      </c>
      <c r="G1719" s="1" t="s">
        <v>213</v>
      </c>
      <c r="H1719" s="1" t="s">
        <v>477</v>
      </c>
      <c r="K1719" s="1" t="s">
        <v>1904</v>
      </c>
      <c r="L1719" s="1" t="s">
        <v>1905</v>
      </c>
      <c r="M1719" s="1" t="s">
        <v>496</v>
      </c>
      <c r="N1719" s="1" t="s">
        <v>880</v>
      </c>
      <c r="O1719" s="1" t="s">
        <v>881</v>
      </c>
      <c r="P1719" s="1" t="s">
        <v>5877</v>
      </c>
      <c r="Z1719" s="1" t="s">
        <v>71</v>
      </c>
      <c r="AE1719" s="1" t="s">
        <v>5865</v>
      </c>
      <c r="AH1719" s="1" t="s">
        <v>73</v>
      </c>
      <c r="AK1719" s="1" t="s">
        <v>71</v>
      </c>
      <c r="AM1719" s="1" t="s">
        <v>71</v>
      </c>
      <c r="AN1719" s="1" t="s">
        <v>71</v>
      </c>
      <c r="AS1719" s="1" t="s">
        <v>71</v>
      </c>
      <c r="AX1719" s="1" t="s">
        <v>71</v>
      </c>
      <c r="BH1719" s="1" t="s">
        <v>71</v>
      </c>
    </row>
    <row r="1720" customFormat="false" ht="15" hidden="false" customHeight="false" outlineLevel="0" collapsed="false">
      <c r="A1720" s="1" t="s">
        <v>5880</v>
      </c>
      <c r="B1720" s="1" t="s">
        <v>5881</v>
      </c>
      <c r="C1720" s="1" t="s">
        <v>1587</v>
      </c>
      <c r="D1720" s="1" t="s">
        <v>5860</v>
      </c>
      <c r="E1720" s="1" t="s">
        <v>82</v>
      </c>
      <c r="F1720" s="1" t="s">
        <v>391</v>
      </c>
      <c r="G1720" s="1" t="s">
        <v>213</v>
      </c>
      <c r="H1720" s="1" t="s">
        <v>477</v>
      </c>
      <c r="K1720" s="1" t="s">
        <v>1904</v>
      </c>
      <c r="L1720" s="1" t="s">
        <v>1905</v>
      </c>
      <c r="M1720" s="1" t="s">
        <v>496</v>
      </c>
      <c r="N1720" s="1" t="s">
        <v>466</v>
      </c>
      <c r="O1720" s="1" t="s">
        <v>467</v>
      </c>
      <c r="P1720" s="1" t="s">
        <v>5163</v>
      </c>
      <c r="Z1720" s="1" t="s">
        <v>71</v>
      </c>
      <c r="AE1720" s="1" t="s">
        <v>5865</v>
      </c>
      <c r="AH1720" s="1" t="s">
        <v>73</v>
      </c>
      <c r="AK1720" s="1" t="s">
        <v>71</v>
      </c>
      <c r="AM1720" s="1" t="s">
        <v>71</v>
      </c>
      <c r="AN1720" s="1" t="s">
        <v>71</v>
      </c>
      <c r="AS1720" s="1" t="s">
        <v>71</v>
      </c>
      <c r="AX1720" s="1" t="s">
        <v>71</v>
      </c>
      <c r="BH1720" s="1" t="s">
        <v>71</v>
      </c>
    </row>
    <row r="1721" customFormat="false" ht="15" hidden="false" customHeight="false" outlineLevel="0" collapsed="false">
      <c r="A1721" s="1" t="s">
        <v>5882</v>
      </c>
      <c r="B1721" s="1" t="s">
        <v>5883</v>
      </c>
      <c r="C1721" s="1" t="s">
        <v>5543</v>
      </c>
      <c r="D1721" s="1" t="s">
        <v>5544</v>
      </c>
      <c r="E1721" s="1" t="s">
        <v>65</v>
      </c>
      <c r="F1721" s="1" t="s">
        <v>119</v>
      </c>
      <c r="G1721" s="1" t="s">
        <v>65</v>
      </c>
      <c r="H1721" s="1" t="s">
        <v>64</v>
      </c>
      <c r="K1721" s="1" t="s">
        <v>177</v>
      </c>
      <c r="L1721" s="1" t="s">
        <v>178</v>
      </c>
      <c r="M1721" s="1" t="s">
        <v>104</v>
      </c>
      <c r="N1721" s="1" t="s">
        <v>123</v>
      </c>
      <c r="O1721" s="1" t="s">
        <v>124</v>
      </c>
      <c r="P1721" s="1" t="s">
        <v>4161</v>
      </c>
      <c r="U1721" s="1" t="s">
        <v>5882</v>
      </c>
      <c r="Z1721" s="1" t="s">
        <v>71</v>
      </c>
      <c r="AE1721" s="1" t="s">
        <v>5884</v>
      </c>
      <c r="AH1721" s="1" t="s">
        <v>73</v>
      </c>
      <c r="AK1721" s="1" t="s">
        <v>71</v>
      </c>
      <c r="AM1721" s="1" t="s">
        <v>71</v>
      </c>
      <c r="AN1721" s="1" t="s">
        <v>71</v>
      </c>
      <c r="AS1721" s="1" t="s">
        <v>71</v>
      </c>
      <c r="AX1721" s="1" t="s">
        <v>71</v>
      </c>
      <c r="AY1721" s="1" t="s">
        <v>59</v>
      </c>
      <c r="AZ1721" s="1" t="s">
        <v>74</v>
      </c>
      <c r="BH1721" s="1" t="s">
        <v>71</v>
      </c>
    </row>
    <row r="1722" customFormat="false" ht="15" hidden="false" customHeight="false" outlineLevel="0" collapsed="false">
      <c r="A1722" s="1" t="s">
        <v>5885</v>
      </c>
      <c r="B1722" s="1" t="s">
        <v>5886</v>
      </c>
      <c r="C1722" s="1" t="s">
        <v>5887</v>
      </c>
      <c r="D1722" s="1" t="s">
        <v>5888</v>
      </c>
      <c r="E1722" s="1" t="s">
        <v>82</v>
      </c>
      <c r="F1722" s="1" t="s">
        <v>391</v>
      </c>
      <c r="G1722" s="1" t="s">
        <v>443</v>
      </c>
      <c r="H1722" s="1" t="s">
        <v>444</v>
      </c>
      <c r="K1722" s="1" t="s">
        <v>618</v>
      </c>
      <c r="L1722" s="1" t="s">
        <v>619</v>
      </c>
      <c r="M1722" s="1" t="s">
        <v>496</v>
      </c>
      <c r="N1722" s="1" t="s">
        <v>3309</v>
      </c>
      <c r="O1722" s="1" t="s">
        <v>3310</v>
      </c>
      <c r="P1722" s="1" t="s">
        <v>3762</v>
      </c>
      <c r="Z1722" s="1" t="s">
        <v>71</v>
      </c>
      <c r="AE1722" s="1" t="s">
        <v>5889</v>
      </c>
      <c r="AH1722" s="1" t="s">
        <v>73</v>
      </c>
      <c r="AK1722" s="1" t="s">
        <v>71</v>
      </c>
      <c r="AM1722" s="1" t="s">
        <v>71</v>
      </c>
      <c r="AN1722" s="1" t="s">
        <v>71</v>
      </c>
      <c r="AS1722" s="1" t="s">
        <v>71</v>
      </c>
      <c r="AX1722" s="1" t="s">
        <v>71</v>
      </c>
      <c r="BH1722" s="1" t="s">
        <v>71</v>
      </c>
    </row>
    <row r="1723" customFormat="false" ht="15" hidden="false" customHeight="false" outlineLevel="0" collapsed="false">
      <c r="A1723" s="1" t="s">
        <v>5890</v>
      </c>
      <c r="B1723" s="1" t="s">
        <v>5891</v>
      </c>
      <c r="C1723" s="1" t="s">
        <v>182</v>
      </c>
      <c r="D1723" s="1" t="s">
        <v>239</v>
      </c>
      <c r="E1723" s="1" t="s">
        <v>61</v>
      </c>
      <c r="F1723" s="1" t="s">
        <v>101</v>
      </c>
      <c r="G1723" s="1" t="s">
        <v>275</v>
      </c>
      <c r="H1723" s="1" t="s">
        <v>276</v>
      </c>
      <c r="K1723" s="1" t="s">
        <v>657</v>
      </c>
      <c r="L1723" s="1" t="s">
        <v>5279</v>
      </c>
      <c r="M1723" s="1" t="s">
        <v>1604</v>
      </c>
      <c r="N1723" s="1" t="s">
        <v>5892</v>
      </c>
      <c r="O1723" s="1" t="s">
        <v>5893</v>
      </c>
      <c r="P1723" s="1" t="s">
        <v>5894</v>
      </c>
      <c r="U1723" s="1" t="s">
        <v>263</v>
      </c>
      <c r="Z1723" s="1" t="s">
        <v>71</v>
      </c>
      <c r="AE1723" s="1" t="s">
        <v>5895</v>
      </c>
      <c r="AH1723" s="1" t="s">
        <v>73</v>
      </c>
      <c r="AK1723" s="1" t="s">
        <v>71</v>
      </c>
      <c r="AM1723" s="1" t="s">
        <v>71</v>
      </c>
      <c r="AN1723" s="1" t="s">
        <v>71</v>
      </c>
      <c r="AS1723" s="1" t="s">
        <v>71</v>
      </c>
      <c r="AX1723" s="1" t="s">
        <v>71</v>
      </c>
      <c r="AY1723" s="1" t="s">
        <v>59</v>
      </c>
      <c r="AZ1723" s="1" t="s">
        <v>74</v>
      </c>
      <c r="BH1723" s="1" t="s">
        <v>71</v>
      </c>
    </row>
    <row r="1724" customFormat="false" ht="15" hidden="false" customHeight="false" outlineLevel="0" collapsed="false">
      <c r="A1724" s="1" t="s">
        <v>5896</v>
      </c>
      <c r="B1724" s="1" t="s">
        <v>5897</v>
      </c>
      <c r="C1724" s="1" t="s">
        <v>318</v>
      </c>
      <c r="D1724" s="1" t="s">
        <v>1466</v>
      </c>
      <c r="E1724" s="1" t="s">
        <v>61</v>
      </c>
      <c r="F1724" s="1" t="s">
        <v>101</v>
      </c>
      <c r="G1724" s="1" t="s">
        <v>275</v>
      </c>
      <c r="H1724" s="1" t="s">
        <v>276</v>
      </c>
      <c r="K1724" s="1" t="s">
        <v>142</v>
      </c>
      <c r="L1724" s="1" t="s">
        <v>295</v>
      </c>
      <c r="M1724" s="1" t="s">
        <v>296</v>
      </c>
      <c r="N1724" s="1" t="s">
        <v>279</v>
      </c>
      <c r="O1724" s="1" t="s">
        <v>280</v>
      </c>
      <c r="P1724" s="1" t="s">
        <v>4895</v>
      </c>
      <c r="U1724" s="1" t="s">
        <v>5896</v>
      </c>
      <c r="Z1724" s="1" t="s">
        <v>71</v>
      </c>
      <c r="AE1724" s="1" t="s">
        <v>5898</v>
      </c>
      <c r="AH1724" s="1" t="s">
        <v>73</v>
      </c>
      <c r="AK1724" s="1" t="s">
        <v>71</v>
      </c>
      <c r="AM1724" s="1" t="s">
        <v>71</v>
      </c>
      <c r="AN1724" s="1" t="s">
        <v>71</v>
      </c>
      <c r="AS1724" s="1" t="s">
        <v>71</v>
      </c>
      <c r="AX1724" s="1" t="s">
        <v>71</v>
      </c>
      <c r="AY1724" s="1" t="s">
        <v>59</v>
      </c>
      <c r="AZ1724" s="1" t="s">
        <v>74</v>
      </c>
      <c r="BH1724" s="1" t="s">
        <v>71</v>
      </c>
    </row>
    <row r="1725" customFormat="false" ht="15" hidden="false" customHeight="false" outlineLevel="0" collapsed="false">
      <c r="A1725" s="1" t="s">
        <v>5899</v>
      </c>
      <c r="B1725" s="1" t="s">
        <v>5900</v>
      </c>
      <c r="C1725" s="1" t="s">
        <v>288</v>
      </c>
      <c r="D1725" s="1" t="s">
        <v>289</v>
      </c>
      <c r="E1725" s="1" t="s">
        <v>61</v>
      </c>
      <c r="F1725" s="1" t="s">
        <v>101</v>
      </c>
      <c r="G1725" s="1" t="s">
        <v>134</v>
      </c>
      <c r="H1725" s="1" t="s">
        <v>4875</v>
      </c>
      <c r="K1725" s="1" t="s">
        <v>5096</v>
      </c>
      <c r="L1725" s="1" t="s">
        <v>5097</v>
      </c>
      <c r="M1725" s="1" t="s">
        <v>310</v>
      </c>
      <c r="N1725" s="1" t="s">
        <v>105</v>
      </c>
      <c r="O1725" s="1" t="s">
        <v>106</v>
      </c>
      <c r="P1725" s="1" t="s">
        <v>3539</v>
      </c>
      <c r="U1725" s="1" t="s">
        <v>5899</v>
      </c>
      <c r="Z1725" s="1" t="s">
        <v>71</v>
      </c>
      <c r="AE1725" s="1" t="s">
        <v>5901</v>
      </c>
      <c r="AH1725" s="1" t="s">
        <v>73</v>
      </c>
      <c r="AK1725" s="1" t="s">
        <v>71</v>
      </c>
      <c r="AM1725" s="1" t="s">
        <v>71</v>
      </c>
      <c r="AN1725" s="1" t="s">
        <v>71</v>
      </c>
      <c r="AS1725" s="1" t="s">
        <v>71</v>
      </c>
      <c r="AX1725" s="1" t="s">
        <v>71</v>
      </c>
      <c r="AY1725" s="1" t="s">
        <v>59</v>
      </c>
      <c r="AZ1725" s="1" t="s">
        <v>74</v>
      </c>
      <c r="BH1725" s="1" t="s">
        <v>71</v>
      </c>
    </row>
    <row r="1726" customFormat="false" ht="15" hidden="false" customHeight="false" outlineLevel="0" collapsed="false">
      <c r="A1726" s="1" t="s">
        <v>5902</v>
      </c>
      <c r="B1726" s="1" t="s">
        <v>5903</v>
      </c>
      <c r="C1726" s="1" t="s">
        <v>1487</v>
      </c>
      <c r="D1726" s="1" t="s">
        <v>1488</v>
      </c>
      <c r="E1726" s="1" t="s">
        <v>61</v>
      </c>
      <c r="F1726" s="1" t="s">
        <v>101</v>
      </c>
      <c r="G1726" s="1" t="s">
        <v>275</v>
      </c>
      <c r="H1726" s="1" t="s">
        <v>276</v>
      </c>
      <c r="K1726" s="1" t="s">
        <v>126</v>
      </c>
      <c r="L1726" s="1" t="s">
        <v>4894</v>
      </c>
      <c r="M1726" s="1" t="s">
        <v>296</v>
      </c>
      <c r="N1726" s="1" t="s">
        <v>5904</v>
      </c>
      <c r="O1726" s="1" t="s">
        <v>5905</v>
      </c>
      <c r="P1726" s="1" t="s">
        <v>5906</v>
      </c>
      <c r="U1726" s="1" t="s">
        <v>5902</v>
      </c>
      <c r="Z1726" s="1" t="s">
        <v>71</v>
      </c>
      <c r="AE1726" s="1" t="s">
        <v>5907</v>
      </c>
      <c r="AH1726" s="1" t="s">
        <v>73</v>
      </c>
      <c r="AK1726" s="1" t="s">
        <v>71</v>
      </c>
      <c r="AM1726" s="1" t="s">
        <v>71</v>
      </c>
      <c r="AN1726" s="1" t="s">
        <v>71</v>
      </c>
      <c r="AS1726" s="1" t="s">
        <v>71</v>
      </c>
      <c r="AX1726" s="1" t="s">
        <v>71</v>
      </c>
      <c r="AY1726" s="1" t="s">
        <v>59</v>
      </c>
      <c r="AZ1726" s="1" t="s">
        <v>74</v>
      </c>
      <c r="BH1726" s="1" t="s">
        <v>71</v>
      </c>
    </row>
    <row r="1727" customFormat="false" ht="15" hidden="false" customHeight="false" outlineLevel="0" collapsed="false">
      <c r="A1727" s="1" t="s">
        <v>5908</v>
      </c>
      <c r="B1727" s="1" t="s">
        <v>5909</v>
      </c>
      <c r="C1727" s="1" t="s">
        <v>1493</v>
      </c>
      <c r="D1727" s="1" t="s">
        <v>5366</v>
      </c>
      <c r="E1727" s="1" t="s">
        <v>82</v>
      </c>
      <c r="F1727" s="1" t="s">
        <v>391</v>
      </c>
      <c r="G1727" s="1" t="s">
        <v>213</v>
      </c>
      <c r="H1727" s="1" t="s">
        <v>477</v>
      </c>
      <c r="K1727" s="1" t="s">
        <v>478</v>
      </c>
      <c r="L1727" s="1" t="s">
        <v>479</v>
      </c>
      <c r="M1727" s="1" t="s">
        <v>496</v>
      </c>
      <c r="N1727" s="1" t="s">
        <v>5910</v>
      </c>
      <c r="O1727" s="1" t="s">
        <v>5911</v>
      </c>
      <c r="P1727" s="1" t="s">
        <v>5912</v>
      </c>
      <c r="Z1727" s="1" t="s">
        <v>71</v>
      </c>
      <c r="AE1727" s="1" t="s">
        <v>5913</v>
      </c>
      <c r="AH1727" s="1" t="s">
        <v>73</v>
      </c>
      <c r="AK1727" s="1" t="s">
        <v>71</v>
      </c>
      <c r="AM1727" s="1" t="s">
        <v>71</v>
      </c>
      <c r="AN1727" s="1" t="s">
        <v>71</v>
      </c>
      <c r="AS1727" s="1" t="s">
        <v>71</v>
      </c>
      <c r="AX1727" s="1" t="s">
        <v>71</v>
      </c>
      <c r="BH1727" s="1" t="s">
        <v>71</v>
      </c>
    </row>
    <row r="1728" customFormat="false" ht="15" hidden="false" customHeight="false" outlineLevel="0" collapsed="false">
      <c r="A1728" s="1" t="s">
        <v>5914</v>
      </c>
      <c r="B1728" s="1" t="s">
        <v>5915</v>
      </c>
      <c r="C1728" s="1" t="s">
        <v>288</v>
      </c>
      <c r="D1728" s="1" t="s">
        <v>289</v>
      </c>
      <c r="E1728" s="1" t="s">
        <v>61</v>
      </c>
      <c r="F1728" s="1" t="s">
        <v>101</v>
      </c>
      <c r="G1728" s="1" t="s">
        <v>134</v>
      </c>
      <c r="H1728" s="1" t="s">
        <v>4875</v>
      </c>
      <c r="K1728" s="1" t="s">
        <v>293</v>
      </c>
      <c r="L1728" s="1" t="s">
        <v>4876</v>
      </c>
      <c r="M1728" s="1" t="s">
        <v>104</v>
      </c>
      <c r="N1728" s="1" t="s">
        <v>105</v>
      </c>
      <c r="O1728" s="1" t="s">
        <v>106</v>
      </c>
      <c r="P1728" s="1" t="s">
        <v>3539</v>
      </c>
      <c r="U1728" s="1" t="s">
        <v>5914</v>
      </c>
      <c r="Z1728" s="1" t="s">
        <v>71</v>
      </c>
      <c r="AE1728" s="1" t="s">
        <v>5916</v>
      </c>
      <c r="AH1728" s="1" t="s">
        <v>73</v>
      </c>
      <c r="AK1728" s="1" t="s">
        <v>71</v>
      </c>
      <c r="AM1728" s="1" t="s">
        <v>71</v>
      </c>
      <c r="AN1728" s="1" t="s">
        <v>71</v>
      </c>
      <c r="AS1728" s="1" t="s">
        <v>71</v>
      </c>
      <c r="AX1728" s="1" t="s">
        <v>71</v>
      </c>
      <c r="AY1728" s="1" t="s">
        <v>59</v>
      </c>
      <c r="AZ1728" s="1" t="s">
        <v>74</v>
      </c>
      <c r="BH1728" s="1" t="s">
        <v>71</v>
      </c>
    </row>
    <row r="1729" customFormat="false" ht="15" hidden="false" customHeight="false" outlineLevel="0" collapsed="false">
      <c r="A1729" s="1" t="s">
        <v>5917</v>
      </c>
      <c r="B1729" s="1" t="s">
        <v>5918</v>
      </c>
      <c r="C1729" s="1" t="s">
        <v>1200</v>
      </c>
      <c r="D1729" s="1" t="s">
        <v>3535</v>
      </c>
      <c r="E1729" s="1" t="s">
        <v>61</v>
      </c>
      <c r="F1729" s="1" t="s">
        <v>101</v>
      </c>
      <c r="G1729" s="1" t="s">
        <v>93</v>
      </c>
      <c r="H1729" s="1" t="s">
        <v>64</v>
      </c>
      <c r="K1729" s="1" t="s">
        <v>229</v>
      </c>
      <c r="L1729" s="1" t="s">
        <v>605</v>
      </c>
      <c r="M1729" s="1" t="s">
        <v>165</v>
      </c>
      <c r="N1729" s="1" t="s">
        <v>105</v>
      </c>
      <c r="O1729" s="1" t="s">
        <v>106</v>
      </c>
      <c r="P1729" s="1" t="s">
        <v>3539</v>
      </c>
      <c r="U1729" s="1" t="s">
        <v>5917</v>
      </c>
      <c r="Z1729" s="1" t="s">
        <v>71</v>
      </c>
      <c r="AE1729" s="1" t="s">
        <v>5919</v>
      </c>
      <c r="AH1729" s="1" t="s">
        <v>73</v>
      </c>
      <c r="AK1729" s="1" t="s">
        <v>71</v>
      </c>
      <c r="AM1729" s="1" t="s">
        <v>71</v>
      </c>
      <c r="AN1729" s="1" t="s">
        <v>71</v>
      </c>
      <c r="AS1729" s="1" t="s">
        <v>71</v>
      </c>
      <c r="AX1729" s="1" t="s">
        <v>71</v>
      </c>
      <c r="AY1729" s="1" t="s">
        <v>59</v>
      </c>
      <c r="AZ1729" s="1" t="s">
        <v>74</v>
      </c>
      <c r="BH1729" s="1" t="s">
        <v>71</v>
      </c>
    </row>
    <row r="1730" customFormat="false" ht="15" hidden="false" customHeight="false" outlineLevel="0" collapsed="false">
      <c r="A1730" s="1" t="s">
        <v>5920</v>
      </c>
      <c r="B1730" s="1" t="s">
        <v>5921</v>
      </c>
      <c r="C1730" s="1" t="s">
        <v>1200</v>
      </c>
      <c r="D1730" s="1" t="s">
        <v>3535</v>
      </c>
      <c r="E1730" s="1" t="s">
        <v>65</v>
      </c>
      <c r="F1730" s="1" t="s">
        <v>119</v>
      </c>
      <c r="G1730" s="1" t="s">
        <v>65</v>
      </c>
      <c r="H1730" s="1" t="s">
        <v>64</v>
      </c>
      <c r="K1730" s="1" t="s">
        <v>5922</v>
      </c>
      <c r="L1730" s="1" t="s">
        <v>5923</v>
      </c>
      <c r="M1730" s="1" t="s">
        <v>104</v>
      </c>
      <c r="N1730" s="1" t="s">
        <v>123</v>
      </c>
      <c r="O1730" s="1" t="s">
        <v>124</v>
      </c>
      <c r="P1730" s="1" t="s">
        <v>4161</v>
      </c>
      <c r="U1730" s="1" t="s">
        <v>5920</v>
      </c>
      <c r="Z1730" s="1" t="s">
        <v>71</v>
      </c>
      <c r="AE1730" s="1" t="s">
        <v>5919</v>
      </c>
      <c r="AH1730" s="1" t="s">
        <v>73</v>
      </c>
      <c r="AK1730" s="1" t="s">
        <v>71</v>
      </c>
      <c r="AM1730" s="1" t="s">
        <v>71</v>
      </c>
      <c r="AN1730" s="1" t="s">
        <v>71</v>
      </c>
      <c r="AS1730" s="1" t="s">
        <v>71</v>
      </c>
      <c r="AX1730" s="1" t="s">
        <v>71</v>
      </c>
      <c r="AY1730" s="1" t="s">
        <v>59</v>
      </c>
      <c r="AZ1730" s="1" t="s">
        <v>74</v>
      </c>
      <c r="BH1730" s="1" t="s">
        <v>71</v>
      </c>
    </row>
    <row r="1731" customFormat="false" ht="15" hidden="false" customHeight="false" outlineLevel="0" collapsed="false">
      <c r="A1731" s="1" t="s">
        <v>5924</v>
      </c>
      <c r="B1731" s="1" t="s">
        <v>5925</v>
      </c>
      <c r="C1731" s="1" t="s">
        <v>1200</v>
      </c>
      <c r="D1731" s="1" t="s">
        <v>3535</v>
      </c>
      <c r="E1731" s="1" t="s">
        <v>65</v>
      </c>
      <c r="F1731" s="1" t="s">
        <v>119</v>
      </c>
      <c r="G1731" s="1" t="s">
        <v>65</v>
      </c>
      <c r="H1731" s="1" t="s">
        <v>64</v>
      </c>
      <c r="K1731" s="1" t="s">
        <v>177</v>
      </c>
      <c r="L1731" s="1" t="s">
        <v>178</v>
      </c>
      <c r="M1731" s="1" t="s">
        <v>592</v>
      </c>
      <c r="N1731" s="1" t="s">
        <v>123</v>
      </c>
      <c r="O1731" s="1" t="s">
        <v>124</v>
      </c>
      <c r="P1731" s="1" t="s">
        <v>4161</v>
      </c>
      <c r="U1731" s="1" t="s">
        <v>5924</v>
      </c>
      <c r="Z1731" s="1" t="s">
        <v>71</v>
      </c>
      <c r="AE1731" s="1" t="s">
        <v>5919</v>
      </c>
      <c r="AH1731" s="1" t="s">
        <v>73</v>
      </c>
      <c r="AK1731" s="1" t="s">
        <v>71</v>
      </c>
      <c r="AM1731" s="1" t="s">
        <v>71</v>
      </c>
      <c r="AN1731" s="1" t="s">
        <v>71</v>
      </c>
      <c r="AS1731" s="1" t="s">
        <v>71</v>
      </c>
      <c r="AX1731" s="1" t="s">
        <v>71</v>
      </c>
      <c r="AY1731" s="1" t="s">
        <v>59</v>
      </c>
      <c r="AZ1731" s="1" t="s">
        <v>74</v>
      </c>
      <c r="BH1731" s="1" t="s">
        <v>71</v>
      </c>
    </row>
    <row r="1732" customFormat="false" ht="15" hidden="false" customHeight="false" outlineLevel="0" collapsed="false">
      <c r="A1732" s="1" t="s">
        <v>5926</v>
      </c>
      <c r="B1732" s="1" t="s">
        <v>5927</v>
      </c>
      <c r="C1732" s="1" t="s">
        <v>1614</v>
      </c>
      <c r="D1732" s="1" t="s">
        <v>5505</v>
      </c>
      <c r="E1732" s="1" t="s">
        <v>61</v>
      </c>
      <c r="F1732" s="1" t="s">
        <v>101</v>
      </c>
      <c r="G1732" s="1" t="s">
        <v>275</v>
      </c>
      <c r="H1732" s="1" t="s">
        <v>276</v>
      </c>
      <c r="K1732" s="1" t="s">
        <v>1479</v>
      </c>
      <c r="L1732" s="1" t="s">
        <v>1480</v>
      </c>
      <c r="M1732" s="1" t="s">
        <v>296</v>
      </c>
      <c r="N1732" s="1" t="s">
        <v>279</v>
      </c>
      <c r="O1732" s="1" t="s">
        <v>280</v>
      </c>
      <c r="P1732" s="1" t="s">
        <v>4895</v>
      </c>
      <c r="U1732" s="1" t="s">
        <v>5926</v>
      </c>
      <c r="Z1732" s="1" t="s">
        <v>71</v>
      </c>
      <c r="AE1732" s="1" t="s">
        <v>5928</v>
      </c>
      <c r="AH1732" s="1" t="s">
        <v>73</v>
      </c>
      <c r="AK1732" s="1" t="s">
        <v>71</v>
      </c>
      <c r="AM1732" s="1" t="s">
        <v>71</v>
      </c>
      <c r="AN1732" s="1" t="s">
        <v>71</v>
      </c>
      <c r="AS1732" s="1" t="s">
        <v>71</v>
      </c>
      <c r="AX1732" s="1" t="s">
        <v>71</v>
      </c>
      <c r="AY1732" s="1" t="s">
        <v>59</v>
      </c>
      <c r="AZ1732" s="1" t="s">
        <v>74</v>
      </c>
      <c r="BH1732" s="1" t="s">
        <v>71</v>
      </c>
    </row>
    <row r="1733" customFormat="false" ht="15" hidden="false" customHeight="false" outlineLevel="0" collapsed="false">
      <c r="A1733" s="1" t="s">
        <v>5929</v>
      </c>
      <c r="B1733" s="1" t="s">
        <v>5930</v>
      </c>
      <c r="C1733" s="1" t="s">
        <v>1614</v>
      </c>
      <c r="D1733" s="1" t="s">
        <v>5505</v>
      </c>
      <c r="E1733" s="1" t="s">
        <v>61</v>
      </c>
      <c r="F1733" s="1" t="s">
        <v>101</v>
      </c>
      <c r="G1733" s="1" t="s">
        <v>275</v>
      </c>
      <c r="H1733" s="1" t="s">
        <v>276</v>
      </c>
      <c r="K1733" s="1" t="s">
        <v>142</v>
      </c>
      <c r="L1733" s="1" t="s">
        <v>295</v>
      </c>
      <c r="M1733" s="1" t="s">
        <v>296</v>
      </c>
      <c r="N1733" s="1" t="s">
        <v>1470</v>
      </c>
      <c r="O1733" s="1" t="s">
        <v>1471</v>
      </c>
      <c r="P1733" s="1" t="s">
        <v>4824</v>
      </c>
      <c r="U1733" s="1" t="s">
        <v>5929</v>
      </c>
      <c r="Z1733" s="1" t="s">
        <v>71</v>
      </c>
      <c r="AE1733" s="1" t="s">
        <v>5928</v>
      </c>
      <c r="AH1733" s="1" t="s">
        <v>73</v>
      </c>
      <c r="AK1733" s="1" t="s">
        <v>71</v>
      </c>
      <c r="AM1733" s="1" t="s">
        <v>71</v>
      </c>
      <c r="AN1733" s="1" t="s">
        <v>71</v>
      </c>
      <c r="AS1733" s="1" t="s">
        <v>71</v>
      </c>
      <c r="AX1733" s="1" t="s">
        <v>71</v>
      </c>
      <c r="AY1733" s="1" t="s">
        <v>59</v>
      </c>
      <c r="AZ1733" s="1" t="s">
        <v>74</v>
      </c>
      <c r="BH1733" s="1" t="s">
        <v>71</v>
      </c>
    </row>
    <row r="1734" customFormat="false" ht="15" hidden="false" customHeight="false" outlineLevel="0" collapsed="false">
      <c r="A1734" s="1" t="s">
        <v>5931</v>
      </c>
      <c r="B1734" s="1" t="s">
        <v>5932</v>
      </c>
      <c r="C1734" s="1" t="s">
        <v>1221</v>
      </c>
      <c r="D1734" s="1" t="s">
        <v>2466</v>
      </c>
      <c r="E1734" s="1" t="s">
        <v>82</v>
      </c>
      <c r="F1734" s="1" t="s">
        <v>391</v>
      </c>
      <c r="G1734" s="1" t="s">
        <v>213</v>
      </c>
      <c r="H1734" s="1" t="s">
        <v>477</v>
      </c>
      <c r="K1734" s="1" t="s">
        <v>478</v>
      </c>
      <c r="L1734" s="1" t="s">
        <v>479</v>
      </c>
      <c r="M1734" s="1" t="s">
        <v>5114</v>
      </c>
      <c r="N1734" s="1" t="s">
        <v>4722</v>
      </c>
      <c r="O1734" s="1" t="s">
        <v>4723</v>
      </c>
      <c r="P1734" s="1" t="s">
        <v>4724</v>
      </c>
      <c r="Z1734" s="1" t="s">
        <v>71</v>
      </c>
      <c r="AE1734" s="1" t="s">
        <v>5933</v>
      </c>
      <c r="AH1734" s="1" t="s">
        <v>73</v>
      </c>
      <c r="AK1734" s="1" t="s">
        <v>71</v>
      </c>
      <c r="AM1734" s="1" t="s">
        <v>71</v>
      </c>
      <c r="AN1734" s="1" t="s">
        <v>71</v>
      </c>
      <c r="AS1734" s="1" t="s">
        <v>71</v>
      </c>
      <c r="AX1734" s="1" t="s">
        <v>71</v>
      </c>
      <c r="BH1734" s="1" t="s">
        <v>71</v>
      </c>
    </row>
    <row r="1735" customFormat="false" ht="15" hidden="false" customHeight="false" outlineLevel="0" collapsed="false">
      <c r="A1735" s="1" t="s">
        <v>5934</v>
      </c>
      <c r="B1735" s="1" t="s">
        <v>5935</v>
      </c>
      <c r="C1735" s="1" t="s">
        <v>5565</v>
      </c>
      <c r="D1735" s="1" t="s">
        <v>5566</v>
      </c>
      <c r="E1735" s="1" t="s">
        <v>61</v>
      </c>
      <c r="F1735" s="1" t="s">
        <v>101</v>
      </c>
      <c r="G1735" s="1" t="s">
        <v>148</v>
      </c>
      <c r="H1735" s="1" t="s">
        <v>231</v>
      </c>
      <c r="K1735" s="1" t="s">
        <v>146</v>
      </c>
      <c r="L1735" s="1" t="s">
        <v>1386</v>
      </c>
      <c r="M1735" s="1" t="s">
        <v>1555</v>
      </c>
      <c r="N1735" s="1" t="s">
        <v>375</v>
      </c>
      <c r="O1735" s="1" t="s">
        <v>376</v>
      </c>
      <c r="P1735" s="1" t="s">
        <v>5536</v>
      </c>
      <c r="U1735" s="1" t="s">
        <v>5934</v>
      </c>
      <c r="Z1735" s="1" t="s">
        <v>71</v>
      </c>
      <c r="AE1735" s="1" t="s">
        <v>5936</v>
      </c>
      <c r="AH1735" s="1" t="s">
        <v>73</v>
      </c>
      <c r="AK1735" s="1" t="s">
        <v>71</v>
      </c>
      <c r="AM1735" s="1" t="s">
        <v>71</v>
      </c>
      <c r="AN1735" s="1" t="s">
        <v>71</v>
      </c>
      <c r="AS1735" s="1" t="s">
        <v>71</v>
      </c>
      <c r="AX1735" s="1" t="s">
        <v>71</v>
      </c>
      <c r="AY1735" s="1" t="s">
        <v>59</v>
      </c>
      <c r="AZ1735" s="1" t="s">
        <v>74</v>
      </c>
      <c r="BH1735" s="1" t="s">
        <v>71</v>
      </c>
    </row>
    <row r="1736" customFormat="false" ht="15" hidden="false" customHeight="false" outlineLevel="0" collapsed="false">
      <c r="A1736" s="1" t="s">
        <v>5937</v>
      </c>
      <c r="B1736" s="1" t="s">
        <v>5938</v>
      </c>
      <c r="C1736" s="1" t="s">
        <v>163</v>
      </c>
      <c r="D1736" s="1" t="s">
        <v>267</v>
      </c>
      <c r="E1736" s="1" t="s">
        <v>61</v>
      </c>
      <c r="F1736" s="1" t="s">
        <v>101</v>
      </c>
      <c r="G1736" s="1" t="s">
        <v>108</v>
      </c>
      <c r="H1736" s="1" t="s">
        <v>1495</v>
      </c>
      <c r="K1736" s="1" t="s">
        <v>152</v>
      </c>
      <c r="L1736" s="1" t="s">
        <v>5939</v>
      </c>
      <c r="M1736" s="1" t="s">
        <v>5940</v>
      </c>
      <c r="N1736" s="1" t="s">
        <v>5941</v>
      </c>
      <c r="O1736" s="1" t="s">
        <v>5942</v>
      </c>
      <c r="P1736" s="1" t="s">
        <v>5943</v>
      </c>
      <c r="U1736" s="1" t="s">
        <v>5937</v>
      </c>
      <c r="Z1736" s="1" t="s">
        <v>71</v>
      </c>
      <c r="AA1736" s="1" t="s">
        <v>91</v>
      </c>
      <c r="AE1736" s="1" t="s">
        <v>5944</v>
      </c>
      <c r="AH1736" s="1" t="s">
        <v>73</v>
      </c>
      <c r="AK1736" s="1" t="s">
        <v>71</v>
      </c>
      <c r="AM1736" s="1" t="s">
        <v>71</v>
      </c>
      <c r="AN1736" s="1" t="s">
        <v>71</v>
      </c>
      <c r="AS1736" s="1" t="s">
        <v>71</v>
      </c>
      <c r="AX1736" s="1" t="s">
        <v>71</v>
      </c>
      <c r="AY1736" s="1" t="s">
        <v>59</v>
      </c>
      <c r="AZ1736" s="1" t="s">
        <v>74</v>
      </c>
      <c r="BH1736" s="1" t="s">
        <v>71</v>
      </c>
    </row>
    <row r="1737" customFormat="false" ht="15" hidden="false" customHeight="false" outlineLevel="0" collapsed="false">
      <c r="A1737" s="1" t="s">
        <v>5945</v>
      </c>
      <c r="B1737" s="1" t="s">
        <v>5946</v>
      </c>
      <c r="C1737" s="1" t="s">
        <v>163</v>
      </c>
      <c r="D1737" s="1" t="s">
        <v>267</v>
      </c>
      <c r="E1737" s="1" t="s">
        <v>61</v>
      </c>
      <c r="F1737" s="1" t="s">
        <v>101</v>
      </c>
      <c r="G1737" s="1" t="s">
        <v>275</v>
      </c>
      <c r="H1737" s="1" t="s">
        <v>276</v>
      </c>
      <c r="K1737" s="1" t="s">
        <v>526</v>
      </c>
      <c r="L1737" s="1" t="s">
        <v>5362</v>
      </c>
      <c r="M1737" s="1" t="s">
        <v>296</v>
      </c>
      <c r="N1737" s="1" t="s">
        <v>1498</v>
      </c>
      <c r="O1737" s="1" t="s">
        <v>1499</v>
      </c>
      <c r="P1737" s="1" t="s">
        <v>3712</v>
      </c>
      <c r="U1737" s="1" t="s">
        <v>5945</v>
      </c>
      <c r="Z1737" s="1" t="s">
        <v>71</v>
      </c>
      <c r="AA1737" s="1" t="s">
        <v>91</v>
      </c>
      <c r="AE1737" s="1" t="s">
        <v>5944</v>
      </c>
      <c r="AH1737" s="1" t="s">
        <v>73</v>
      </c>
      <c r="AK1737" s="1" t="s">
        <v>71</v>
      </c>
      <c r="AM1737" s="1" t="s">
        <v>71</v>
      </c>
      <c r="AN1737" s="1" t="s">
        <v>71</v>
      </c>
      <c r="AS1737" s="1" t="s">
        <v>71</v>
      </c>
      <c r="AX1737" s="1" t="s">
        <v>71</v>
      </c>
      <c r="AY1737" s="1" t="s">
        <v>59</v>
      </c>
      <c r="AZ1737" s="1" t="s">
        <v>74</v>
      </c>
      <c r="BH1737" s="1" t="s">
        <v>71</v>
      </c>
    </row>
    <row r="1738" customFormat="false" ht="15" hidden="false" customHeight="false" outlineLevel="0" collapsed="false">
      <c r="A1738" s="1" t="s">
        <v>5947</v>
      </c>
      <c r="B1738" s="1" t="s">
        <v>5948</v>
      </c>
      <c r="C1738" s="1" t="s">
        <v>265</v>
      </c>
      <c r="D1738" s="1" t="s">
        <v>897</v>
      </c>
      <c r="E1738" s="1" t="s">
        <v>82</v>
      </c>
      <c r="F1738" s="1" t="s">
        <v>391</v>
      </c>
      <c r="G1738" s="1" t="s">
        <v>213</v>
      </c>
      <c r="H1738" s="1" t="s">
        <v>477</v>
      </c>
      <c r="K1738" s="1" t="s">
        <v>478</v>
      </c>
      <c r="L1738" s="1" t="s">
        <v>479</v>
      </c>
      <c r="M1738" s="1" t="s">
        <v>465</v>
      </c>
      <c r="N1738" s="1" t="s">
        <v>5949</v>
      </c>
      <c r="O1738" s="1" t="s">
        <v>447</v>
      </c>
      <c r="P1738" s="1" t="s">
        <v>5950</v>
      </c>
      <c r="Z1738" s="1" t="s">
        <v>71</v>
      </c>
      <c r="AE1738" s="1" t="s">
        <v>5951</v>
      </c>
      <c r="AH1738" s="1" t="s">
        <v>73</v>
      </c>
      <c r="AK1738" s="1" t="s">
        <v>71</v>
      </c>
      <c r="AM1738" s="1" t="s">
        <v>71</v>
      </c>
      <c r="AN1738" s="1" t="s">
        <v>71</v>
      </c>
      <c r="AS1738" s="1" t="s">
        <v>71</v>
      </c>
      <c r="AX1738" s="1" t="s">
        <v>71</v>
      </c>
      <c r="BH1738" s="1" t="s">
        <v>71</v>
      </c>
    </row>
    <row r="1739" customFormat="false" ht="15" hidden="false" customHeight="false" outlineLevel="0" collapsed="false">
      <c r="A1739" s="1" t="s">
        <v>5952</v>
      </c>
      <c r="B1739" s="1" t="s">
        <v>5953</v>
      </c>
      <c r="C1739" s="1" t="s">
        <v>1200</v>
      </c>
      <c r="D1739" s="1" t="s">
        <v>3535</v>
      </c>
      <c r="E1739" s="1" t="s">
        <v>65</v>
      </c>
      <c r="F1739" s="1" t="s">
        <v>119</v>
      </c>
      <c r="G1739" s="1" t="s">
        <v>65</v>
      </c>
      <c r="H1739" s="1" t="s">
        <v>64</v>
      </c>
      <c r="K1739" s="1" t="s">
        <v>170</v>
      </c>
      <c r="L1739" s="1" t="s">
        <v>171</v>
      </c>
      <c r="M1739" s="1" t="s">
        <v>592</v>
      </c>
      <c r="N1739" s="1" t="s">
        <v>123</v>
      </c>
      <c r="O1739" s="1" t="s">
        <v>124</v>
      </c>
      <c r="P1739" s="1" t="s">
        <v>4161</v>
      </c>
      <c r="U1739" s="1" t="s">
        <v>5952</v>
      </c>
      <c r="Z1739" s="1" t="s">
        <v>71</v>
      </c>
      <c r="AE1739" s="1" t="s">
        <v>5954</v>
      </c>
      <c r="AH1739" s="1" t="s">
        <v>73</v>
      </c>
      <c r="AK1739" s="1" t="s">
        <v>71</v>
      </c>
      <c r="AM1739" s="1" t="s">
        <v>71</v>
      </c>
      <c r="AN1739" s="1" t="s">
        <v>71</v>
      </c>
      <c r="AS1739" s="1" t="s">
        <v>71</v>
      </c>
      <c r="AX1739" s="1" t="s">
        <v>71</v>
      </c>
      <c r="AY1739" s="1" t="s">
        <v>59</v>
      </c>
      <c r="AZ1739" s="1" t="s">
        <v>74</v>
      </c>
      <c r="BH1739" s="1" t="s">
        <v>71</v>
      </c>
    </row>
    <row r="1740" customFormat="false" ht="15" hidden="false" customHeight="false" outlineLevel="0" collapsed="false">
      <c r="A1740" s="1" t="s">
        <v>5955</v>
      </c>
      <c r="B1740" s="1" t="s">
        <v>5956</v>
      </c>
      <c r="C1740" s="1" t="s">
        <v>318</v>
      </c>
      <c r="D1740" s="1" t="s">
        <v>1466</v>
      </c>
      <c r="E1740" s="1" t="s">
        <v>61</v>
      </c>
      <c r="F1740" s="1" t="s">
        <v>101</v>
      </c>
      <c r="G1740" s="1" t="s">
        <v>275</v>
      </c>
      <c r="H1740" s="1" t="s">
        <v>276</v>
      </c>
      <c r="K1740" s="1" t="s">
        <v>1479</v>
      </c>
      <c r="L1740" s="1" t="s">
        <v>1480</v>
      </c>
      <c r="M1740" s="1" t="s">
        <v>296</v>
      </c>
      <c r="N1740" s="1" t="s">
        <v>279</v>
      </c>
      <c r="O1740" s="1" t="s">
        <v>280</v>
      </c>
      <c r="P1740" s="1" t="s">
        <v>4895</v>
      </c>
      <c r="U1740" s="1" t="s">
        <v>5955</v>
      </c>
      <c r="Z1740" s="1" t="s">
        <v>71</v>
      </c>
      <c r="AE1740" s="1" t="s">
        <v>5957</v>
      </c>
      <c r="AH1740" s="1" t="s">
        <v>73</v>
      </c>
      <c r="AK1740" s="1" t="s">
        <v>71</v>
      </c>
      <c r="AM1740" s="1" t="s">
        <v>71</v>
      </c>
      <c r="AN1740" s="1" t="s">
        <v>71</v>
      </c>
      <c r="AS1740" s="1" t="s">
        <v>71</v>
      </c>
      <c r="AX1740" s="1" t="s">
        <v>71</v>
      </c>
      <c r="AY1740" s="1" t="s">
        <v>59</v>
      </c>
      <c r="AZ1740" s="1" t="s">
        <v>74</v>
      </c>
      <c r="BH1740" s="1" t="s">
        <v>71</v>
      </c>
    </row>
    <row r="1741" customFormat="false" ht="15" hidden="false" customHeight="false" outlineLevel="0" collapsed="false">
      <c r="A1741" s="1" t="s">
        <v>5958</v>
      </c>
      <c r="B1741" s="1" t="s">
        <v>5959</v>
      </c>
      <c r="C1741" s="1" t="s">
        <v>182</v>
      </c>
      <c r="D1741" s="1" t="s">
        <v>239</v>
      </c>
      <c r="E1741" s="1" t="s">
        <v>61</v>
      </c>
      <c r="F1741" s="1" t="s">
        <v>101</v>
      </c>
      <c r="G1741" s="1" t="s">
        <v>148</v>
      </c>
      <c r="H1741" s="1" t="s">
        <v>231</v>
      </c>
      <c r="K1741" s="1" t="s">
        <v>240</v>
      </c>
      <c r="L1741" s="1" t="s">
        <v>241</v>
      </c>
      <c r="M1741" s="1" t="s">
        <v>374</v>
      </c>
      <c r="N1741" s="1" t="s">
        <v>375</v>
      </c>
      <c r="O1741" s="1" t="s">
        <v>376</v>
      </c>
      <c r="P1741" s="1" t="s">
        <v>5536</v>
      </c>
      <c r="U1741" s="1" t="s">
        <v>245</v>
      </c>
      <c r="Z1741" s="1" t="s">
        <v>71</v>
      </c>
      <c r="AE1741" s="1" t="s">
        <v>5960</v>
      </c>
      <c r="AH1741" s="1" t="s">
        <v>73</v>
      </c>
      <c r="AK1741" s="1" t="s">
        <v>71</v>
      </c>
      <c r="AM1741" s="1" t="s">
        <v>71</v>
      </c>
      <c r="AN1741" s="1" t="s">
        <v>71</v>
      </c>
      <c r="AS1741" s="1" t="s">
        <v>71</v>
      </c>
      <c r="AX1741" s="1" t="s">
        <v>71</v>
      </c>
      <c r="AY1741" s="1" t="s">
        <v>59</v>
      </c>
      <c r="AZ1741" s="1" t="s">
        <v>74</v>
      </c>
      <c r="BH1741" s="1" t="s">
        <v>71</v>
      </c>
    </row>
    <row r="1742" customFormat="false" ht="15" hidden="false" customHeight="false" outlineLevel="0" collapsed="false">
      <c r="A1742" s="1" t="s">
        <v>5961</v>
      </c>
      <c r="B1742" s="1" t="s">
        <v>5962</v>
      </c>
      <c r="C1742" s="1" t="s">
        <v>288</v>
      </c>
      <c r="D1742" s="1" t="s">
        <v>289</v>
      </c>
      <c r="E1742" s="1" t="s">
        <v>61</v>
      </c>
      <c r="F1742" s="1" t="s">
        <v>101</v>
      </c>
      <c r="G1742" s="1" t="s">
        <v>134</v>
      </c>
      <c r="H1742" s="1" t="s">
        <v>4875</v>
      </c>
      <c r="K1742" s="1" t="s">
        <v>293</v>
      </c>
      <c r="L1742" s="1" t="s">
        <v>4876</v>
      </c>
      <c r="M1742" s="1" t="s">
        <v>828</v>
      </c>
      <c r="N1742" s="1" t="s">
        <v>105</v>
      </c>
      <c r="O1742" s="1" t="s">
        <v>106</v>
      </c>
      <c r="P1742" s="1" t="s">
        <v>3539</v>
      </c>
      <c r="U1742" s="1" t="s">
        <v>5961</v>
      </c>
      <c r="Z1742" s="1" t="s">
        <v>71</v>
      </c>
      <c r="AE1742" s="1" t="s">
        <v>5960</v>
      </c>
      <c r="AH1742" s="1" t="s">
        <v>73</v>
      </c>
      <c r="AK1742" s="1" t="s">
        <v>71</v>
      </c>
      <c r="AM1742" s="1" t="s">
        <v>71</v>
      </c>
      <c r="AN1742" s="1" t="s">
        <v>71</v>
      </c>
      <c r="AS1742" s="1" t="s">
        <v>71</v>
      </c>
      <c r="AX1742" s="1" t="s">
        <v>71</v>
      </c>
      <c r="AY1742" s="1" t="s">
        <v>59</v>
      </c>
      <c r="AZ1742" s="1" t="s">
        <v>74</v>
      </c>
      <c r="BH1742" s="1" t="s">
        <v>71</v>
      </c>
    </row>
    <row r="1743" customFormat="false" ht="15" hidden="false" customHeight="false" outlineLevel="0" collapsed="false">
      <c r="A1743" s="1" t="s">
        <v>5963</v>
      </c>
      <c r="B1743" s="1" t="s">
        <v>5964</v>
      </c>
      <c r="C1743" s="1" t="s">
        <v>5965</v>
      </c>
      <c r="D1743" s="1" t="s">
        <v>5966</v>
      </c>
      <c r="E1743" s="1" t="s">
        <v>61</v>
      </c>
      <c r="F1743" s="1" t="s">
        <v>101</v>
      </c>
      <c r="G1743" s="1" t="s">
        <v>93</v>
      </c>
      <c r="H1743" s="1" t="s">
        <v>64</v>
      </c>
      <c r="K1743" s="1" t="s">
        <v>126</v>
      </c>
      <c r="L1743" s="1" t="s">
        <v>335</v>
      </c>
      <c r="M1743" s="1" t="s">
        <v>1555</v>
      </c>
      <c r="N1743" s="1" t="s">
        <v>105</v>
      </c>
      <c r="O1743" s="1" t="s">
        <v>106</v>
      </c>
      <c r="P1743" s="1" t="s">
        <v>3539</v>
      </c>
      <c r="U1743" s="1" t="s">
        <v>5963</v>
      </c>
      <c r="Z1743" s="1" t="s">
        <v>71</v>
      </c>
      <c r="AE1743" s="1" t="s">
        <v>5960</v>
      </c>
      <c r="AH1743" s="1" t="s">
        <v>73</v>
      </c>
      <c r="AK1743" s="1" t="s">
        <v>71</v>
      </c>
      <c r="AM1743" s="1" t="s">
        <v>71</v>
      </c>
      <c r="AN1743" s="1" t="s">
        <v>71</v>
      </c>
      <c r="AS1743" s="1" t="s">
        <v>71</v>
      </c>
      <c r="AX1743" s="1" t="s">
        <v>71</v>
      </c>
      <c r="AY1743" s="1" t="s">
        <v>59</v>
      </c>
      <c r="AZ1743" s="1" t="s">
        <v>74</v>
      </c>
      <c r="BH1743" s="1" t="s">
        <v>71</v>
      </c>
    </row>
    <row r="1744" customFormat="false" ht="15" hidden="false" customHeight="false" outlineLevel="0" collapsed="false">
      <c r="A1744" s="1" t="s">
        <v>5967</v>
      </c>
      <c r="B1744" s="1" t="s">
        <v>5968</v>
      </c>
      <c r="C1744" s="1" t="s">
        <v>1343</v>
      </c>
      <c r="D1744" s="1" t="s">
        <v>1344</v>
      </c>
      <c r="E1744" s="1" t="s">
        <v>61</v>
      </c>
      <c r="F1744" s="1" t="s">
        <v>101</v>
      </c>
      <c r="G1744" s="1" t="s">
        <v>115</v>
      </c>
      <c r="H1744" s="1" t="s">
        <v>5689</v>
      </c>
      <c r="K1744" s="1" t="s">
        <v>65</v>
      </c>
      <c r="L1744" s="1" t="s">
        <v>4731</v>
      </c>
      <c r="M1744" s="1" t="s">
        <v>5691</v>
      </c>
      <c r="N1744" s="1" t="s">
        <v>5692</v>
      </c>
      <c r="O1744" s="1" t="s">
        <v>5693</v>
      </c>
      <c r="P1744" s="1" t="s">
        <v>5694</v>
      </c>
      <c r="U1744" s="1" t="s">
        <v>5967</v>
      </c>
      <c r="Z1744" s="1" t="s">
        <v>71</v>
      </c>
      <c r="AE1744" s="1" t="s">
        <v>5969</v>
      </c>
      <c r="AH1744" s="1" t="s">
        <v>73</v>
      </c>
      <c r="AK1744" s="1" t="s">
        <v>71</v>
      </c>
      <c r="AM1744" s="1" t="s">
        <v>71</v>
      </c>
      <c r="AN1744" s="1" t="s">
        <v>71</v>
      </c>
      <c r="AS1744" s="1" t="s">
        <v>71</v>
      </c>
      <c r="AX1744" s="1" t="s">
        <v>71</v>
      </c>
      <c r="AY1744" s="1" t="s">
        <v>59</v>
      </c>
      <c r="AZ1744" s="1" t="s">
        <v>74</v>
      </c>
      <c r="BH1744" s="1" t="s">
        <v>71</v>
      </c>
    </row>
    <row r="1745" customFormat="false" ht="15" hidden="false" customHeight="false" outlineLevel="0" collapsed="false">
      <c r="A1745" s="1" t="s">
        <v>5970</v>
      </c>
      <c r="B1745" s="1" t="s">
        <v>5971</v>
      </c>
      <c r="C1745" s="1" t="s">
        <v>1343</v>
      </c>
      <c r="D1745" s="1" t="s">
        <v>1344</v>
      </c>
      <c r="E1745" s="1" t="s">
        <v>61</v>
      </c>
      <c r="F1745" s="1" t="s">
        <v>101</v>
      </c>
      <c r="G1745" s="1" t="s">
        <v>115</v>
      </c>
      <c r="H1745" s="1" t="s">
        <v>5689</v>
      </c>
      <c r="K1745" s="1" t="s">
        <v>61</v>
      </c>
      <c r="L1745" s="1" t="s">
        <v>5972</v>
      </c>
      <c r="M1745" s="1" t="s">
        <v>5691</v>
      </c>
      <c r="N1745" s="1" t="s">
        <v>5692</v>
      </c>
      <c r="O1745" s="1" t="s">
        <v>5693</v>
      </c>
      <c r="P1745" s="1" t="s">
        <v>5694</v>
      </c>
      <c r="U1745" s="1" t="s">
        <v>5970</v>
      </c>
      <c r="Z1745" s="1" t="s">
        <v>71</v>
      </c>
      <c r="AE1745" s="1" t="s">
        <v>5969</v>
      </c>
      <c r="AH1745" s="1" t="s">
        <v>73</v>
      </c>
      <c r="AK1745" s="1" t="s">
        <v>71</v>
      </c>
      <c r="AM1745" s="1" t="s">
        <v>71</v>
      </c>
      <c r="AN1745" s="1" t="s">
        <v>71</v>
      </c>
      <c r="AS1745" s="1" t="s">
        <v>71</v>
      </c>
      <c r="AX1745" s="1" t="s">
        <v>71</v>
      </c>
      <c r="AY1745" s="1" t="s">
        <v>59</v>
      </c>
      <c r="AZ1745" s="1" t="s">
        <v>74</v>
      </c>
      <c r="BH1745" s="1" t="s">
        <v>71</v>
      </c>
    </row>
    <row r="1746" customFormat="false" ht="15" hidden="false" customHeight="false" outlineLevel="0" collapsed="false">
      <c r="A1746" s="1" t="s">
        <v>5973</v>
      </c>
      <c r="B1746" s="1" t="s">
        <v>5974</v>
      </c>
      <c r="C1746" s="1" t="s">
        <v>5975</v>
      </c>
      <c r="D1746" s="1" t="s">
        <v>5976</v>
      </c>
      <c r="E1746" s="1" t="s">
        <v>61</v>
      </c>
      <c r="F1746" s="1" t="s">
        <v>101</v>
      </c>
      <c r="G1746" s="1" t="s">
        <v>93</v>
      </c>
      <c r="H1746" s="1" t="s">
        <v>64</v>
      </c>
      <c r="K1746" s="1" t="s">
        <v>126</v>
      </c>
      <c r="L1746" s="1" t="s">
        <v>335</v>
      </c>
      <c r="M1746" s="1" t="s">
        <v>1555</v>
      </c>
      <c r="N1746" s="1" t="s">
        <v>105</v>
      </c>
      <c r="O1746" s="1" t="s">
        <v>106</v>
      </c>
      <c r="P1746" s="1" t="s">
        <v>3539</v>
      </c>
      <c r="U1746" s="1" t="s">
        <v>5973</v>
      </c>
      <c r="Z1746" s="1" t="s">
        <v>71</v>
      </c>
      <c r="AE1746" s="1" t="s">
        <v>5977</v>
      </c>
      <c r="AH1746" s="1" t="s">
        <v>73</v>
      </c>
      <c r="AK1746" s="1" t="s">
        <v>71</v>
      </c>
      <c r="AM1746" s="1" t="s">
        <v>71</v>
      </c>
      <c r="AN1746" s="1" t="s">
        <v>71</v>
      </c>
      <c r="AS1746" s="1" t="s">
        <v>71</v>
      </c>
      <c r="AX1746" s="1" t="s">
        <v>71</v>
      </c>
      <c r="AY1746" s="1" t="s">
        <v>59</v>
      </c>
      <c r="AZ1746" s="1" t="s">
        <v>74</v>
      </c>
      <c r="BH1746" s="1" t="s">
        <v>71</v>
      </c>
    </row>
    <row r="1747" customFormat="false" ht="15" hidden="false" customHeight="false" outlineLevel="0" collapsed="false">
      <c r="A1747" s="1" t="s">
        <v>5978</v>
      </c>
      <c r="B1747" s="1" t="s">
        <v>5979</v>
      </c>
      <c r="C1747" s="1" t="s">
        <v>182</v>
      </c>
      <c r="D1747" s="1" t="s">
        <v>239</v>
      </c>
      <c r="E1747" s="1" t="s">
        <v>61</v>
      </c>
      <c r="F1747" s="1" t="s">
        <v>101</v>
      </c>
      <c r="G1747" s="1" t="s">
        <v>275</v>
      </c>
      <c r="H1747" s="1" t="s">
        <v>276</v>
      </c>
      <c r="K1747" s="1" t="s">
        <v>132</v>
      </c>
      <c r="L1747" s="1" t="s">
        <v>5418</v>
      </c>
      <c r="M1747" s="1" t="s">
        <v>5063</v>
      </c>
      <c r="N1747" s="1" t="s">
        <v>279</v>
      </c>
      <c r="O1747" s="1" t="s">
        <v>280</v>
      </c>
      <c r="P1747" s="1" t="s">
        <v>4895</v>
      </c>
      <c r="U1747" s="1" t="s">
        <v>245</v>
      </c>
      <c r="Z1747" s="1" t="s">
        <v>71</v>
      </c>
      <c r="AE1747" s="1" t="s">
        <v>5980</v>
      </c>
      <c r="AH1747" s="1" t="s">
        <v>73</v>
      </c>
      <c r="AK1747" s="1" t="s">
        <v>71</v>
      </c>
      <c r="AM1747" s="1" t="s">
        <v>71</v>
      </c>
      <c r="AN1747" s="1" t="s">
        <v>71</v>
      </c>
      <c r="AS1747" s="1" t="s">
        <v>71</v>
      </c>
      <c r="AX1747" s="1" t="s">
        <v>71</v>
      </c>
      <c r="AY1747" s="1" t="s">
        <v>59</v>
      </c>
      <c r="AZ1747" s="1" t="s">
        <v>74</v>
      </c>
      <c r="BH1747" s="1" t="s">
        <v>71</v>
      </c>
    </row>
    <row r="1748" customFormat="false" ht="15" hidden="false" customHeight="false" outlineLevel="0" collapsed="false">
      <c r="A1748" s="1" t="s">
        <v>5981</v>
      </c>
      <c r="B1748" s="1" t="s">
        <v>5982</v>
      </c>
      <c r="C1748" s="1" t="s">
        <v>1070</v>
      </c>
      <c r="D1748" s="1" t="s">
        <v>3765</v>
      </c>
      <c r="E1748" s="1" t="s">
        <v>65</v>
      </c>
      <c r="F1748" s="1" t="s">
        <v>119</v>
      </c>
      <c r="G1748" s="1" t="s">
        <v>88</v>
      </c>
      <c r="H1748" s="1" t="s">
        <v>255</v>
      </c>
      <c r="K1748" s="1" t="s">
        <v>215</v>
      </c>
      <c r="L1748" s="1" t="s">
        <v>5567</v>
      </c>
      <c r="M1748" s="1" t="s">
        <v>242</v>
      </c>
      <c r="N1748" s="1" t="s">
        <v>259</v>
      </c>
      <c r="O1748" s="1" t="s">
        <v>260</v>
      </c>
      <c r="P1748" s="1" t="s">
        <v>3768</v>
      </c>
      <c r="U1748" s="1" t="s">
        <v>5981</v>
      </c>
      <c r="Z1748" s="1" t="s">
        <v>71</v>
      </c>
      <c r="AE1748" s="1" t="s">
        <v>5980</v>
      </c>
      <c r="AH1748" s="1" t="s">
        <v>73</v>
      </c>
      <c r="AK1748" s="1" t="s">
        <v>71</v>
      </c>
      <c r="AM1748" s="1" t="s">
        <v>71</v>
      </c>
      <c r="AN1748" s="1" t="s">
        <v>71</v>
      </c>
      <c r="AS1748" s="1" t="s">
        <v>71</v>
      </c>
      <c r="AX1748" s="1" t="s">
        <v>71</v>
      </c>
      <c r="AY1748" s="1" t="s">
        <v>59</v>
      </c>
      <c r="AZ1748" s="1" t="s">
        <v>74</v>
      </c>
      <c r="BH1748" s="1" t="s">
        <v>71</v>
      </c>
    </row>
    <row r="1749" customFormat="false" ht="15" hidden="false" customHeight="false" outlineLevel="0" collapsed="false">
      <c r="A1749" s="1" t="s">
        <v>5983</v>
      </c>
      <c r="B1749" s="1" t="s">
        <v>5984</v>
      </c>
      <c r="C1749" s="1" t="s">
        <v>163</v>
      </c>
      <c r="D1749" s="1" t="s">
        <v>267</v>
      </c>
      <c r="E1749" s="1" t="s">
        <v>65</v>
      </c>
      <c r="F1749" s="1" t="s">
        <v>119</v>
      </c>
      <c r="G1749" s="1" t="s">
        <v>88</v>
      </c>
      <c r="H1749" s="1" t="s">
        <v>255</v>
      </c>
      <c r="K1749" s="1" t="s">
        <v>256</v>
      </c>
      <c r="L1749" s="1" t="s">
        <v>257</v>
      </c>
      <c r="M1749" s="1" t="s">
        <v>269</v>
      </c>
      <c r="N1749" s="1" t="s">
        <v>259</v>
      </c>
      <c r="O1749" s="1" t="s">
        <v>260</v>
      </c>
      <c r="P1749" s="1" t="s">
        <v>3768</v>
      </c>
      <c r="U1749" s="1" t="s">
        <v>5983</v>
      </c>
      <c r="Z1749" s="1" t="s">
        <v>71</v>
      </c>
      <c r="AE1749" s="1" t="s">
        <v>5985</v>
      </c>
      <c r="AH1749" s="1" t="s">
        <v>73</v>
      </c>
      <c r="AK1749" s="1" t="s">
        <v>71</v>
      </c>
      <c r="AM1749" s="1" t="s">
        <v>71</v>
      </c>
      <c r="AN1749" s="1" t="s">
        <v>71</v>
      </c>
      <c r="AS1749" s="1" t="s">
        <v>71</v>
      </c>
      <c r="AX1749" s="1" t="s">
        <v>71</v>
      </c>
      <c r="AY1749" s="1" t="s">
        <v>59</v>
      </c>
      <c r="AZ1749" s="1" t="s">
        <v>74</v>
      </c>
      <c r="BH1749" s="1" t="s">
        <v>71</v>
      </c>
    </row>
    <row r="1750" customFormat="false" ht="15" hidden="false" customHeight="false" outlineLevel="0" collapsed="false">
      <c r="A1750" s="1" t="s">
        <v>5986</v>
      </c>
      <c r="B1750" s="1" t="s">
        <v>5987</v>
      </c>
      <c r="C1750" s="1" t="s">
        <v>1200</v>
      </c>
      <c r="D1750" s="1" t="s">
        <v>3535</v>
      </c>
      <c r="E1750" s="1" t="s">
        <v>65</v>
      </c>
      <c r="F1750" s="1" t="s">
        <v>119</v>
      </c>
      <c r="G1750" s="1" t="s">
        <v>65</v>
      </c>
      <c r="H1750" s="1" t="s">
        <v>64</v>
      </c>
      <c r="K1750" s="1" t="s">
        <v>5988</v>
      </c>
      <c r="L1750" s="1" t="s">
        <v>5989</v>
      </c>
      <c r="M1750" s="1" t="s">
        <v>592</v>
      </c>
      <c r="N1750" s="1" t="s">
        <v>123</v>
      </c>
      <c r="O1750" s="1" t="s">
        <v>124</v>
      </c>
      <c r="P1750" s="1" t="s">
        <v>4161</v>
      </c>
      <c r="U1750" s="1" t="s">
        <v>5986</v>
      </c>
      <c r="Z1750" s="1" t="s">
        <v>71</v>
      </c>
      <c r="AE1750" s="1" t="s">
        <v>5985</v>
      </c>
      <c r="AH1750" s="1" t="s">
        <v>73</v>
      </c>
      <c r="AK1750" s="1" t="s">
        <v>71</v>
      </c>
      <c r="AM1750" s="1" t="s">
        <v>71</v>
      </c>
      <c r="AN1750" s="1" t="s">
        <v>71</v>
      </c>
      <c r="AS1750" s="1" t="s">
        <v>71</v>
      </c>
      <c r="AX1750" s="1" t="s">
        <v>71</v>
      </c>
      <c r="AY1750" s="1" t="s">
        <v>59</v>
      </c>
      <c r="AZ1750" s="1" t="s">
        <v>74</v>
      </c>
      <c r="BH1750" s="1" t="s">
        <v>71</v>
      </c>
    </row>
    <row r="1751" customFormat="false" ht="15" hidden="false" customHeight="false" outlineLevel="0" collapsed="false">
      <c r="A1751" s="1" t="s">
        <v>5990</v>
      </c>
      <c r="B1751" s="1" t="s">
        <v>5991</v>
      </c>
      <c r="C1751" s="1" t="s">
        <v>1200</v>
      </c>
      <c r="D1751" s="1" t="s">
        <v>3535</v>
      </c>
      <c r="E1751" s="1" t="s">
        <v>65</v>
      </c>
      <c r="F1751" s="1" t="s">
        <v>119</v>
      </c>
      <c r="G1751" s="1" t="s">
        <v>65</v>
      </c>
      <c r="H1751" s="1" t="s">
        <v>64</v>
      </c>
      <c r="K1751" s="1" t="s">
        <v>443</v>
      </c>
      <c r="L1751" s="1" t="s">
        <v>630</v>
      </c>
      <c r="M1751" s="1" t="s">
        <v>592</v>
      </c>
      <c r="N1751" s="1" t="s">
        <v>123</v>
      </c>
      <c r="O1751" s="1" t="s">
        <v>124</v>
      </c>
      <c r="P1751" s="1" t="s">
        <v>4161</v>
      </c>
      <c r="U1751" s="1" t="s">
        <v>5990</v>
      </c>
      <c r="Z1751" s="1" t="s">
        <v>71</v>
      </c>
      <c r="AE1751" s="1" t="s">
        <v>5985</v>
      </c>
      <c r="AH1751" s="1" t="s">
        <v>73</v>
      </c>
      <c r="AK1751" s="1" t="s">
        <v>71</v>
      </c>
      <c r="AM1751" s="1" t="s">
        <v>71</v>
      </c>
      <c r="AN1751" s="1" t="s">
        <v>71</v>
      </c>
      <c r="AS1751" s="1" t="s">
        <v>71</v>
      </c>
      <c r="AX1751" s="1" t="s">
        <v>71</v>
      </c>
      <c r="AY1751" s="1" t="s">
        <v>59</v>
      </c>
      <c r="AZ1751" s="1" t="s">
        <v>74</v>
      </c>
      <c r="BH1751" s="1" t="s">
        <v>71</v>
      </c>
    </row>
    <row r="1752" customFormat="false" ht="15" hidden="false" customHeight="false" outlineLevel="0" collapsed="false">
      <c r="A1752" s="1" t="s">
        <v>5992</v>
      </c>
      <c r="B1752" s="1" t="s">
        <v>5993</v>
      </c>
      <c r="C1752" s="1" t="s">
        <v>1200</v>
      </c>
      <c r="D1752" s="1" t="s">
        <v>3535</v>
      </c>
      <c r="E1752" s="1" t="s">
        <v>65</v>
      </c>
      <c r="F1752" s="1" t="s">
        <v>119</v>
      </c>
      <c r="G1752" s="1" t="s">
        <v>65</v>
      </c>
      <c r="H1752" s="1" t="s">
        <v>64</v>
      </c>
      <c r="K1752" s="1" t="s">
        <v>443</v>
      </c>
      <c r="L1752" s="1" t="s">
        <v>630</v>
      </c>
      <c r="M1752" s="1" t="s">
        <v>592</v>
      </c>
      <c r="N1752" s="1" t="s">
        <v>123</v>
      </c>
      <c r="O1752" s="1" t="s">
        <v>124</v>
      </c>
      <c r="P1752" s="1" t="s">
        <v>4161</v>
      </c>
      <c r="U1752" s="1" t="s">
        <v>5992</v>
      </c>
      <c r="Z1752" s="1" t="s">
        <v>71</v>
      </c>
      <c r="AE1752" s="1" t="s">
        <v>5985</v>
      </c>
      <c r="AH1752" s="1" t="s">
        <v>73</v>
      </c>
      <c r="AK1752" s="1" t="s">
        <v>71</v>
      </c>
      <c r="AM1752" s="1" t="s">
        <v>71</v>
      </c>
      <c r="AN1752" s="1" t="s">
        <v>71</v>
      </c>
      <c r="AS1752" s="1" t="s">
        <v>71</v>
      </c>
      <c r="AX1752" s="1" t="s">
        <v>71</v>
      </c>
      <c r="AY1752" s="1" t="s">
        <v>59</v>
      </c>
      <c r="AZ1752" s="1" t="s">
        <v>74</v>
      </c>
      <c r="BH1752" s="1" t="s">
        <v>71</v>
      </c>
    </row>
    <row r="1753" customFormat="false" ht="15" hidden="false" customHeight="false" outlineLevel="0" collapsed="false">
      <c r="A1753" s="1" t="s">
        <v>5994</v>
      </c>
      <c r="B1753" s="1" t="s">
        <v>5995</v>
      </c>
      <c r="C1753" s="1" t="s">
        <v>1070</v>
      </c>
      <c r="D1753" s="1" t="s">
        <v>3765</v>
      </c>
      <c r="E1753" s="1" t="s">
        <v>65</v>
      </c>
      <c r="F1753" s="1" t="s">
        <v>119</v>
      </c>
      <c r="G1753" s="1" t="s">
        <v>61</v>
      </c>
      <c r="H1753" s="1" t="s">
        <v>231</v>
      </c>
      <c r="K1753" s="1" t="s">
        <v>142</v>
      </c>
      <c r="L1753" s="1" t="s">
        <v>5774</v>
      </c>
      <c r="M1753" s="1" t="s">
        <v>296</v>
      </c>
      <c r="N1753" s="1" t="s">
        <v>1532</v>
      </c>
      <c r="O1753" s="1" t="s">
        <v>1533</v>
      </c>
      <c r="P1753" s="1" t="s">
        <v>5996</v>
      </c>
      <c r="U1753" s="1" t="s">
        <v>5994</v>
      </c>
      <c r="Z1753" s="1" t="s">
        <v>71</v>
      </c>
      <c r="AE1753" s="1" t="s">
        <v>5985</v>
      </c>
      <c r="AH1753" s="1" t="s">
        <v>73</v>
      </c>
      <c r="AK1753" s="1" t="s">
        <v>71</v>
      </c>
      <c r="AM1753" s="1" t="s">
        <v>71</v>
      </c>
      <c r="AN1753" s="1" t="s">
        <v>71</v>
      </c>
      <c r="AS1753" s="1" t="s">
        <v>71</v>
      </c>
      <c r="AX1753" s="1" t="s">
        <v>71</v>
      </c>
      <c r="AY1753" s="1" t="s">
        <v>59</v>
      </c>
      <c r="AZ1753" s="1" t="s">
        <v>74</v>
      </c>
      <c r="BH1753" s="1" t="s">
        <v>71</v>
      </c>
    </row>
    <row r="1754" customFormat="false" ht="15" hidden="false" customHeight="false" outlineLevel="0" collapsed="false">
      <c r="A1754" s="1" t="s">
        <v>5997</v>
      </c>
      <c r="B1754" s="1" t="s">
        <v>5998</v>
      </c>
      <c r="C1754" s="1" t="s">
        <v>324</v>
      </c>
      <c r="D1754" s="1" t="s">
        <v>325</v>
      </c>
      <c r="E1754" s="1" t="s">
        <v>61</v>
      </c>
      <c r="F1754" s="1" t="s">
        <v>101</v>
      </c>
      <c r="G1754" s="1" t="s">
        <v>148</v>
      </c>
      <c r="H1754" s="1" t="s">
        <v>231</v>
      </c>
      <c r="K1754" s="1" t="s">
        <v>146</v>
      </c>
      <c r="L1754" s="1" t="s">
        <v>1386</v>
      </c>
      <c r="M1754" s="1" t="s">
        <v>242</v>
      </c>
      <c r="N1754" s="1" t="s">
        <v>1388</v>
      </c>
      <c r="O1754" s="1" t="s">
        <v>1389</v>
      </c>
      <c r="P1754" s="1" t="s">
        <v>5676</v>
      </c>
      <c r="U1754" s="1" t="s">
        <v>5997</v>
      </c>
      <c r="Z1754" s="1" t="s">
        <v>71</v>
      </c>
      <c r="AE1754" s="1" t="s">
        <v>5999</v>
      </c>
      <c r="AH1754" s="1" t="s">
        <v>73</v>
      </c>
      <c r="AK1754" s="1" t="s">
        <v>71</v>
      </c>
      <c r="AM1754" s="1" t="s">
        <v>71</v>
      </c>
      <c r="AN1754" s="1" t="s">
        <v>71</v>
      </c>
      <c r="AS1754" s="1" t="s">
        <v>71</v>
      </c>
      <c r="AX1754" s="1" t="s">
        <v>71</v>
      </c>
      <c r="AY1754" s="1" t="s">
        <v>59</v>
      </c>
      <c r="AZ1754" s="1" t="s">
        <v>74</v>
      </c>
      <c r="BH1754" s="1" t="s">
        <v>71</v>
      </c>
    </row>
    <row r="1755" customFormat="false" ht="15" hidden="false" customHeight="false" outlineLevel="0" collapsed="false">
      <c r="A1755" s="1" t="s">
        <v>6000</v>
      </c>
      <c r="B1755" s="1" t="s">
        <v>6001</v>
      </c>
      <c r="C1755" s="1" t="s">
        <v>182</v>
      </c>
      <c r="D1755" s="1" t="s">
        <v>239</v>
      </c>
      <c r="E1755" s="1" t="s">
        <v>65</v>
      </c>
      <c r="F1755" s="1" t="s">
        <v>119</v>
      </c>
      <c r="G1755" s="1" t="s">
        <v>88</v>
      </c>
      <c r="H1755" s="1" t="s">
        <v>255</v>
      </c>
      <c r="K1755" s="1" t="s">
        <v>1596</v>
      </c>
      <c r="L1755" s="1" t="s">
        <v>1597</v>
      </c>
      <c r="M1755" s="1" t="s">
        <v>5691</v>
      </c>
      <c r="N1755" s="1" t="s">
        <v>6002</v>
      </c>
      <c r="O1755" s="1" t="s">
        <v>6003</v>
      </c>
      <c r="P1755" s="1" t="s">
        <v>6004</v>
      </c>
      <c r="U1755" s="1" t="s">
        <v>6000</v>
      </c>
      <c r="Z1755" s="1" t="s">
        <v>71</v>
      </c>
      <c r="AE1755" s="1" t="s">
        <v>6005</v>
      </c>
      <c r="AH1755" s="1" t="s">
        <v>73</v>
      </c>
      <c r="AK1755" s="1" t="s">
        <v>71</v>
      </c>
      <c r="AM1755" s="1" t="s">
        <v>71</v>
      </c>
      <c r="AN1755" s="1" t="s">
        <v>71</v>
      </c>
      <c r="AS1755" s="1" t="s">
        <v>71</v>
      </c>
      <c r="AX1755" s="1" t="s">
        <v>71</v>
      </c>
      <c r="AY1755" s="1" t="s">
        <v>59</v>
      </c>
      <c r="AZ1755" s="1" t="s">
        <v>74</v>
      </c>
      <c r="BH1755" s="1" t="s">
        <v>71</v>
      </c>
    </row>
    <row r="1756" customFormat="false" ht="15" hidden="false" customHeight="false" outlineLevel="0" collapsed="false">
      <c r="A1756" s="1" t="s">
        <v>6006</v>
      </c>
      <c r="B1756" s="1" t="s">
        <v>6007</v>
      </c>
      <c r="C1756" s="1" t="s">
        <v>182</v>
      </c>
      <c r="D1756" s="1" t="s">
        <v>239</v>
      </c>
      <c r="E1756" s="1" t="s">
        <v>61</v>
      </c>
      <c r="F1756" s="1" t="s">
        <v>101</v>
      </c>
      <c r="G1756" s="1" t="s">
        <v>275</v>
      </c>
      <c r="H1756" s="1" t="s">
        <v>276</v>
      </c>
      <c r="K1756" s="1" t="s">
        <v>134</v>
      </c>
      <c r="L1756" s="1" t="s">
        <v>5443</v>
      </c>
      <c r="M1756" s="1" t="s">
        <v>278</v>
      </c>
      <c r="N1756" s="1" t="s">
        <v>1365</v>
      </c>
      <c r="O1756" s="1" t="s">
        <v>1366</v>
      </c>
      <c r="P1756" s="1" t="s">
        <v>4820</v>
      </c>
      <c r="U1756" s="1" t="s">
        <v>245</v>
      </c>
      <c r="Z1756" s="1" t="s">
        <v>71</v>
      </c>
      <c r="AE1756" s="1" t="s">
        <v>6008</v>
      </c>
      <c r="AH1756" s="1" t="s">
        <v>73</v>
      </c>
      <c r="AK1756" s="1" t="s">
        <v>71</v>
      </c>
      <c r="AM1756" s="1" t="s">
        <v>71</v>
      </c>
      <c r="AN1756" s="1" t="s">
        <v>71</v>
      </c>
      <c r="AS1756" s="1" t="s">
        <v>71</v>
      </c>
      <c r="AX1756" s="1" t="s">
        <v>71</v>
      </c>
      <c r="AY1756" s="1" t="s">
        <v>59</v>
      </c>
      <c r="AZ1756" s="1" t="s">
        <v>74</v>
      </c>
      <c r="BH1756" s="1" t="s">
        <v>71</v>
      </c>
    </row>
    <row r="1757" customFormat="false" ht="15" hidden="false" customHeight="false" outlineLevel="0" collapsed="false">
      <c r="A1757" s="1" t="s">
        <v>6009</v>
      </c>
      <c r="B1757" s="1" t="s">
        <v>6010</v>
      </c>
      <c r="C1757" s="1" t="s">
        <v>161</v>
      </c>
      <c r="D1757" s="1" t="s">
        <v>162</v>
      </c>
      <c r="E1757" s="1" t="s">
        <v>61</v>
      </c>
      <c r="F1757" s="1" t="s">
        <v>101</v>
      </c>
      <c r="G1757" s="1" t="s">
        <v>130</v>
      </c>
      <c r="H1757" s="1" t="s">
        <v>5179</v>
      </c>
      <c r="K1757" s="1" t="s">
        <v>5180</v>
      </c>
      <c r="L1757" s="1" t="s">
        <v>5181</v>
      </c>
      <c r="M1757" s="1" t="s">
        <v>592</v>
      </c>
      <c r="N1757" s="1" t="s">
        <v>105</v>
      </c>
      <c r="O1757" s="1" t="s">
        <v>106</v>
      </c>
      <c r="P1757" s="1" t="s">
        <v>3539</v>
      </c>
      <c r="U1757" s="1" t="s">
        <v>6009</v>
      </c>
      <c r="Z1757" s="1" t="s">
        <v>71</v>
      </c>
      <c r="AE1757" s="1" t="s">
        <v>6011</v>
      </c>
      <c r="AH1757" s="1" t="s">
        <v>73</v>
      </c>
      <c r="AK1757" s="1" t="s">
        <v>71</v>
      </c>
      <c r="AM1757" s="1" t="s">
        <v>71</v>
      </c>
      <c r="AN1757" s="1" t="s">
        <v>71</v>
      </c>
      <c r="AS1757" s="1" t="s">
        <v>71</v>
      </c>
      <c r="AX1757" s="1" t="s">
        <v>71</v>
      </c>
      <c r="AY1757" s="1" t="s">
        <v>59</v>
      </c>
      <c r="AZ1757" s="1" t="s">
        <v>74</v>
      </c>
      <c r="BH1757" s="1" t="s">
        <v>71</v>
      </c>
    </row>
    <row r="1758" customFormat="false" ht="15" hidden="false" customHeight="false" outlineLevel="0" collapsed="false">
      <c r="A1758" s="1" t="s">
        <v>6012</v>
      </c>
      <c r="B1758" s="1" t="s">
        <v>6013</v>
      </c>
      <c r="C1758" s="1" t="s">
        <v>161</v>
      </c>
      <c r="D1758" s="1" t="s">
        <v>162</v>
      </c>
      <c r="E1758" s="1" t="s">
        <v>61</v>
      </c>
      <c r="F1758" s="1" t="s">
        <v>101</v>
      </c>
      <c r="G1758" s="1" t="s">
        <v>130</v>
      </c>
      <c r="H1758" s="1" t="s">
        <v>5179</v>
      </c>
      <c r="K1758" s="1" t="s">
        <v>5180</v>
      </c>
      <c r="L1758" s="1" t="s">
        <v>5181</v>
      </c>
      <c r="M1758" s="1" t="s">
        <v>1555</v>
      </c>
      <c r="N1758" s="1" t="s">
        <v>105</v>
      </c>
      <c r="O1758" s="1" t="s">
        <v>106</v>
      </c>
      <c r="P1758" s="1" t="s">
        <v>3539</v>
      </c>
      <c r="U1758" s="1" t="s">
        <v>6012</v>
      </c>
      <c r="Z1758" s="1" t="s">
        <v>71</v>
      </c>
      <c r="AE1758" s="1" t="s">
        <v>6011</v>
      </c>
      <c r="AH1758" s="1" t="s">
        <v>73</v>
      </c>
      <c r="AK1758" s="1" t="s">
        <v>71</v>
      </c>
      <c r="AM1758" s="1" t="s">
        <v>71</v>
      </c>
      <c r="AN1758" s="1" t="s">
        <v>71</v>
      </c>
      <c r="AS1758" s="1" t="s">
        <v>71</v>
      </c>
      <c r="AX1758" s="1" t="s">
        <v>71</v>
      </c>
      <c r="AY1758" s="1" t="s">
        <v>59</v>
      </c>
      <c r="AZ1758" s="1" t="s">
        <v>74</v>
      </c>
      <c r="BH1758" s="1" t="s">
        <v>71</v>
      </c>
    </row>
    <row r="1759" customFormat="false" ht="15" hidden="false" customHeight="false" outlineLevel="0" collapsed="false">
      <c r="A1759" s="1" t="s">
        <v>6014</v>
      </c>
      <c r="B1759" s="1" t="s">
        <v>6015</v>
      </c>
      <c r="C1759" s="1" t="s">
        <v>161</v>
      </c>
      <c r="D1759" s="1" t="s">
        <v>162</v>
      </c>
      <c r="E1759" s="1" t="s">
        <v>61</v>
      </c>
      <c r="F1759" s="1" t="s">
        <v>101</v>
      </c>
      <c r="G1759" s="1" t="s">
        <v>130</v>
      </c>
      <c r="H1759" s="1" t="s">
        <v>5179</v>
      </c>
      <c r="K1759" s="1" t="s">
        <v>5180</v>
      </c>
      <c r="L1759" s="1" t="s">
        <v>5181</v>
      </c>
      <c r="M1759" s="1" t="s">
        <v>1555</v>
      </c>
      <c r="N1759" s="1" t="s">
        <v>105</v>
      </c>
      <c r="O1759" s="1" t="s">
        <v>106</v>
      </c>
      <c r="P1759" s="1" t="s">
        <v>3539</v>
      </c>
      <c r="U1759" s="1" t="s">
        <v>6014</v>
      </c>
      <c r="Z1759" s="1" t="s">
        <v>71</v>
      </c>
      <c r="AE1759" s="1" t="s">
        <v>6011</v>
      </c>
      <c r="AH1759" s="1" t="s">
        <v>73</v>
      </c>
      <c r="AK1759" s="1" t="s">
        <v>71</v>
      </c>
      <c r="AM1759" s="1" t="s">
        <v>71</v>
      </c>
      <c r="AN1759" s="1" t="s">
        <v>71</v>
      </c>
      <c r="AS1759" s="1" t="s">
        <v>71</v>
      </c>
      <c r="AX1759" s="1" t="s">
        <v>71</v>
      </c>
      <c r="AY1759" s="1" t="s">
        <v>59</v>
      </c>
      <c r="AZ1759" s="1" t="s">
        <v>74</v>
      </c>
      <c r="BH1759" s="1" t="s">
        <v>71</v>
      </c>
    </row>
    <row r="1760" customFormat="false" ht="15" hidden="false" customHeight="false" outlineLevel="0" collapsed="false">
      <c r="A1760" s="1" t="s">
        <v>6016</v>
      </c>
      <c r="B1760" s="1" t="s">
        <v>6017</v>
      </c>
      <c r="C1760" s="1" t="s">
        <v>163</v>
      </c>
      <c r="D1760" s="1" t="s">
        <v>267</v>
      </c>
      <c r="E1760" s="1" t="s">
        <v>61</v>
      </c>
      <c r="F1760" s="1" t="s">
        <v>101</v>
      </c>
      <c r="G1760" s="1" t="s">
        <v>177</v>
      </c>
      <c r="H1760" s="1" t="s">
        <v>255</v>
      </c>
      <c r="K1760" s="1" t="s">
        <v>136</v>
      </c>
      <c r="L1760" s="1" t="s">
        <v>6018</v>
      </c>
      <c r="M1760" s="1" t="s">
        <v>269</v>
      </c>
      <c r="N1760" s="1" t="s">
        <v>259</v>
      </c>
      <c r="O1760" s="1" t="s">
        <v>260</v>
      </c>
      <c r="P1760" s="1" t="s">
        <v>3768</v>
      </c>
      <c r="U1760" s="1" t="s">
        <v>6016</v>
      </c>
      <c r="Z1760" s="1" t="s">
        <v>71</v>
      </c>
      <c r="AE1760" s="1" t="s">
        <v>6019</v>
      </c>
      <c r="AH1760" s="1" t="s">
        <v>73</v>
      </c>
      <c r="AK1760" s="1" t="s">
        <v>71</v>
      </c>
      <c r="AM1760" s="1" t="s">
        <v>71</v>
      </c>
      <c r="AN1760" s="1" t="s">
        <v>71</v>
      </c>
      <c r="AS1760" s="1" t="s">
        <v>71</v>
      </c>
      <c r="AX1760" s="1" t="s">
        <v>71</v>
      </c>
      <c r="AY1760" s="1" t="s">
        <v>59</v>
      </c>
      <c r="AZ1760" s="1" t="s">
        <v>74</v>
      </c>
      <c r="BH1760" s="1" t="s">
        <v>71</v>
      </c>
    </row>
    <row r="1761" customFormat="false" ht="15" hidden="false" customHeight="false" outlineLevel="0" collapsed="false">
      <c r="A1761" s="1" t="s">
        <v>6020</v>
      </c>
      <c r="B1761" s="1" t="s">
        <v>6021</v>
      </c>
      <c r="C1761" s="1" t="s">
        <v>6022</v>
      </c>
      <c r="D1761" s="1" t="s">
        <v>6023</v>
      </c>
      <c r="E1761" s="1" t="s">
        <v>61</v>
      </c>
      <c r="F1761" s="1" t="s">
        <v>101</v>
      </c>
      <c r="G1761" s="1" t="s">
        <v>275</v>
      </c>
      <c r="H1761" s="1" t="s">
        <v>276</v>
      </c>
      <c r="K1761" s="1" t="s">
        <v>2495</v>
      </c>
      <c r="L1761" s="1" t="s">
        <v>2496</v>
      </c>
      <c r="M1761" s="1" t="s">
        <v>1589</v>
      </c>
      <c r="N1761" s="1" t="s">
        <v>1498</v>
      </c>
      <c r="O1761" s="1" t="s">
        <v>1499</v>
      </c>
      <c r="P1761" s="1" t="s">
        <v>3712</v>
      </c>
      <c r="U1761" s="1" t="s">
        <v>6020</v>
      </c>
      <c r="Z1761" s="1" t="s">
        <v>71</v>
      </c>
      <c r="AE1761" s="1" t="s">
        <v>6024</v>
      </c>
      <c r="AH1761" s="1" t="s">
        <v>73</v>
      </c>
      <c r="AK1761" s="1" t="s">
        <v>71</v>
      </c>
      <c r="AM1761" s="1" t="s">
        <v>71</v>
      </c>
      <c r="AN1761" s="1" t="s">
        <v>71</v>
      </c>
      <c r="AS1761" s="1" t="s">
        <v>71</v>
      </c>
      <c r="AX1761" s="1" t="s">
        <v>71</v>
      </c>
      <c r="AY1761" s="1" t="s">
        <v>59</v>
      </c>
      <c r="AZ1761" s="1" t="s">
        <v>74</v>
      </c>
      <c r="BH1761" s="1" t="s">
        <v>71</v>
      </c>
    </row>
    <row r="1762" customFormat="false" ht="15" hidden="false" customHeight="false" outlineLevel="0" collapsed="false">
      <c r="A1762" s="1" t="s">
        <v>6025</v>
      </c>
      <c r="B1762" s="1" t="s">
        <v>6026</v>
      </c>
      <c r="C1762" s="1" t="s">
        <v>6022</v>
      </c>
      <c r="D1762" s="1" t="s">
        <v>6023</v>
      </c>
      <c r="E1762" s="1" t="s">
        <v>61</v>
      </c>
      <c r="F1762" s="1" t="s">
        <v>101</v>
      </c>
      <c r="G1762" s="1" t="s">
        <v>275</v>
      </c>
      <c r="H1762" s="1" t="s">
        <v>276</v>
      </c>
      <c r="K1762" s="1" t="s">
        <v>2495</v>
      </c>
      <c r="L1762" s="1" t="s">
        <v>2496</v>
      </c>
      <c r="M1762" s="1" t="s">
        <v>278</v>
      </c>
      <c r="N1762" s="1" t="s">
        <v>1498</v>
      </c>
      <c r="O1762" s="1" t="s">
        <v>1499</v>
      </c>
      <c r="P1762" s="1" t="s">
        <v>3712</v>
      </c>
      <c r="U1762" s="1" t="s">
        <v>6025</v>
      </c>
      <c r="Z1762" s="1" t="s">
        <v>71</v>
      </c>
      <c r="AE1762" s="1" t="s">
        <v>6024</v>
      </c>
      <c r="AH1762" s="1" t="s">
        <v>73</v>
      </c>
      <c r="AK1762" s="1" t="s">
        <v>71</v>
      </c>
      <c r="AM1762" s="1" t="s">
        <v>71</v>
      </c>
      <c r="AN1762" s="1" t="s">
        <v>71</v>
      </c>
      <c r="AS1762" s="1" t="s">
        <v>71</v>
      </c>
      <c r="AX1762" s="1" t="s">
        <v>71</v>
      </c>
      <c r="AY1762" s="1" t="s">
        <v>59</v>
      </c>
      <c r="AZ1762" s="1" t="s">
        <v>74</v>
      </c>
      <c r="BH1762" s="1" t="s">
        <v>71</v>
      </c>
    </row>
    <row r="1763" customFormat="false" ht="15" hidden="false" customHeight="false" outlineLevel="0" collapsed="false">
      <c r="A1763" s="1" t="s">
        <v>6027</v>
      </c>
      <c r="B1763" s="1" t="s">
        <v>6028</v>
      </c>
      <c r="C1763" s="1" t="s">
        <v>182</v>
      </c>
      <c r="D1763" s="1" t="s">
        <v>239</v>
      </c>
      <c r="E1763" s="1" t="s">
        <v>65</v>
      </c>
      <c r="F1763" s="1" t="s">
        <v>119</v>
      </c>
      <c r="G1763" s="1" t="s">
        <v>88</v>
      </c>
      <c r="H1763" s="1" t="s">
        <v>255</v>
      </c>
      <c r="K1763" s="1" t="s">
        <v>1596</v>
      </c>
      <c r="L1763" s="1" t="s">
        <v>1597</v>
      </c>
      <c r="M1763" s="1" t="s">
        <v>5214</v>
      </c>
      <c r="N1763" s="1" t="s">
        <v>6002</v>
      </c>
      <c r="O1763" s="1" t="s">
        <v>6003</v>
      </c>
      <c r="P1763" s="1" t="s">
        <v>6004</v>
      </c>
      <c r="U1763" s="1" t="s">
        <v>263</v>
      </c>
      <c r="Z1763" s="1" t="s">
        <v>71</v>
      </c>
      <c r="AE1763" s="1" t="s">
        <v>6029</v>
      </c>
      <c r="AH1763" s="1" t="s">
        <v>73</v>
      </c>
      <c r="AK1763" s="1" t="s">
        <v>71</v>
      </c>
      <c r="AM1763" s="1" t="s">
        <v>71</v>
      </c>
      <c r="AN1763" s="1" t="s">
        <v>71</v>
      </c>
      <c r="AS1763" s="1" t="s">
        <v>71</v>
      </c>
      <c r="AX1763" s="1" t="s">
        <v>71</v>
      </c>
      <c r="AY1763" s="1" t="s">
        <v>59</v>
      </c>
      <c r="AZ1763" s="1" t="s">
        <v>74</v>
      </c>
      <c r="BH1763" s="1" t="s">
        <v>71</v>
      </c>
    </row>
    <row r="1764" customFormat="false" ht="15" hidden="false" customHeight="false" outlineLevel="0" collapsed="false">
      <c r="A1764" s="1" t="s">
        <v>6030</v>
      </c>
      <c r="B1764" s="1" t="s">
        <v>6031</v>
      </c>
      <c r="C1764" s="1" t="s">
        <v>4818</v>
      </c>
      <c r="D1764" s="1" t="s">
        <v>4819</v>
      </c>
      <c r="E1764" s="1" t="s">
        <v>61</v>
      </c>
      <c r="F1764" s="1" t="s">
        <v>101</v>
      </c>
      <c r="G1764" s="1" t="s">
        <v>275</v>
      </c>
      <c r="H1764" s="1" t="s">
        <v>276</v>
      </c>
      <c r="K1764" s="1" t="s">
        <v>132</v>
      </c>
      <c r="L1764" s="1" t="s">
        <v>5418</v>
      </c>
      <c r="M1764" s="1" t="s">
        <v>296</v>
      </c>
      <c r="N1764" s="1" t="s">
        <v>5189</v>
      </c>
      <c r="O1764" s="1" t="s">
        <v>5190</v>
      </c>
      <c r="P1764" s="1" t="s">
        <v>5191</v>
      </c>
      <c r="U1764" s="1" t="s">
        <v>6030</v>
      </c>
      <c r="Z1764" s="1" t="s">
        <v>71</v>
      </c>
      <c r="AE1764" s="1" t="s">
        <v>6032</v>
      </c>
      <c r="AH1764" s="1" t="s">
        <v>73</v>
      </c>
      <c r="AK1764" s="1" t="s">
        <v>71</v>
      </c>
      <c r="AM1764" s="1" t="s">
        <v>71</v>
      </c>
      <c r="AN1764" s="1" t="s">
        <v>71</v>
      </c>
      <c r="AS1764" s="1" t="s">
        <v>71</v>
      </c>
      <c r="AX1764" s="1" t="s">
        <v>71</v>
      </c>
      <c r="AY1764" s="1" t="s">
        <v>59</v>
      </c>
      <c r="AZ1764" s="1" t="s">
        <v>74</v>
      </c>
      <c r="BH1764" s="1" t="s">
        <v>71</v>
      </c>
    </row>
    <row r="1765" customFormat="false" ht="15" hidden="false" customHeight="false" outlineLevel="0" collapsed="false">
      <c r="A1765" s="1" t="s">
        <v>6033</v>
      </c>
      <c r="B1765" s="1" t="s">
        <v>6034</v>
      </c>
      <c r="C1765" s="1" t="s">
        <v>161</v>
      </c>
      <c r="D1765" s="1" t="s">
        <v>162</v>
      </c>
      <c r="E1765" s="1" t="s">
        <v>61</v>
      </c>
      <c r="F1765" s="1" t="s">
        <v>101</v>
      </c>
      <c r="G1765" s="1" t="s">
        <v>130</v>
      </c>
      <c r="H1765" s="1" t="s">
        <v>5179</v>
      </c>
      <c r="K1765" s="1" t="s">
        <v>6035</v>
      </c>
      <c r="L1765" s="1" t="s">
        <v>6036</v>
      </c>
      <c r="M1765" s="1" t="s">
        <v>6037</v>
      </c>
      <c r="N1765" s="1" t="s">
        <v>105</v>
      </c>
      <c r="O1765" s="1" t="s">
        <v>106</v>
      </c>
      <c r="P1765" s="1" t="s">
        <v>3539</v>
      </c>
      <c r="U1765" s="1" t="s">
        <v>6033</v>
      </c>
      <c r="Z1765" s="1" t="s">
        <v>71</v>
      </c>
      <c r="AE1765" s="1" t="s">
        <v>6038</v>
      </c>
      <c r="AH1765" s="1" t="s">
        <v>73</v>
      </c>
      <c r="AK1765" s="1" t="s">
        <v>71</v>
      </c>
      <c r="AM1765" s="1" t="s">
        <v>71</v>
      </c>
      <c r="AN1765" s="1" t="s">
        <v>71</v>
      </c>
      <c r="AS1765" s="1" t="s">
        <v>71</v>
      </c>
      <c r="AX1765" s="1" t="s">
        <v>71</v>
      </c>
      <c r="AY1765" s="1" t="s">
        <v>59</v>
      </c>
      <c r="AZ1765" s="1" t="s">
        <v>74</v>
      </c>
      <c r="BH1765" s="1" t="s">
        <v>71</v>
      </c>
    </row>
    <row r="1766" customFormat="false" ht="15" hidden="false" customHeight="false" outlineLevel="0" collapsed="false">
      <c r="A1766" s="1" t="s">
        <v>6039</v>
      </c>
      <c r="B1766" s="1" t="s">
        <v>6040</v>
      </c>
      <c r="C1766" s="1" t="s">
        <v>5975</v>
      </c>
      <c r="D1766" s="1" t="s">
        <v>5976</v>
      </c>
      <c r="E1766" s="1" t="s">
        <v>61</v>
      </c>
      <c r="F1766" s="1" t="s">
        <v>101</v>
      </c>
      <c r="G1766" s="1" t="s">
        <v>93</v>
      </c>
      <c r="H1766" s="1" t="s">
        <v>64</v>
      </c>
      <c r="K1766" s="1" t="s">
        <v>108</v>
      </c>
      <c r="L1766" s="1" t="s">
        <v>2547</v>
      </c>
      <c r="M1766" s="1" t="s">
        <v>828</v>
      </c>
      <c r="N1766" s="1" t="s">
        <v>105</v>
      </c>
      <c r="O1766" s="1" t="s">
        <v>106</v>
      </c>
      <c r="P1766" s="1" t="s">
        <v>3539</v>
      </c>
      <c r="U1766" s="1" t="s">
        <v>6039</v>
      </c>
      <c r="Z1766" s="1" t="s">
        <v>71</v>
      </c>
      <c r="AE1766" s="1" t="s">
        <v>6041</v>
      </c>
      <c r="AH1766" s="1" t="s">
        <v>73</v>
      </c>
      <c r="AK1766" s="1" t="s">
        <v>71</v>
      </c>
      <c r="AM1766" s="1" t="s">
        <v>71</v>
      </c>
      <c r="AN1766" s="1" t="s">
        <v>71</v>
      </c>
      <c r="AS1766" s="1" t="s">
        <v>71</v>
      </c>
      <c r="AX1766" s="1" t="s">
        <v>71</v>
      </c>
      <c r="AY1766" s="1" t="s">
        <v>59</v>
      </c>
      <c r="AZ1766" s="1" t="s">
        <v>74</v>
      </c>
      <c r="BH1766" s="1" t="s">
        <v>71</v>
      </c>
    </row>
    <row r="1767" customFormat="false" ht="15" hidden="false" customHeight="false" outlineLevel="0" collapsed="false">
      <c r="A1767" s="1" t="s">
        <v>6042</v>
      </c>
      <c r="B1767" s="1" t="s">
        <v>6043</v>
      </c>
      <c r="C1767" s="1" t="s">
        <v>5975</v>
      </c>
      <c r="D1767" s="1" t="s">
        <v>5976</v>
      </c>
      <c r="E1767" s="1" t="s">
        <v>61</v>
      </c>
      <c r="F1767" s="1" t="s">
        <v>101</v>
      </c>
      <c r="G1767" s="1" t="s">
        <v>93</v>
      </c>
      <c r="H1767" s="1" t="s">
        <v>64</v>
      </c>
      <c r="K1767" s="1" t="s">
        <v>224</v>
      </c>
      <c r="L1767" s="1" t="s">
        <v>225</v>
      </c>
      <c r="M1767" s="1" t="s">
        <v>5591</v>
      </c>
      <c r="N1767" s="1" t="s">
        <v>105</v>
      </c>
      <c r="O1767" s="1" t="s">
        <v>106</v>
      </c>
      <c r="P1767" s="1" t="s">
        <v>3539</v>
      </c>
      <c r="U1767" s="1" t="s">
        <v>6042</v>
      </c>
      <c r="Z1767" s="1" t="s">
        <v>71</v>
      </c>
      <c r="AE1767" s="1" t="s">
        <v>6041</v>
      </c>
      <c r="AH1767" s="1" t="s">
        <v>73</v>
      </c>
      <c r="AK1767" s="1" t="s">
        <v>71</v>
      </c>
      <c r="AM1767" s="1" t="s">
        <v>71</v>
      </c>
      <c r="AN1767" s="1" t="s">
        <v>71</v>
      </c>
      <c r="AS1767" s="1" t="s">
        <v>71</v>
      </c>
      <c r="AX1767" s="1" t="s">
        <v>71</v>
      </c>
      <c r="AY1767" s="1" t="s">
        <v>59</v>
      </c>
      <c r="AZ1767" s="1" t="s">
        <v>74</v>
      </c>
      <c r="BH1767" s="1" t="s">
        <v>71</v>
      </c>
    </row>
    <row r="1768" customFormat="false" ht="15" hidden="false" customHeight="false" outlineLevel="0" collapsed="false">
      <c r="A1768" s="1" t="s">
        <v>6044</v>
      </c>
      <c r="B1768" s="1" t="s">
        <v>6045</v>
      </c>
      <c r="C1768" s="1" t="s">
        <v>5975</v>
      </c>
      <c r="D1768" s="1" t="s">
        <v>5976</v>
      </c>
      <c r="E1768" s="1" t="s">
        <v>61</v>
      </c>
      <c r="F1768" s="1" t="s">
        <v>101</v>
      </c>
      <c r="G1768" s="1" t="s">
        <v>93</v>
      </c>
      <c r="H1768" s="1" t="s">
        <v>64</v>
      </c>
      <c r="K1768" s="1" t="s">
        <v>224</v>
      </c>
      <c r="L1768" s="1" t="s">
        <v>225</v>
      </c>
      <c r="M1768" s="1" t="s">
        <v>5591</v>
      </c>
      <c r="N1768" s="1" t="s">
        <v>105</v>
      </c>
      <c r="O1768" s="1" t="s">
        <v>106</v>
      </c>
      <c r="P1768" s="1" t="s">
        <v>3539</v>
      </c>
      <c r="U1768" s="1" t="s">
        <v>6044</v>
      </c>
      <c r="Z1768" s="1" t="s">
        <v>71</v>
      </c>
      <c r="AE1768" s="1" t="s">
        <v>6041</v>
      </c>
      <c r="AH1768" s="1" t="s">
        <v>73</v>
      </c>
      <c r="AK1768" s="1" t="s">
        <v>71</v>
      </c>
      <c r="AM1768" s="1" t="s">
        <v>71</v>
      </c>
      <c r="AN1768" s="1" t="s">
        <v>71</v>
      </c>
      <c r="AS1768" s="1" t="s">
        <v>71</v>
      </c>
      <c r="AX1768" s="1" t="s">
        <v>71</v>
      </c>
      <c r="AY1768" s="1" t="s">
        <v>59</v>
      </c>
      <c r="AZ1768" s="1" t="s">
        <v>74</v>
      </c>
      <c r="BH1768" s="1" t="s">
        <v>71</v>
      </c>
    </row>
    <row r="1769" customFormat="false" ht="15" hidden="false" customHeight="false" outlineLevel="0" collapsed="false">
      <c r="A1769" s="1" t="s">
        <v>6046</v>
      </c>
      <c r="B1769" s="1" t="s">
        <v>6047</v>
      </c>
      <c r="C1769" s="1" t="s">
        <v>5975</v>
      </c>
      <c r="D1769" s="1" t="s">
        <v>5976</v>
      </c>
      <c r="E1769" s="1" t="s">
        <v>61</v>
      </c>
      <c r="F1769" s="1" t="s">
        <v>101</v>
      </c>
      <c r="G1769" s="1" t="s">
        <v>93</v>
      </c>
      <c r="H1769" s="1" t="s">
        <v>64</v>
      </c>
      <c r="K1769" s="1" t="s">
        <v>224</v>
      </c>
      <c r="L1769" s="1" t="s">
        <v>225</v>
      </c>
      <c r="M1769" s="1" t="s">
        <v>5591</v>
      </c>
      <c r="N1769" s="1" t="s">
        <v>105</v>
      </c>
      <c r="O1769" s="1" t="s">
        <v>106</v>
      </c>
      <c r="P1769" s="1" t="s">
        <v>3539</v>
      </c>
      <c r="U1769" s="1" t="s">
        <v>6046</v>
      </c>
      <c r="Z1769" s="1" t="s">
        <v>71</v>
      </c>
      <c r="AE1769" s="1" t="s">
        <v>6041</v>
      </c>
      <c r="AH1769" s="1" t="s">
        <v>73</v>
      </c>
      <c r="AK1769" s="1" t="s">
        <v>71</v>
      </c>
      <c r="AM1769" s="1" t="s">
        <v>71</v>
      </c>
      <c r="AN1769" s="1" t="s">
        <v>71</v>
      </c>
      <c r="AS1769" s="1" t="s">
        <v>71</v>
      </c>
      <c r="AX1769" s="1" t="s">
        <v>71</v>
      </c>
      <c r="AY1769" s="1" t="s">
        <v>59</v>
      </c>
      <c r="AZ1769" s="1" t="s">
        <v>74</v>
      </c>
      <c r="BH1769" s="1" t="s">
        <v>71</v>
      </c>
    </row>
    <row r="1770" customFormat="false" ht="15" hidden="false" customHeight="false" outlineLevel="0" collapsed="false">
      <c r="A1770" s="1" t="s">
        <v>6048</v>
      </c>
      <c r="B1770" s="1" t="s">
        <v>6049</v>
      </c>
      <c r="C1770" s="1" t="s">
        <v>5975</v>
      </c>
      <c r="D1770" s="1" t="s">
        <v>5976</v>
      </c>
      <c r="E1770" s="1" t="s">
        <v>61</v>
      </c>
      <c r="F1770" s="1" t="s">
        <v>101</v>
      </c>
      <c r="G1770" s="1" t="s">
        <v>115</v>
      </c>
      <c r="H1770" s="1" t="s">
        <v>5689</v>
      </c>
      <c r="K1770" s="1" t="s">
        <v>65</v>
      </c>
      <c r="L1770" s="1" t="s">
        <v>4731</v>
      </c>
      <c r="M1770" s="1" t="s">
        <v>1387</v>
      </c>
      <c r="N1770" s="1" t="s">
        <v>5692</v>
      </c>
      <c r="O1770" s="1" t="s">
        <v>5693</v>
      </c>
      <c r="P1770" s="1" t="s">
        <v>5694</v>
      </c>
      <c r="U1770" s="1" t="s">
        <v>6048</v>
      </c>
      <c r="Z1770" s="1" t="s">
        <v>71</v>
      </c>
      <c r="AE1770" s="1" t="s">
        <v>6041</v>
      </c>
      <c r="AH1770" s="1" t="s">
        <v>73</v>
      </c>
      <c r="AK1770" s="1" t="s">
        <v>71</v>
      </c>
      <c r="AM1770" s="1" t="s">
        <v>71</v>
      </c>
      <c r="AN1770" s="1" t="s">
        <v>71</v>
      </c>
      <c r="AS1770" s="1" t="s">
        <v>71</v>
      </c>
      <c r="AX1770" s="1" t="s">
        <v>71</v>
      </c>
      <c r="AY1770" s="1" t="s">
        <v>59</v>
      </c>
      <c r="AZ1770" s="1" t="s">
        <v>74</v>
      </c>
      <c r="BH1770" s="1" t="s">
        <v>71</v>
      </c>
    </row>
    <row r="1771" customFormat="false" ht="15" hidden="false" customHeight="false" outlineLevel="0" collapsed="false">
      <c r="A1771" s="1" t="s">
        <v>6050</v>
      </c>
      <c r="B1771" s="1" t="s">
        <v>6051</v>
      </c>
      <c r="C1771" s="1" t="s">
        <v>5975</v>
      </c>
      <c r="D1771" s="1" t="s">
        <v>5976</v>
      </c>
      <c r="E1771" s="1" t="s">
        <v>61</v>
      </c>
      <c r="F1771" s="1" t="s">
        <v>101</v>
      </c>
      <c r="G1771" s="1" t="s">
        <v>115</v>
      </c>
      <c r="H1771" s="1" t="s">
        <v>5689</v>
      </c>
      <c r="K1771" s="1" t="s">
        <v>61</v>
      </c>
      <c r="L1771" s="1" t="s">
        <v>5972</v>
      </c>
      <c r="M1771" s="1" t="s">
        <v>1555</v>
      </c>
      <c r="N1771" s="1" t="s">
        <v>5692</v>
      </c>
      <c r="O1771" s="1" t="s">
        <v>5693</v>
      </c>
      <c r="P1771" s="1" t="s">
        <v>5694</v>
      </c>
      <c r="U1771" s="1" t="s">
        <v>6050</v>
      </c>
      <c r="Z1771" s="1" t="s">
        <v>71</v>
      </c>
      <c r="AE1771" s="1" t="s">
        <v>6041</v>
      </c>
      <c r="AH1771" s="1" t="s">
        <v>73</v>
      </c>
      <c r="AK1771" s="1" t="s">
        <v>71</v>
      </c>
      <c r="AM1771" s="1" t="s">
        <v>71</v>
      </c>
      <c r="AN1771" s="1" t="s">
        <v>71</v>
      </c>
      <c r="AS1771" s="1" t="s">
        <v>71</v>
      </c>
      <c r="AX1771" s="1" t="s">
        <v>71</v>
      </c>
      <c r="AY1771" s="1" t="s">
        <v>59</v>
      </c>
      <c r="AZ1771" s="1" t="s">
        <v>74</v>
      </c>
      <c r="BH1771" s="1" t="s">
        <v>71</v>
      </c>
    </row>
    <row r="1772" customFormat="false" ht="15" hidden="false" customHeight="false" outlineLevel="0" collapsed="false">
      <c r="A1772" s="1" t="s">
        <v>6052</v>
      </c>
      <c r="B1772" s="1" t="s">
        <v>6053</v>
      </c>
      <c r="C1772" s="1" t="s">
        <v>5975</v>
      </c>
      <c r="D1772" s="1" t="s">
        <v>5976</v>
      </c>
      <c r="E1772" s="1" t="s">
        <v>61</v>
      </c>
      <c r="F1772" s="1" t="s">
        <v>101</v>
      </c>
      <c r="G1772" s="1" t="s">
        <v>115</v>
      </c>
      <c r="H1772" s="1" t="s">
        <v>5689</v>
      </c>
      <c r="K1772" s="1" t="s">
        <v>82</v>
      </c>
      <c r="L1772" s="1" t="s">
        <v>1420</v>
      </c>
      <c r="M1772" s="1" t="s">
        <v>6054</v>
      </c>
      <c r="N1772" s="1" t="s">
        <v>5692</v>
      </c>
      <c r="O1772" s="1" t="s">
        <v>5693</v>
      </c>
      <c r="P1772" s="1" t="s">
        <v>5694</v>
      </c>
      <c r="U1772" s="1" t="s">
        <v>6052</v>
      </c>
      <c r="Z1772" s="1" t="s">
        <v>71</v>
      </c>
      <c r="AE1772" s="1" t="s">
        <v>6041</v>
      </c>
      <c r="AH1772" s="1" t="s">
        <v>73</v>
      </c>
      <c r="AK1772" s="1" t="s">
        <v>71</v>
      </c>
      <c r="AM1772" s="1" t="s">
        <v>71</v>
      </c>
      <c r="AN1772" s="1" t="s">
        <v>71</v>
      </c>
      <c r="AS1772" s="1" t="s">
        <v>71</v>
      </c>
      <c r="AX1772" s="1" t="s">
        <v>71</v>
      </c>
      <c r="AY1772" s="1" t="s">
        <v>59</v>
      </c>
      <c r="AZ1772" s="1" t="s">
        <v>74</v>
      </c>
      <c r="BH1772" s="1" t="s">
        <v>71</v>
      </c>
    </row>
    <row r="1773" customFormat="false" ht="15" hidden="false" customHeight="false" outlineLevel="0" collapsed="false">
      <c r="A1773" s="1" t="s">
        <v>6055</v>
      </c>
      <c r="B1773" s="1" t="s">
        <v>6056</v>
      </c>
      <c r="C1773" s="1" t="s">
        <v>5975</v>
      </c>
      <c r="D1773" s="1" t="s">
        <v>5976</v>
      </c>
      <c r="E1773" s="1" t="s">
        <v>61</v>
      </c>
      <c r="F1773" s="1" t="s">
        <v>101</v>
      </c>
      <c r="G1773" s="1" t="s">
        <v>115</v>
      </c>
      <c r="H1773" s="1" t="s">
        <v>5689</v>
      </c>
      <c r="K1773" s="1" t="s">
        <v>82</v>
      </c>
      <c r="L1773" s="1" t="s">
        <v>1420</v>
      </c>
      <c r="M1773" s="1" t="s">
        <v>6054</v>
      </c>
      <c r="N1773" s="1" t="s">
        <v>5692</v>
      </c>
      <c r="O1773" s="1" t="s">
        <v>5693</v>
      </c>
      <c r="P1773" s="1" t="s">
        <v>5694</v>
      </c>
      <c r="U1773" s="1" t="s">
        <v>6055</v>
      </c>
      <c r="Z1773" s="1" t="s">
        <v>71</v>
      </c>
      <c r="AE1773" s="1" t="s">
        <v>6041</v>
      </c>
      <c r="AH1773" s="1" t="s">
        <v>73</v>
      </c>
      <c r="AK1773" s="1" t="s">
        <v>71</v>
      </c>
      <c r="AM1773" s="1" t="s">
        <v>71</v>
      </c>
      <c r="AN1773" s="1" t="s">
        <v>71</v>
      </c>
      <c r="AS1773" s="1" t="s">
        <v>71</v>
      </c>
      <c r="AX1773" s="1" t="s">
        <v>71</v>
      </c>
      <c r="AY1773" s="1" t="s">
        <v>59</v>
      </c>
      <c r="AZ1773" s="1" t="s">
        <v>74</v>
      </c>
      <c r="BH1773" s="1" t="s">
        <v>71</v>
      </c>
    </row>
    <row r="1774" customFormat="false" ht="15" hidden="false" customHeight="false" outlineLevel="0" collapsed="false">
      <c r="A1774" s="1" t="s">
        <v>6057</v>
      </c>
      <c r="B1774" s="1" t="s">
        <v>6058</v>
      </c>
      <c r="C1774" s="1" t="s">
        <v>182</v>
      </c>
      <c r="D1774" s="1" t="s">
        <v>239</v>
      </c>
      <c r="E1774" s="1" t="s">
        <v>65</v>
      </c>
      <c r="F1774" s="1" t="s">
        <v>119</v>
      </c>
      <c r="G1774" s="1" t="s">
        <v>88</v>
      </c>
      <c r="H1774" s="1" t="s">
        <v>255</v>
      </c>
      <c r="K1774" s="1" t="s">
        <v>1596</v>
      </c>
      <c r="L1774" s="1" t="s">
        <v>1597</v>
      </c>
      <c r="M1774" s="1" t="s">
        <v>6059</v>
      </c>
      <c r="N1774" s="1" t="s">
        <v>6002</v>
      </c>
      <c r="O1774" s="1" t="s">
        <v>6003</v>
      </c>
      <c r="P1774" s="1" t="s">
        <v>6004</v>
      </c>
      <c r="U1774" s="1" t="s">
        <v>263</v>
      </c>
      <c r="Z1774" s="1" t="s">
        <v>71</v>
      </c>
      <c r="AE1774" s="1" t="s">
        <v>6060</v>
      </c>
      <c r="AH1774" s="1" t="s">
        <v>73</v>
      </c>
      <c r="AK1774" s="1" t="s">
        <v>71</v>
      </c>
      <c r="AM1774" s="1" t="s">
        <v>71</v>
      </c>
      <c r="AN1774" s="1" t="s">
        <v>71</v>
      </c>
      <c r="AS1774" s="1" t="s">
        <v>71</v>
      </c>
      <c r="AX1774" s="1" t="s">
        <v>71</v>
      </c>
      <c r="AY1774" s="1" t="s">
        <v>59</v>
      </c>
      <c r="AZ1774" s="1" t="s">
        <v>74</v>
      </c>
      <c r="BH1774" s="1" t="s">
        <v>71</v>
      </c>
    </row>
    <row r="1775" customFormat="false" ht="15" hidden="false" customHeight="false" outlineLevel="0" collapsed="false">
      <c r="A1775" s="1" t="s">
        <v>6061</v>
      </c>
      <c r="B1775" s="1" t="s">
        <v>6062</v>
      </c>
      <c r="C1775" s="1" t="s">
        <v>1493</v>
      </c>
      <c r="D1775" s="1" t="s">
        <v>5366</v>
      </c>
      <c r="E1775" s="1" t="s">
        <v>82</v>
      </c>
      <c r="F1775" s="1" t="s">
        <v>391</v>
      </c>
      <c r="G1775" s="1" t="s">
        <v>213</v>
      </c>
      <c r="H1775" s="1" t="s">
        <v>477</v>
      </c>
      <c r="K1775" s="1" t="s">
        <v>478</v>
      </c>
      <c r="L1775" s="1" t="s">
        <v>479</v>
      </c>
      <c r="M1775" s="1" t="s">
        <v>496</v>
      </c>
      <c r="N1775" s="1" t="s">
        <v>6063</v>
      </c>
      <c r="O1775" s="1" t="s">
        <v>6064</v>
      </c>
      <c r="P1775" s="1" t="s">
        <v>6065</v>
      </c>
      <c r="Z1775" s="1" t="s">
        <v>71</v>
      </c>
      <c r="AE1775" s="1" t="s">
        <v>6060</v>
      </c>
      <c r="AH1775" s="1" t="s">
        <v>73</v>
      </c>
      <c r="AK1775" s="1" t="s">
        <v>71</v>
      </c>
      <c r="AM1775" s="1" t="s">
        <v>71</v>
      </c>
      <c r="AN1775" s="1" t="s">
        <v>71</v>
      </c>
      <c r="AS1775" s="1" t="s">
        <v>71</v>
      </c>
      <c r="AX1775" s="1" t="s">
        <v>71</v>
      </c>
      <c r="BH1775" s="1" t="s">
        <v>71</v>
      </c>
    </row>
    <row r="1776" customFormat="false" ht="15" hidden="false" customHeight="false" outlineLevel="0" collapsed="false">
      <c r="A1776" s="1" t="s">
        <v>6066</v>
      </c>
      <c r="B1776" s="1" t="s">
        <v>6067</v>
      </c>
      <c r="C1776" s="1" t="s">
        <v>5543</v>
      </c>
      <c r="D1776" s="1" t="s">
        <v>5544</v>
      </c>
      <c r="E1776" s="1" t="s">
        <v>61</v>
      </c>
      <c r="F1776" s="1" t="s">
        <v>101</v>
      </c>
      <c r="G1776" s="1" t="s">
        <v>93</v>
      </c>
      <c r="H1776" s="1" t="s">
        <v>64</v>
      </c>
      <c r="K1776" s="1" t="s">
        <v>5548</v>
      </c>
      <c r="L1776" s="1" t="s">
        <v>5549</v>
      </c>
      <c r="M1776" s="1" t="s">
        <v>278</v>
      </c>
      <c r="N1776" s="1" t="s">
        <v>105</v>
      </c>
      <c r="O1776" s="1" t="s">
        <v>106</v>
      </c>
      <c r="P1776" s="1" t="s">
        <v>3539</v>
      </c>
      <c r="U1776" s="1" t="s">
        <v>6066</v>
      </c>
      <c r="Z1776" s="1" t="s">
        <v>71</v>
      </c>
      <c r="AE1776" s="1" t="s">
        <v>6068</v>
      </c>
      <c r="AH1776" s="1" t="s">
        <v>73</v>
      </c>
      <c r="AK1776" s="1" t="s">
        <v>71</v>
      </c>
      <c r="AM1776" s="1" t="s">
        <v>71</v>
      </c>
      <c r="AN1776" s="1" t="s">
        <v>71</v>
      </c>
      <c r="AS1776" s="1" t="s">
        <v>71</v>
      </c>
      <c r="AX1776" s="1" t="s">
        <v>71</v>
      </c>
      <c r="AY1776" s="1" t="s">
        <v>59</v>
      </c>
      <c r="AZ1776" s="1" t="s">
        <v>74</v>
      </c>
      <c r="BH1776" s="1" t="s">
        <v>71</v>
      </c>
    </row>
    <row r="1777" customFormat="false" ht="15" hidden="false" customHeight="false" outlineLevel="0" collapsed="false">
      <c r="A1777" s="1" t="s">
        <v>6069</v>
      </c>
      <c r="B1777" s="1" t="s">
        <v>6070</v>
      </c>
      <c r="C1777" s="1" t="s">
        <v>288</v>
      </c>
      <c r="D1777" s="1" t="s">
        <v>289</v>
      </c>
      <c r="E1777" s="1" t="s">
        <v>61</v>
      </c>
      <c r="F1777" s="1" t="s">
        <v>101</v>
      </c>
      <c r="G1777" s="1" t="s">
        <v>134</v>
      </c>
      <c r="H1777" s="1" t="s">
        <v>4875</v>
      </c>
      <c r="K1777" s="1" t="s">
        <v>293</v>
      </c>
      <c r="L1777" s="1" t="s">
        <v>4876</v>
      </c>
      <c r="M1777" s="1" t="s">
        <v>1555</v>
      </c>
      <c r="N1777" s="1" t="s">
        <v>105</v>
      </c>
      <c r="O1777" s="1" t="s">
        <v>106</v>
      </c>
      <c r="P1777" s="1" t="s">
        <v>3539</v>
      </c>
      <c r="U1777" s="1" t="s">
        <v>6069</v>
      </c>
      <c r="Z1777" s="1" t="s">
        <v>71</v>
      </c>
      <c r="AE1777" s="1" t="s">
        <v>6071</v>
      </c>
      <c r="AH1777" s="1" t="s">
        <v>73</v>
      </c>
      <c r="AK1777" s="1" t="s">
        <v>71</v>
      </c>
      <c r="AM1777" s="1" t="s">
        <v>71</v>
      </c>
      <c r="AN1777" s="1" t="s">
        <v>71</v>
      </c>
      <c r="AS1777" s="1" t="s">
        <v>71</v>
      </c>
      <c r="AX1777" s="1" t="s">
        <v>71</v>
      </c>
      <c r="AY1777" s="1" t="s">
        <v>59</v>
      </c>
      <c r="AZ1777" s="1" t="s">
        <v>74</v>
      </c>
      <c r="BH1777" s="1" t="s">
        <v>71</v>
      </c>
    </row>
    <row r="1778" customFormat="false" ht="15" hidden="false" customHeight="false" outlineLevel="0" collapsed="false">
      <c r="A1778" s="1" t="s">
        <v>6072</v>
      </c>
      <c r="B1778" s="1" t="s">
        <v>6073</v>
      </c>
      <c r="C1778" s="1" t="s">
        <v>288</v>
      </c>
      <c r="D1778" s="1" t="s">
        <v>289</v>
      </c>
      <c r="E1778" s="1" t="s">
        <v>61</v>
      </c>
      <c r="F1778" s="1" t="s">
        <v>101</v>
      </c>
      <c r="G1778" s="1" t="s">
        <v>134</v>
      </c>
      <c r="H1778" s="1" t="s">
        <v>4875</v>
      </c>
      <c r="K1778" s="1" t="s">
        <v>293</v>
      </c>
      <c r="L1778" s="1" t="s">
        <v>4876</v>
      </c>
      <c r="M1778" s="1" t="s">
        <v>1387</v>
      </c>
      <c r="N1778" s="1" t="s">
        <v>1177</v>
      </c>
      <c r="O1778" s="1" t="s">
        <v>1178</v>
      </c>
      <c r="P1778" s="1" t="s">
        <v>4732</v>
      </c>
      <c r="U1778" s="1" t="s">
        <v>6072</v>
      </c>
      <c r="Z1778" s="1" t="s">
        <v>71</v>
      </c>
      <c r="AE1778" s="1" t="s">
        <v>6071</v>
      </c>
      <c r="AH1778" s="1" t="s">
        <v>73</v>
      </c>
      <c r="AK1778" s="1" t="s">
        <v>71</v>
      </c>
      <c r="AM1778" s="1" t="s">
        <v>71</v>
      </c>
      <c r="AN1778" s="1" t="s">
        <v>71</v>
      </c>
      <c r="AS1778" s="1" t="s">
        <v>71</v>
      </c>
      <c r="AX1778" s="1" t="s">
        <v>71</v>
      </c>
      <c r="AY1778" s="1" t="s">
        <v>59</v>
      </c>
      <c r="AZ1778" s="1" t="s">
        <v>74</v>
      </c>
      <c r="BH1778" s="1" t="s">
        <v>71</v>
      </c>
    </row>
    <row r="1779" customFormat="false" ht="15" hidden="false" customHeight="false" outlineLevel="0" collapsed="false">
      <c r="A1779" s="1" t="s">
        <v>6074</v>
      </c>
      <c r="B1779" s="1" t="s">
        <v>6075</v>
      </c>
      <c r="C1779" s="1" t="s">
        <v>288</v>
      </c>
      <c r="D1779" s="1" t="s">
        <v>289</v>
      </c>
      <c r="E1779" s="1" t="s">
        <v>61</v>
      </c>
      <c r="F1779" s="1" t="s">
        <v>101</v>
      </c>
      <c r="G1779" s="1" t="s">
        <v>93</v>
      </c>
      <c r="H1779" s="1" t="s">
        <v>64</v>
      </c>
      <c r="K1779" s="1" t="s">
        <v>582</v>
      </c>
      <c r="L1779" s="1" t="s">
        <v>4731</v>
      </c>
      <c r="M1779" s="1" t="s">
        <v>310</v>
      </c>
      <c r="N1779" s="1" t="s">
        <v>1177</v>
      </c>
      <c r="O1779" s="1" t="s">
        <v>1178</v>
      </c>
      <c r="P1779" s="1" t="s">
        <v>4732</v>
      </c>
      <c r="U1779" s="1" t="s">
        <v>6074</v>
      </c>
      <c r="Z1779" s="1" t="s">
        <v>71</v>
      </c>
      <c r="AE1779" s="1" t="s">
        <v>6071</v>
      </c>
      <c r="AH1779" s="1" t="s">
        <v>73</v>
      </c>
      <c r="AK1779" s="1" t="s">
        <v>71</v>
      </c>
      <c r="AM1779" s="1" t="s">
        <v>71</v>
      </c>
      <c r="AN1779" s="1" t="s">
        <v>71</v>
      </c>
      <c r="AS1779" s="1" t="s">
        <v>71</v>
      </c>
      <c r="AX1779" s="1" t="s">
        <v>71</v>
      </c>
      <c r="AY1779" s="1" t="s">
        <v>59</v>
      </c>
      <c r="AZ1779" s="1" t="s">
        <v>74</v>
      </c>
      <c r="BH1779" s="1" t="s">
        <v>71</v>
      </c>
    </row>
    <row r="1780" customFormat="false" ht="15" hidden="false" customHeight="false" outlineLevel="0" collapsed="false">
      <c r="A1780" s="1" t="s">
        <v>6076</v>
      </c>
      <c r="B1780" s="1" t="s">
        <v>6077</v>
      </c>
      <c r="C1780" s="1" t="s">
        <v>6078</v>
      </c>
      <c r="D1780" s="1" t="s">
        <v>6079</v>
      </c>
      <c r="E1780" s="1" t="s">
        <v>82</v>
      </c>
      <c r="F1780" s="1" t="s">
        <v>391</v>
      </c>
      <c r="G1780" s="1" t="s">
        <v>213</v>
      </c>
      <c r="H1780" s="1" t="s">
        <v>477</v>
      </c>
      <c r="K1780" s="1" t="s">
        <v>478</v>
      </c>
      <c r="L1780" s="1" t="s">
        <v>479</v>
      </c>
      <c r="M1780" s="1" t="s">
        <v>496</v>
      </c>
      <c r="N1780" s="1" t="s">
        <v>6080</v>
      </c>
      <c r="O1780" s="1" t="s">
        <v>6081</v>
      </c>
      <c r="P1780" s="1" t="s">
        <v>6082</v>
      </c>
      <c r="Z1780" s="1" t="s">
        <v>71</v>
      </c>
      <c r="AE1780" s="1" t="s">
        <v>6083</v>
      </c>
      <c r="AH1780" s="1" t="s">
        <v>73</v>
      </c>
      <c r="AK1780" s="1" t="s">
        <v>71</v>
      </c>
      <c r="AM1780" s="1" t="s">
        <v>71</v>
      </c>
      <c r="AN1780" s="1" t="s">
        <v>71</v>
      </c>
      <c r="AS1780" s="1" t="s">
        <v>71</v>
      </c>
      <c r="AX1780" s="1" t="s">
        <v>71</v>
      </c>
      <c r="BH1780" s="1" t="s">
        <v>71</v>
      </c>
    </row>
    <row r="1781" customFormat="false" ht="15" hidden="false" customHeight="false" outlineLevel="0" collapsed="false">
      <c r="A1781" s="1" t="s">
        <v>6084</v>
      </c>
      <c r="B1781" s="1" t="s">
        <v>6085</v>
      </c>
      <c r="C1781" s="1" t="s">
        <v>1162</v>
      </c>
      <c r="D1781" s="1" t="s">
        <v>4207</v>
      </c>
      <c r="E1781" s="1" t="s">
        <v>82</v>
      </c>
      <c r="F1781" s="1" t="s">
        <v>391</v>
      </c>
      <c r="G1781" s="1" t="s">
        <v>443</v>
      </c>
      <c r="H1781" s="1" t="s">
        <v>444</v>
      </c>
      <c r="K1781" s="1" t="s">
        <v>61</v>
      </c>
      <c r="L1781" s="1" t="s">
        <v>445</v>
      </c>
      <c r="M1781" s="1" t="s">
        <v>496</v>
      </c>
      <c r="N1781" s="1" t="s">
        <v>6086</v>
      </c>
      <c r="O1781" s="1" t="s">
        <v>6087</v>
      </c>
      <c r="P1781" s="1" t="s">
        <v>6088</v>
      </c>
      <c r="Z1781" s="1" t="s">
        <v>71</v>
      </c>
      <c r="AE1781" s="1" t="s">
        <v>6083</v>
      </c>
      <c r="AH1781" s="1" t="s">
        <v>73</v>
      </c>
      <c r="AK1781" s="1" t="s">
        <v>71</v>
      </c>
      <c r="AM1781" s="1" t="s">
        <v>71</v>
      </c>
      <c r="AN1781" s="1" t="s">
        <v>71</v>
      </c>
      <c r="AS1781" s="1" t="s">
        <v>71</v>
      </c>
      <c r="AX1781" s="1" t="s">
        <v>71</v>
      </c>
      <c r="BH1781" s="1" t="s">
        <v>71</v>
      </c>
    </row>
    <row r="1782" customFormat="false" ht="15" hidden="false" customHeight="false" outlineLevel="0" collapsed="false">
      <c r="A1782" s="1" t="s">
        <v>6089</v>
      </c>
      <c r="B1782" s="1" t="s">
        <v>6090</v>
      </c>
      <c r="C1782" s="1" t="s">
        <v>1200</v>
      </c>
      <c r="D1782" s="1" t="s">
        <v>3535</v>
      </c>
      <c r="E1782" s="1" t="s">
        <v>65</v>
      </c>
      <c r="F1782" s="1" t="s">
        <v>119</v>
      </c>
      <c r="G1782" s="1" t="s">
        <v>65</v>
      </c>
      <c r="H1782" s="1" t="s">
        <v>64</v>
      </c>
      <c r="K1782" s="1" t="s">
        <v>182</v>
      </c>
      <c r="L1782" s="1" t="s">
        <v>183</v>
      </c>
      <c r="M1782" s="1" t="s">
        <v>104</v>
      </c>
      <c r="N1782" s="1" t="s">
        <v>123</v>
      </c>
      <c r="O1782" s="1" t="s">
        <v>124</v>
      </c>
      <c r="P1782" s="1" t="s">
        <v>4161</v>
      </c>
      <c r="U1782" s="1" t="s">
        <v>6089</v>
      </c>
      <c r="Z1782" s="1" t="s">
        <v>71</v>
      </c>
      <c r="AE1782" s="1" t="s">
        <v>6083</v>
      </c>
      <c r="AH1782" s="1" t="s">
        <v>73</v>
      </c>
      <c r="AK1782" s="1" t="s">
        <v>71</v>
      </c>
      <c r="AM1782" s="1" t="s">
        <v>71</v>
      </c>
      <c r="AN1782" s="1" t="s">
        <v>71</v>
      </c>
      <c r="AS1782" s="1" t="s">
        <v>71</v>
      </c>
      <c r="AX1782" s="1" t="s">
        <v>71</v>
      </c>
      <c r="AY1782" s="1" t="s">
        <v>59</v>
      </c>
      <c r="AZ1782" s="1" t="s">
        <v>74</v>
      </c>
      <c r="BH1782" s="1" t="s">
        <v>71</v>
      </c>
    </row>
    <row r="1783" customFormat="false" ht="15" hidden="false" customHeight="false" outlineLevel="0" collapsed="false">
      <c r="A1783" s="1" t="s">
        <v>6091</v>
      </c>
      <c r="B1783" s="1" t="s">
        <v>6092</v>
      </c>
      <c r="C1783" s="1" t="s">
        <v>1412</v>
      </c>
      <c r="D1783" s="1" t="s">
        <v>1413</v>
      </c>
      <c r="E1783" s="1" t="s">
        <v>61</v>
      </c>
      <c r="F1783" s="1" t="s">
        <v>101</v>
      </c>
      <c r="G1783" s="1" t="s">
        <v>177</v>
      </c>
      <c r="H1783" s="1" t="s">
        <v>255</v>
      </c>
      <c r="K1783" s="1" t="s">
        <v>134</v>
      </c>
      <c r="L1783" s="1" t="s">
        <v>268</v>
      </c>
      <c r="M1783" s="1" t="s">
        <v>278</v>
      </c>
      <c r="N1783" s="1" t="s">
        <v>259</v>
      </c>
      <c r="O1783" s="1" t="s">
        <v>260</v>
      </c>
      <c r="P1783" s="1" t="s">
        <v>3768</v>
      </c>
      <c r="U1783" s="1" t="s">
        <v>6091</v>
      </c>
      <c r="Z1783" s="1" t="s">
        <v>71</v>
      </c>
      <c r="AE1783" s="1" t="s">
        <v>6093</v>
      </c>
      <c r="AH1783" s="1" t="s">
        <v>73</v>
      </c>
      <c r="AK1783" s="1" t="s">
        <v>71</v>
      </c>
      <c r="AM1783" s="1" t="s">
        <v>71</v>
      </c>
      <c r="AN1783" s="1" t="s">
        <v>71</v>
      </c>
      <c r="AS1783" s="1" t="s">
        <v>71</v>
      </c>
      <c r="AX1783" s="1" t="s">
        <v>71</v>
      </c>
      <c r="AY1783" s="1" t="s">
        <v>59</v>
      </c>
      <c r="AZ1783" s="1" t="s">
        <v>74</v>
      </c>
      <c r="BH1783" s="1" t="s">
        <v>71</v>
      </c>
    </row>
    <row r="1784" customFormat="false" ht="15" hidden="false" customHeight="false" outlineLevel="0" collapsed="false">
      <c r="A1784" s="1" t="s">
        <v>6094</v>
      </c>
      <c r="B1784" s="1" t="s">
        <v>6095</v>
      </c>
      <c r="C1784" s="1" t="s">
        <v>1412</v>
      </c>
      <c r="D1784" s="1" t="s">
        <v>1413</v>
      </c>
      <c r="E1784" s="1" t="s">
        <v>61</v>
      </c>
      <c r="F1784" s="1" t="s">
        <v>101</v>
      </c>
      <c r="G1784" s="1" t="s">
        <v>148</v>
      </c>
      <c r="H1784" s="1" t="s">
        <v>231</v>
      </c>
      <c r="K1784" s="1" t="s">
        <v>144</v>
      </c>
      <c r="L1784" s="1" t="s">
        <v>1654</v>
      </c>
      <c r="M1784" s="1" t="s">
        <v>374</v>
      </c>
      <c r="N1784" s="1" t="s">
        <v>243</v>
      </c>
      <c r="O1784" s="1" t="s">
        <v>244</v>
      </c>
      <c r="P1784" s="1" t="s">
        <v>3503</v>
      </c>
      <c r="U1784" s="1" t="s">
        <v>6094</v>
      </c>
      <c r="Z1784" s="1" t="s">
        <v>71</v>
      </c>
      <c r="AE1784" s="1" t="s">
        <v>6093</v>
      </c>
      <c r="AH1784" s="1" t="s">
        <v>73</v>
      </c>
      <c r="AK1784" s="1" t="s">
        <v>71</v>
      </c>
      <c r="AM1784" s="1" t="s">
        <v>71</v>
      </c>
      <c r="AN1784" s="1" t="s">
        <v>71</v>
      </c>
      <c r="AS1784" s="1" t="s">
        <v>71</v>
      </c>
      <c r="AX1784" s="1" t="s">
        <v>71</v>
      </c>
      <c r="AY1784" s="1" t="s">
        <v>59</v>
      </c>
      <c r="AZ1784" s="1" t="s">
        <v>74</v>
      </c>
      <c r="BH1784" s="1" t="s">
        <v>71</v>
      </c>
    </row>
    <row r="1785" customFormat="false" ht="15" hidden="false" customHeight="false" outlineLevel="0" collapsed="false">
      <c r="A1785" s="1" t="s">
        <v>6096</v>
      </c>
      <c r="B1785" s="1" t="s">
        <v>6097</v>
      </c>
      <c r="C1785" s="1" t="s">
        <v>182</v>
      </c>
      <c r="D1785" s="1" t="s">
        <v>239</v>
      </c>
      <c r="E1785" s="1" t="s">
        <v>61</v>
      </c>
      <c r="F1785" s="1" t="s">
        <v>101</v>
      </c>
      <c r="G1785" s="1" t="s">
        <v>148</v>
      </c>
      <c r="H1785" s="1" t="s">
        <v>231</v>
      </c>
      <c r="K1785" s="1" t="s">
        <v>308</v>
      </c>
      <c r="L1785" s="1" t="s">
        <v>309</v>
      </c>
      <c r="M1785" s="1" t="s">
        <v>6098</v>
      </c>
      <c r="N1785" s="1" t="s">
        <v>243</v>
      </c>
      <c r="O1785" s="1" t="s">
        <v>244</v>
      </c>
      <c r="P1785" s="1" t="s">
        <v>3503</v>
      </c>
      <c r="U1785" s="1" t="s">
        <v>245</v>
      </c>
      <c r="Z1785" s="1" t="s">
        <v>71</v>
      </c>
      <c r="AE1785" s="1" t="s">
        <v>6099</v>
      </c>
      <c r="AH1785" s="1" t="s">
        <v>73</v>
      </c>
      <c r="AK1785" s="1" t="s">
        <v>71</v>
      </c>
      <c r="AM1785" s="1" t="s">
        <v>71</v>
      </c>
      <c r="AN1785" s="1" t="s">
        <v>71</v>
      </c>
      <c r="AS1785" s="1" t="s">
        <v>71</v>
      </c>
      <c r="AX1785" s="1" t="s">
        <v>71</v>
      </c>
      <c r="AY1785" s="1" t="s">
        <v>59</v>
      </c>
      <c r="AZ1785" s="1" t="s">
        <v>74</v>
      </c>
      <c r="BH1785" s="1" t="s">
        <v>71</v>
      </c>
    </row>
    <row r="1786" customFormat="false" ht="15" hidden="false" customHeight="false" outlineLevel="0" collapsed="false">
      <c r="A1786" s="1" t="s">
        <v>6100</v>
      </c>
      <c r="B1786" s="1" t="s">
        <v>6101</v>
      </c>
      <c r="C1786" s="1" t="s">
        <v>182</v>
      </c>
      <c r="D1786" s="1" t="s">
        <v>239</v>
      </c>
      <c r="E1786" s="1" t="s">
        <v>61</v>
      </c>
      <c r="F1786" s="1" t="s">
        <v>101</v>
      </c>
      <c r="G1786" s="1" t="s">
        <v>148</v>
      </c>
      <c r="H1786" s="1" t="s">
        <v>231</v>
      </c>
      <c r="K1786" s="1" t="s">
        <v>1335</v>
      </c>
      <c r="L1786" s="1" t="s">
        <v>1336</v>
      </c>
      <c r="M1786" s="1" t="s">
        <v>6102</v>
      </c>
      <c r="N1786" s="1" t="s">
        <v>243</v>
      </c>
      <c r="O1786" s="1" t="s">
        <v>244</v>
      </c>
      <c r="P1786" s="1" t="s">
        <v>3503</v>
      </c>
      <c r="U1786" s="1" t="s">
        <v>245</v>
      </c>
      <c r="Z1786" s="1" t="s">
        <v>71</v>
      </c>
      <c r="AE1786" s="1" t="s">
        <v>6099</v>
      </c>
      <c r="AH1786" s="1" t="s">
        <v>73</v>
      </c>
      <c r="AK1786" s="1" t="s">
        <v>71</v>
      </c>
      <c r="AM1786" s="1" t="s">
        <v>71</v>
      </c>
      <c r="AN1786" s="1" t="s">
        <v>71</v>
      </c>
      <c r="AS1786" s="1" t="s">
        <v>71</v>
      </c>
      <c r="AX1786" s="1" t="s">
        <v>71</v>
      </c>
      <c r="AY1786" s="1" t="s">
        <v>59</v>
      </c>
      <c r="AZ1786" s="1" t="s">
        <v>74</v>
      </c>
      <c r="BH1786" s="1" t="s">
        <v>71</v>
      </c>
    </row>
    <row r="1787" customFormat="false" ht="15" hidden="false" customHeight="false" outlineLevel="0" collapsed="false">
      <c r="A1787" s="1" t="s">
        <v>6103</v>
      </c>
      <c r="B1787" s="1" t="s">
        <v>6104</v>
      </c>
      <c r="C1787" s="1" t="s">
        <v>220</v>
      </c>
      <c r="D1787" s="1" t="s">
        <v>540</v>
      </c>
      <c r="E1787" s="1" t="s">
        <v>82</v>
      </c>
      <c r="F1787" s="1" t="s">
        <v>391</v>
      </c>
      <c r="G1787" s="1" t="s">
        <v>213</v>
      </c>
      <c r="H1787" s="1" t="s">
        <v>477</v>
      </c>
      <c r="K1787" s="1" t="s">
        <v>1904</v>
      </c>
      <c r="L1787" s="1" t="s">
        <v>1905</v>
      </c>
      <c r="M1787" s="1" t="s">
        <v>496</v>
      </c>
      <c r="N1787" s="1" t="s">
        <v>518</v>
      </c>
      <c r="O1787" s="1" t="s">
        <v>519</v>
      </c>
      <c r="P1787" s="1" t="s">
        <v>4181</v>
      </c>
      <c r="Z1787" s="1" t="s">
        <v>71</v>
      </c>
      <c r="AE1787" s="1" t="s">
        <v>6105</v>
      </c>
      <c r="AH1787" s="1" t="s">
        <v>73</v>
      </c>
      <c r="AK1787" s="1" t="s">
        <v>71</v>
      </c>
      <c r="AM1787" s="1" t="s">
        <v>71</v>
      </c>
      <c r="AN1787" s="1" t="s">
        <v>71</v>
      </c>
      <c r="AS1787" s="1" t="s">
        <v>71</v>
      </c>
      <c r="AX1787" s="1" t="s">
        <v>71</v>
      </c>
      <c r="BH1787" s="1" t="s">
        <v>71</v>
      </c>
    </row>
    <row r="1788" customFormat="false" ht="15" hidden="false" customHeight="false" outlineLevel="0" collapsed="false">
      <c r="A1788" s="1" t="s">
        <v>6106</v>
      </c>
      <c r="B1788" s="1" t="s">
        <v>6107</v>
      </c>
      <c r="C1788" s="1" t="s">
        <v>161</v>
      </c>
      <c r="D1788" s="1" t="s">
        <v>162</v>
      </c>
      <c r="E1788" s="1" t="s">
        <v>61</v>
      </c>
      <c r="F1788" s="1" t="s">
        <v>101</v>
      </c>
      <c r="G1788" s="1" t="s">
        <v>130</v>
      </c>
      <c r="H1788" s="1" t="s">
        <v>5179</v>
      </c>
      <c r="K1788" s="1" t="s">
        <v>5180</v>
      </c>
      <c r="L1788" s="1" t="s">
        <v>5181</v>
      </c>
      <c r="M1788" s="1" t="s">
        <v>122</v>
      </c>
      <c r="N1788" s="1" t="s">
        <v>105</v>
      </c>
      <c r="O1788" s="1" t="s">
        <v>106</v>
      </c>
      <c r="P1788" s="1" t="s">
        <v>3539</v>
      </c>
      <c r="U1788" s="1" t="s">
        <v>6106</v>
      </c>
      <c r="Z1788" s="1" t="s">
        <v>71</v>
      </c>
      <c r="AE1788" s="1" t="s">
        <v>6105</v>
      </c>
      <c r="AH1788" s="1" t="s">
        <v>73</v>
      </c>
      <c r="AK1788" s="1" t="s">
        <v>71</v>
      </c>
      <c r="AM1788" s="1" t="s">
        <v>71</v>
      </c>
      <c r="AN1788" s="1" t="s">
        <v>71</v>
      </c>
      <c r="AS1788" s="1" t="s">
        <v>71</v>
      </c>
      <c r="AX1788" s="1" t="s">
        <v>71</v>
      </c>
      <c r="AY1788" s="1" t="s">
        <v>59</v>
      </c>
      <c r="AZ1788" s="1" t="s">
        <v>74</v>
      </c>
      <c r="BH1788" s="1" t="s">
        <v>71</v>
      </c>
    </row>
    <row r="1789" customFormat="false" ht="15" hidden="false" customHeight="false" outlineLevel="0" collapsed="false">
      <c r="A1789" s="1" t="s">
        <v>6108</v>
      </c>
      <c r="B1789" s="1" t="s">
        <v>6109</v>
      </c>
      <c r="C1789" s="1" t="s">
        <v>6110</v>
      </c>
      <c r="D1789" s="1" t="s">
        <v>6111</v>
      </c>
      <c r="E1789" s="1" t="s">
        <v>82</v>
      </c>
      <c r="F1789" s="1" t="s">
        <v>391</v>
      </c>
      <c r="G1789" s="1" t="s">
        <v>97</v>
      </c>
      <c r="H1789" s="1" t="s">
        <v>406</v>
      </c>
      <c r="K1789" s="1" t="s">
        <v>407</v>
      </c>
      <c r="L1789" s="1" t="s">
        <v>408</v>
      </c>
      <c r="M1789" s="1" t="s">
        <v>496</v>
      </c>
      <c r="N1789" s="1" t="s">
        <v>551</v>
      </c>
      <c r="O1789" s="1" t="s">
        <v>447</v>
      </c>
      <c r="P1789" s="1" t="s">
        <v>3598</v>
      </c>
      <c r="U1789" s="1" t="s">
        <v>6112</v>
      </c>
      <c r="Z1789" s="1" t="s">
        <v>71</v>
      </c>
      <c r="AE1789" s="1" t="s">
        <v>6113</v>
      </c>
      <c r="AH1789" s="1" t="s">
        <v>73</v>
      </c>
      <c r="AK1789" s="1" t="s">
        <v>71</v>
      </c>
      <c r="AM1789" s="1" t="s">
        <v>71</v>
      </c>
      <c r="AN1789" s="1" t="s">
        <v>71</v>
      </c>
      <c r="AS1789" s="1" t="s">
        <v>71</v>
      </c>
      <c r="AX1789" s="1" t="s">
        <v>71</v>
      </c>
      <c r="BH1789" s="1" t="s">
        <v>71</v>
      </c>
    </row>
    <row r="1790" customFormat="false" ht="15" hidden="false" customHeight="false" outlineLevel="0" collapsed="false">
      <c r="A1790" s="1" t="s">
        <v>6114</v>
      </c>
      <c r="B1790" s="1" t="s">
        <v>6115</v>
      </c>
      <c r="C1790" s="1" t="s">
        <v>163</v>
      </c>
      <c r="D1790" s="1" t="s">
        <v>267</v>
      </c>
      <c r="E1790" s="1" t="s">
        <v>61</v>
      </c>
      <c r="F1790" s="1" t="s">
        <v>101</v>
      </c>
      <c r="G1790" s="1" t="s">
        <v>126</v>
      </c>
      <c r="H1790" s="1" t="s">
        <v>6116</v>
      </c>
      <c r="K1790" s="1" t="s">
        <v>65</v>
      </c>
      <c r="L1790" s="1" t="s">
        <v>268</v>
      </c>
      <c r="M1790" s="1" t="s">
        <v>242</v>
      </c>
      <c r="N1790" s="1" t="s">
        <v>259</v>
      </c>
      <c r="O1790" s="1" t="s">
        <v>260</v>
      </c>
      <c r="P1790" s="1" t="s">
        <v>3768</v>
      </c>
      <c r="U1790" s="1" t="s">
        <v>6114</v>
      </c>
      <c r="Z1790" s="1" t="s">
        <v>71</v>
      </c>
      <c r="AE1790" s="1" t="s">
        <v>6117</v>
      </c>
      <c r="AH1790" s="1" t="s">
        <v>73</v>
      </c>
      <c r="AK1790" s="1" t="s">
        <v>71</v>
      </c>
      <c r="AM1790" s="1" t="s">
        <v>71</v>
      </c>
      <c r="AN1790" s="1" t="s">
        <v>71</v>
      </c>
      <c r="AS1790" s="1" t="s">
        <v>71</v>
      </c>
      <c r="AX1790" s="1" t="s">
        <v>71</v>
      </c>
      <c r="AY1790" s="1" t="s">
        <v>59</v>
      </c>
      <c r="AZ1790" s="1" t="s">
        <v>74</v>
      </c>
      <c r="BH1790" s="1" t="s">
        <v>71</v>
      </c>
    </row>
    <row r="1791" customFormat="false" ht="15" hidden="false" customHeight="false" outlineLevel="0" collapsed="false">
      <c r="A1791" s="1" t="s">
        <v>6118</v>
      </c>
      <c r="B1791" s="1" t="s">
        <v>6119</v>
      </c>
      <c r="C1791" s="1" t="s">
        <v>163</v>
      </c>
      <c r="D1791" s="1" t="s">
        <v>267</v>
      </c>
      <c r="E1791" s="1" t="s">
        <v>61</v>
      </c>
      <c r="F1791" s="1" t="s">
        <v>101</v>
      </c>
      <c r="G1791" s="1" t="s">
        <v>126</v>
      </c>
      <c r="H1791" s="1" t="s">
        <v>6116</v>
      </c>
      <c r="K1791" s="1" t="s">
        <v>59</v>
      </c>
      <c r="L1791" s="1" t="s">
        <v>299</v>
      </c>
      <c r="M1791" s="1" t="s">
        <v>242</v>
      </c>
      <c r="N1791" s="1" t="s">
        <v>259</v>
      </c>
      <c r="O1791" s="1" t="s">
        <v>260</v>
      </c>
      <c r="P1791" s="1" t="s">
        <v>3768</v>
      </c>
      <c r="U1791" s="1" t="s">
        <v>6118</v>
      </c>
      <c r="Z1791" s="1" t="s">
        <v>71</v>
      </c>
      <c r="AE1791" s="1" t="s">
        <v>6117</v>
      </c>
      <c r="AH1791" s="1" t="s">
        <v>73</v>
      </c>
      <c r="AK1791" s="1" t="s">
        <v>71</v>
      </c>
      <c r="AM1791" s="1" t="s">
        <v>71</v>
      </c>
      <c r="AN1791" s="1" t="s">
        <v>71</v>
      </c>
      <c r="AS1791" s="1" t="s">
        <v>71</v>
      </c>
      <c r="AX1791" s="1" t="s">
        <v>71</v>
      </c>
      <c r="AY1791" s="1" t="s">
        <v>59</v>
      </c>
      <c r="AZ1791" s="1" t="s">
        <v>74</v>
      </c>
      <c r="BH1791" s="1" t="s">
        <v>71</v>
      </c>
    </row>
    <row r="1792" customFormat="false" ht="15" hidden="false" customHeight="false" outlineLevel="0" collapsed="false">
      <c r="A1792" s="1" t="s">
        <v>6120</v>
      </c>
      <c r="B1792" s="1" t="s">
        <v>6121</v>
      </c>
      <c r="C1792" s="1" t="s">
        <v>163</v>
      </c>
      <c r="D1792" s="1" t="s">
        <v>267</v>
      </c>
      <c r="E1792" s="1" t="s">
        <v>61</v>
      </c>
      <c r="F1792" s="1" t="s">
        <v>101</v>
      </c>
      <c r="G1792" s="1" t="s">
        <v>126</v>
      </c>
      <c r="H1792" s="1" t="s">
        <v>6116</v>
      </c>
      <c r="K1792" s="1" t="s">
        <v>59</v>
      </c>
      <c r="L1792" s="1" t="s">
        <v>299</v>
      </c>
      <c r="M1792" s="1" t="s">
        <v>242</v>
      </c>
      <c r="N1792" s="1" t="s">
        <v>259</v>
      </c>
      <c r="O1792" s="1" t="s">
        <v>260</v>
      </c>
      <c r="P1792" s="1" t="s">
        <v>3768</v>
      </c>
      <c r="U1792" s="1" t="s">
        <v>6120</v>
      </c>
      <c r="Z1792" s="1" t="s">
        <v>71</v>
      </c>
      <c r="AE1792" s="1" t="s">
        <v>6117</v>
      </c>
      <c r="AH1792" s="1" t="s">
        <v>73</v>
      </c>
      <c r="AK1792" s="1" t="s">
        <v>71</v>
      </c>
      <c r="AM1792" s="1" t="s">
        <v>71</v>
      </c>
      <c r="AN1792" s="1" t="s">
        <v>71</v>
      </c>
      <c r="AS1792" s="1" t="s">
        <v>71</v>
      </c>
      <c r="AX1792" s="1" t="s">
        <v>71</v>
      </c>
      <c r="AY1792" s="1" t="s">
        <v>59</v>
      </c>
      <c r="AZ1792" s="1" t="s">
        <v>74</v>
      </c>
      <c r="BH1792" s="1" t="s">
        <v>71</v>
      </c>
    </row>
    <row r="1793" customFormat="false" ht="15" hidden="false" customHeight="false" outlineLevel="0" collapsed="false">
      <c r="A1793" s="1" t="s">
        <v>6122</v>
      </c>
      <c r="B1793" s="1" t="s">
        <v>6123</v>
      </c>
      <c r="C1793" s="1" t="s">
        <v>182</v>
      </c>
      <c r="D1793" s="1" t="s">
        <v>239</v>
      </c>
      <c r="E1793" s="1" t="s">
        <v>65</v>
      </c>
      <c r="F1793" s="1" t="s">
        <v>119</v>
      </c>
      <c r="G1793" s="1" t="s">
        <v>88</v>
      </c>
      <c r="H1793" s="1" t="s">
        <v>255</v>
      </c>
      <c r="K1793" s="1" t="s">
        <v>1596</v>
      </c>
      <c r="L1793" s="1" t="s">
        <v>1597</v>
      </c>
      <c r="M1793" s="1" t="s">
        <v>5214</v>
      </c>
      <c r="N1793" s="1" t="s">
        <v>6002</v>
      </c>
      <c r="O1793" s="1" t="s">
        <v>6003</v>
      </c>
      <c r="P1793" s="1" t="s">
        <v>6004</v>
      </c>
      <c r="U1793" s="1" t="s">
        <v>245</v>
      </c>
      <c r="Z1793" s="1" t="s">
        <v>71</v>
      </c>
      <c r="AE1793" s="1" t="s">
        <v>6124</v>
      </c>
      <c r="AH1793" s="1" t="s">
        <v>73</v>
      </c>
      <c r="AK1793" s="1" t="s">
        <v>71</v>
      </c>
      <c r="AM1793" s="1" t="s">
        <v>71</v>
      </c>
      <c r="AN1793" s="1" t="s">
        <v>71</v>
      </c>
      <c r="AS1793" s="1" t="s">
        <v>71</v>
      </c>
      <c r="AX1793" s="1" t="s">
        <v>71</v>
      </c>
      <c r="AY1793" s="1" t="s">
        <v>59</v>
      </c>
      <c r="AZ1793" s="1" t="s">
        <v>74</v>
      </c>
      <c r="BH1793" s="1" t="s">
        <v>71</v>
      </c>
    </row>
    <row r="1794" customFormat="false" ht="15" hidden="false" customHeight="false" outlineLevel="0" collapsed="false">
      <c r="A1794" s="1" t="s">
        <v>6125</v>
      </c>
      <c r="B1794" s="1" t="s">
        <v>6126</v>
      </c>
      <c r="C1794" s="1" t="s">
        <v>1038</v>
      </c>
      <c r="D1794" s="1" t="s">
        <v>3170</v>
      </c>
      <c r="E1794" s="1" t="s">
        <v>82</v>
      </c>
      <c r="F1794" s="1" t="s">
        <v>391</v>
      </c>
      <c r="G1794" s="1" t="s">
        <v>97</v>
      </c>
      <c r="H1794" s="1" t="s">
        <v>406</v>
      </c>
      <c r="K1794" s="1" t="s">
        <v>65</v>
      </c>
      <c r="L1794" s="1" t="s">
        <v>860</v>
      </c>
      <c r="M1794" s="1" t="s">
        <v>496</v>
      </c>
      <c r="N1794" s="1" t="s">
        <v>3861</v>
      </c>
      <c r="O1794" s="1" t="s">
        <v>400</v>
      </c>
      <c r="P1794" s="1" t="s">
        <v>3862</v>
      </c>
      <c r="Z1794" s="1" t="s">
        <v>71</v>
      </c>
      <c r="AE1794" s="1" t="s">
        <v>6127</v>
      </c>
      <c r="AH1794" s="1" t="s">
        <v>73</v>
      </c>
      <c r="AK1794" s="1" t="s">
        <v>71</v>
      </c>
      <c r="AM1794" s="1" t="s">
        <v>71</v>
      </c>
      <c r="AN1794" s="1" t="s">
        <v>71</v>
      </c>
      <c r="AS1794" s="1" t="s">
        <v>71</v>
      </c>
      <c r="AX1794" s="1" t="s">
        <v>71</v>
      </c>
      <c r="BH1794" s="1" t="s">
        <v>71</v>
      </c>
    </row>
    <row r="1795" customFormat="false" ht="15" hidden="false" customHeight="false" outlineLevel="0" collapsed="false">
      <c r="A1795" s="1" t="s">
        <v>6128</v>
      </c>
      <c r="B1795" s="1" t="s">
        <v>6129</v>
      </c>
      <c r="C1795" s="1" t="s">
        <v>1412</v>
      </c>
      <c r="D1795" s="1" t="s">
        <v>1413</v>
      </c>
      <c r="E1795" s="1" t="s">
        <v>65</v>
      </c>
      <c r="F1795" s="1" t="s">
        <v>119</v>
      </c>
      <c r="G1795" s="1" t="s">
        <v>61</v>
      </c>
      <c r="H1795" s="1" t="s">
        <v>231</v>
      </c>
      <c r="K1795" s="1" t="s">
        <v>142</v>
      </c>
      <c r="L1795" s="1" t="s">
        <v>5774</v>
      </c>
      <c r="M1795" s="1" t="s">
        <v>242</v>
      </c>
      <c r="N1795" s="1" t="s">
        <v>375</v>
      </c>
      <c r="O1795" s="1" t="s">
        <v>376</v>
      </c>
      <c r="P1795" s="1" t="s">
        <v>5536</v>
      </c>
      <c r="U1795" s="1" t="s">
        <v>6128</v>
      </c>
      <c r="Z1795" s="1" t="s">
        <v>71</v>
      </c>
      <c r="AE1795" s="1" t="s">
        <v>6130</v>
      </c>
      <c r="AH1795" s="1" t="s">
        <v>73</v>
      </c>
      <c r="AK1795" s="1" t="s">
        <v>71</v>
      </c>
      <c r="AM1795" s="1" t="s">
        <v>71</v>
      </c>
      <c r="AN1795" s="1" t="s">
        <v>71</v>
      </c>
      <c r="AS1795" s="1" t="s">
        <v>71</v>
      </c>
      <c r="AX1795" s="1" t="s">
        <v>71</v>
      </c>
      <c r="AY1795" s="1" t="s">
        <v>59</v>
      </c>
      <c r="AZ1795" s="1" t="s">
        <v>74</v>
      </c>
      <c r="BH1795" s="1" t="s">
        <v>71</v>
      </c>
    </row>
    <row r="1796" customFormat="false" ht="15" hidden="false" customHeight="false" outlineLevel="0" collapsed="false">
      <c r="A1796" s="1" t="s">
        <v>6131</v>
      </c>
      <c r="B1796" s="1" t="s">
        <v>6132</v>
      </c>
      <c r="C1796" s="1" t="s">
        <v>1412</v>
      </c>
      <c r="D1796" s="1" t="s">
        <v>1413</v>
      </c>
      <c r="E1796" s="1" t="s">
        <v>65</v>
      </c>
      <c r="F1796" s="1" t="s">
        <v>119</v>
      </c>
      <c r="G1796" s="1" t="s">
        <v>88</v>
      </c>
      <c r="H1796" s="1" t="s">
        <v>255</v>
      </c>
      <c r="K1796" s="1" t="s">
        <v>430</v>
      </c>
      <c r="L1796" s="1" t="s">
        <v>827</v>
      </c>
      <c r="M1796" s="1" t="s">
        <v>278</v>
      </c>
      <c r="N1796" s="1" t="s">
        <v>259</v>
      </c>
      <c r="O1796" s="1" t="s">
        <v>260</v>
      </c>
      <c r="P1796" s="1" t="s">
        <v>3768</v>
      </c>
      <c r="U1796" s="1" t="s">
        <v>6131</v>
      </c>
      <c r="Z1796" s="1" t="s">
        <v>71</v>
      </c>
      <c r="AE1796" s="1" t="s">
        <v>6130</v>
      </c>
      <c r="AH1796" s="1" t="s">
        <v>73</v>
      </c>
      <c r="AK1796" s="1" t="s">
        <v>71</v>
      </c>
      <c r="AM1796" s="1" t="s">
        <v>71</v>
      </c>
      <c r="AN1796" s="1" t="s">
        <v>71</v>
      </c>
      <c r="AS1796" s="1" t="s">
        <v>71</v>
      </c>
      <c r="AX1796" s="1" t="s">
        <v>71</v>
      </c>
      <c r="AY1796" s="1" t="s">
        <v>59</v>
      </c>
      <c r="AZ1796" s="1" t="s">
        <v>74</v>
      </c>
      <c r="BH1796" s="1" t="s">
        <v>71</v>
      </c>
    </row>
    <row r="1797" customFormat="false" ht="15" hidden="false" customHeight="false" outlineLevel="0" collapsed="false">
      <c r="A1797" s="1" t="s">
        <v>6133</v>
      </c>
      <c r="B1797" s="1" t="s">
        <v>6134</v>
      </c>
      <c r="C1797" s="1" t="s">
        <v>1412</v>
      </c>
      <c r="D1797" s="1" t="s">
        <v>1413</v>
      </c>
      <c r="E1797" s="1" t="s">
        <v>65</v>
      </c>
      <c r="F1797" s="1" t="s">
        <v>119</v>
      </c>
      <c r="G1797" s="1" t="s">
        <v>88</v>
      </c>
      <c r="H1797" s="1" t="s">
        <v>255</v>
      </c>
      <c r="K1797" s="1" t="s">
        <v>430</v>
      </c>
      <c r="L1797" s="1" t="s">
        <v>827</v>
      </c>
      <c r="M1797" s="1" t="s">
        <v>242</v>
      </c>
      <c r="N1797" s="1" t="s">
        <v>259</v>
      </c>
      <c r="O1797" s="1" t="s">
        <v>260</v>
      </c>
      <c r="P1797" s="1" t="s">
        <v>3768</v>
      </c>
      <c r="U1797" s="1" t="s">
        <v>6133</v>
      </c>
      <c r="Z1797" s="1" t="s">
        <v>71</v>
      </c>
      <c r="AE1797" s="1" t="s">
        <v>6130</v>
      </c>
      <c r="AH1797" s="1" t="s">
        <v>73</v>
      </c>
      <c r="AK1797" s="1" t="s">
        <v>71</v>
      </c>
      <c r="AM1797" s="1" t="s">
        <v>71</v>
      </c>
      <c r="AN1797" s="1" t="s">
        <v>71</v>
      </c>
      <c r="AS1797" s="1" t="s">
        <v>71</v>
      </c>
      <c r="AX1797" s="1" t="s">
        <v>71</v>
      </c>
      <c r="AY1797" s="1" t="s">
        <v>59</v>
      </c>
      <c r="AZ1797" s="1" t="s">
        <v>74</v>
      </c>
      <c r="BH1797" s="1" t="s">
        <v>71</v>
      </c>
    </row>
    <row r="1798" customFormat="false" ht="15" hidden="false" customHeight="false" outlineLevel="0" collapsed="false">
      <c r="A1798" s="1" t="s">
        <v>6135</v>
      </c>
      <c r="B1798" s="1" t="s">
        <v>6136</v>
      </c>
      <c r="C1798" s="1" t="s">
        <v>1412</v>
      </c>
      <c r="D1798" s="1" t="s">
        <v>1413</v>
      </c>
      <c r="E1798" s="1" t="s">
        <v>65</v>
      </c>
      <c r="F1798" s="1" t="s">
        <v>119</v>
      </c>
      <c r="G1798" s="1" t="s">
        <v>61</v>
      </c>
      <c r="H1798" s="1" t="s">
        <v>231</v>
      </c>
      <c r="K1798" s="1" t="s">
        <v>1385</v>
      </c>
      <c r="L1798" s="1" t="s">
        <v>1386</v>
      </c>
      <c r="M1798" s="1" t="s">
        <v>5483</v>
      </c>
      <c r="N1798" s="1" t="s">
        <v>1388</v>
      </c>
      <c r="O1798" s="1" t="s">
        <v>1389</v>
      </c>
      <c r="P1798" s="1" t="s">
        <v>5676</v>
      </c>
      <c r="U1798" s="1" t="s">
        <v>6135</v>
      </c>
      <c r="Z1798" s="1" t="s">
        <v>71</v>
      </c>
      <c r="AE1798" s="1" t="s">
        <v>6130</v>
      </c>
      <c r="AH1798" s="1" t="s">
        <v>73</v>
      </c>
      <c r="AK1798" s="1" t="s">
        <v>71</v>
      </c>
      <c r="AM1798" s="1" t="s">
        <v>71</v>
      </c>
      <c r="AN1798" s="1" t="s">
        <v>71</v>
      </c>
      <c r="AS1798" s="1" t="s">
        <v>71</v>
      </c>
      <c r="AX1798" s="1" t="s">
        <v>71</v>
      </c>
      <c r="AY1798" s="1" t="s">
        <v>59</v>
      </c>
      <c r="AZ1798" s="1" t="s">
        <v>74</v>
      </c>
      <c r="BH1798" s="1" t="s">
        <v>71</v>
      </c>
    </row>
    <row r="1799" customFormat="false" ht="15" hidden="false" customHeight="false" outlineLevel="0" collapsed="false">
      <c r="A1799" s="1" t="s">
        <v>6137</v>
      </c>
      <c r="B1799" s="1" t="s">
        <v>6138</v>
      </c>
      <c r="C1799" s="1" t="s">
        <v>1412</v>
      </c>
      <c r="D1799" s="1" t="s">
        <v>1413</v>
      </c>
      <c r="E1799" s="1" t="s">
        <v>65</v>
      </c>
      <c r="F1799" s="1" t="s">
        <v>119</v>
      </c>
      <c r="G1799" s="1" t="s">
        <v>61</v>
      </c>
      <c r="H1799" s="1" t="s">
        <v>231</v>
      </c>
      <c r="K1799" s="1" t="s">
        <v>1385</v>
      </c>
      <c r="L1799" s="1" t="s">
        <v>1386</v>
      </c>
      <c r="M1799" s="1" t="s">
        <v>1607</v>
      </c>
      <c r="N1799" s="1" t="s">
        <v>1388</v>
      </c>
      <c r="O1799" s="1" t="s">
        <v>1389</v>
      </c>
      <c r="P1799" s="1" t="s">
        <v>5676</v>
      </c>
      <c r="U1799" s="1" t="s">
        <v>6137</v>
      </c>
      <c r="Z1799" s="1" t="s">
        <v>71</v>
      </c>
      <c r="AE1799" s="1" t="s">
        <v>6130</v>
      </c>
      <c r="AH1799" s="1" t="s">
        <v>73</v>
      </c>
      <c r="AK1799" s="1" t="s">
        <v>71</v>
      </c>
      <c r="AM1799" s="1" t="s">
        <v>71</v>
      </c>
      <c r="AN1799" s="1" t="s">
        <v>71</v>
      </c>
      <c r="AS1799" s="1" t="s">
        <v>71</v>
      </c>
      <c r="AX1799" s="1" t="s">
        <v>71</v>
      </c>
      <c r="AY1799" s="1" t="s">
        <v>59</v>
      </c>
      <c r="AZ1799" s="1" t="s">
        <v>74</v>
      </c>
      <c r="BH1799" s="1" t="s">
        <v>71</v>
      </c>
    </row>
    <row r="1800" customFormat="false" ht="15" hidden="false" customHeight="false" outlineLevel="0" collapsed="false">
      <c r="A1800" s="1" t="s">
        <v>6139</v>
      </c>
      <c r="B1800" s="1" t="s">
        <v>6140</v>
      </c>
      <c r="C1800" s="1" t="s">
        <v>1412</v>
      </c>
      <c r="D1800" s="1" t="s">
        <v>1413</v>
      </c>
      <c r="E1800" s="1" t="s">
        <v>65</v>
      </c>
      <c r="F1800" s="1" t="s">
        <v>119</v>
      </c>
      <c r="G1800" s="1" t="s">
        <v>88</v>
      </c>
      <c r="H1800" s="1" t="s">
        <v>255</v>
      </c>
      <c r="K1800" s="1" t="s">
        <v>256</v>
      </c>
      <c r="L1800" s="1" t="s">
        <v>257</v>
      </c>
      <c r="M1800" s="1" t="s">
        <v>6141</v>
      </c>
      <c r="N1800" s="1" t="s">
        <v>259</v>
      </c>
      <c r="O1800" s="1" t="s">
        <v>260</v>
      </c>
      <c r="P1800" s="1" t="s">
        <v>3768</v>
      </c>
      <c r="U1800" s="1" t="s">
        <v>6139</v>
      </c>
      <c r="Z1800" s="1" t="s">
        <v>71</v>
      </c>
      <c r="AE1800" s="1" t="s">
        <v>6130</v>
      </c>
      <c r="AH1800" s="1" t="s">
        <v>73</v>
      </c>
      <c r="AK1800" s="1" t="s">
        <v>71</v>
      </c>
      <c r="AM1800" s="1" t="s">
        <v>71</v>
      </c>
      <c r="AN1800" s="1" t="s">
        <v>71</v>
      </c>
      <c r="AS1800" s="1" t="s">
        <v>71</v>
      </c>
      <c r="AX1800" s="1" t="s">
        <v>71</v>
      </c>
      <c r="AY1800" s="1" t="s">
        <v>59</v>
      </c>
      <c r="AZ1800" s="1" t="s">
        <v>74</v>
      </c>
      <c r="BH1800" s="1" t="s">
        <v>71</v>
      </c>
    </row>
    <row r="1801" customFormat="false" ht="15" hidden="false" customHeight="false" outlineLevel="0" collapsed="false">
      <c r="A1801" s="1" t="s">
        <v>6142</v>
      </c>
      <c r="B1801" s="1" t="s">
        <v>6143</v>
      </c>
      <c r="C1801" s="1" t="s">
        <v>1636</v>
      </c>
      <c r="D1801" s="1" t="s">
        <v>6144</v>
      </c>
      <c r="E1801" s="1" t="s">
        <v>61</v>
      </c>
      <c r="F1801" s="1" t="s">
        <v>101</v>
      </c>
      <c r="G1801" s="1" t="s">
        <v>93</v>
      </c>
      <c r="H1801" s="1" t="s">
        <v>64</v>
      </c>
      <c r="K1801" s="1" t="s">
        <v>163</v>
      </c>
      <c r="L1801" s="1" t="s">
        <v>164</v>
      </c>
      <c r="M1801" s="1" t="s">
        <v>310</v>
      </c>
      <c r="N1801" s="1" t="s">
        <v>166</v>
      </c>
      <c r="O1801" s="1" t="s">
        <v>167</v>
      </c>
      <c r="P1801" s="1" t="s">
        <v>4462</v>
      </c>
      <c r="U1801" s="1" t="s">
        <v>6142</v>
      </c>
      <c r="Z1801" s="1" t="s">
        <v>71</v>
      </c>
      <c r="AE1801" s="1" t="s">
        <v>6145</v>
      </c>
      <c r="AH1801" s="1" t="s">
        <v>73</v>
      </c>
      <c r="AK1801" s="1" t="s">
        <v>71</v>
      </c>
      <c r="AM1801" s="1" t="s">
        <v>71</v>
      </c>
      <c r="AN1801" s="1" t="s">
        <v>71</v>
      </c>
      <c r="AS1801" s="1" t="s">
        <v>71</v>
      </c>
      <c r="AX1801" s="1" t="s">
        <v>71</v>
      </c>
      <c r="AY1801" s="1" t="s">
        <v>59</v>
      </c>
      <c r="AZ1801" s="1" t="s">
        <v>74</v>
      </c>
      <c r="BH1801" s="1" t="s">
        <v>71</v>
      </c>
    </row>
    <row r="1802" customFormat="false" ht="15" hidden="false" customHeight="false" outlineLevel="0" collapsed="false">
      <c r="A1802" s="1" t="s">
        <v>6146</v>
      </c>
      <c r="B1802" s="1" t="s">
        <v>6147</v>
      </c>
      <c r="C1802" s="1" t="s">
        <v>1636</v>
      </c>
      <c r="D1802" s="1" t="s">
        <v>6144</v>
      </c>
      <c r="E1802" s="1" t="s">
        <v>61</v>
      </c>
      <c r="F1802" s="1" t="s">
        <v>101</v>
      </c>
      <c r="G1802" s="1" t="s">
        <v>1772</v>
      </c>
      <c r="H1802" s="1" t="s">
        <v>6148</v>
      </c>
      <c r="K1802" s="1" t="s">
        <v>59</v>
      </c>
      <c r="L1802" s="1" t="s">
        <v>6149</v>
      </c>
      <c r="M1802" s="1" t="s">
        <v>6150</v>
      </c>
      <c r="N1802" s="1" t="s">
        <v>6151</v>
      </c>
      <c r="O1802" s="1" t="s">
        <v>6152</v>
      </c>
      <c r="P1802" s="1" t="s">
        <v>6153</v>
      </c>
      <c r="U1802" s="1" t="s">
        <v>6146</v>
      </c>
      <c r="Z1802" s="1" t="s">
        <v>71</v>
      </c>
      <c r="AE1802" s="1" t="s">
        <v>6154</v>
      </c>
      <c r="AH1802" s="1" t="s">
        <v>73</v>
      </c>
      <c r="AK1802" s="1" t="s">
        <v>71</v>
      </c>
      <c r="AM1802" s="1" t="s">
        <v>71</v>
      </c>
      <c r="AN1802" s="1" t="s">
        <v>71</v>
      </c>
      <c r="AS1802" s="1" t="s">
        <v>71</v>
      </c>
      <c r="AX1802" s="1" t="s">
        <v>71</v>
      </c>
      <c r="AY1802" s="1" t="s">
        <v>59</v>
      </c>
      <c r="AZ1802" s="1" t="s">
        <v>74</v>
      </c>
      <c r="BH1802" s="1" t="s">
        <v>71</v>
      </c>
    </row>
    <row r="1803" customFormat="false" ht="15" hidden="false" customHeight="false" outlineLevel="0" collapsed="false">
      <c r="A1803" s="1" t="s">
        <v>6155</v>
      </c>
      <c r="B1803" s="1" t="s">
        <v>6156</v>
      </c>
      <c r="C1803" s="1" t="s">
        <v>1636</v>
      </c>
      <c r="D1803" s="1" t="s">
        <v>6144</v>
      </c>
      <c r="E1803" s="1" t="s">
        <v>61</v>
      </c>
      <c r="F1803" s="1" t="s">
        <v>101</v>
      </c>
      <c r="G1803" s="1" t="s">
        <v>1772</v>
      </c>
      <c r="H1803" s="1" t="s">
        <v>6148</v>
      </c>
      <c r="K1803" s="1" t="s">
        <v>59</v>
      </c>
      <c r="L1803" s="1" t="s">
        <v>6149</v>
      </c>
      <c r="M1803" s="1" t="s">
        <v>6150</v>
      </c>
      <c r="N1803" s="1" t="s">
        <v>6151</v>
      </c>
      <c r="O1803" s="1" t="s">
        <v>6152</v>
      </c>
      <c r="P1803" s="1" t="s">
        <v>6153</v>
      </c>
      <c r="U1803" s="1" t="s">
        <v>6155</v>
      </c>
      <c r="Z1803" s="1" t="s">
        <v>71</v>
      </c>
      <c r="AE1803" s="1" t="s">
        <v>6154</v>
      </c>
      <c r="AH1803" s="1" t="s">
        <v>73</v>
      </c>
      <c r="AK1803" s="1" t="s">
        <v>71</v>
      </c>
      <c r="AM1803" s="1" t="s">
        <v>71</v>
      </c>
      <c r="AN1803" s="1" t="s">
        <v>71</v>
      </c>
      <c r="AS1803" s="1" t="s">
        <v>71</v>
      </c>
      <c r="AX1803" s="1" t="s">
        <v>71</v>
      </c>
      <c r="AY1803" s="1" t="s">
        <v>59</v>
      </c>
      <c r="AZ1803" s="1" t="s">
        <v>74</v>
      </c>
      <c r="BH1803" s="1" t="s">
        <v>71</v>
      </c>
    </row>
    <row r="1804" customFormat="false" ht="15" hidden="false" customHeight="false" outlineLevel="0" collapsed="false">
      <c r="A1804" s="1" t="s">
        <v>6157</v>
      </c>
      <c r="B1804" s="1" t="s">
        <v>6158</v>
      </c>
      <c r="C1804" s="1" t="s">
        <v>150</v>
      </c>
      <c r="D1804" s="1" t="s">
        <v>405</v>
      </c>
      <c r="E1804" s="1" t="s">
        <v>82</v>
      </c>
      <c r="F1804" s="1" t="s">
        <v>391</v>
      </c>
      <c r="G1804" s="1" t="s">
        <v>97</v>
      </c>
      <c r="H1804" s="1" t="s">
        <v>406</v>
      </c>
      <c r="K1804" s="1" t="s">
        <v>407</v>
      </c>
      <c r="L1804" s="1" t="s">
        <v>408</v>
      </c>
      <c r="M1804" s="1" t="s">
        <v>1107</v>
      </c>
      <c r="N1804" s="1" t="s">
        <v>6159</v>
      </c>
      <c r="O1804" s="1" t="s">
        <v>3111</v>
      </c>
      <c r="P1804" s="1" t="s">
        <v>6160</v>
      </c>
      <c r="Z1804" s="1" t="s">
        <v>71</v>
      </c>
      <c r="AE1804" s="1" t="s">
        <v>6154</v>
      </c>
      <c r="AH1804" s="1" t="s">
        <v>73</v>
      </c>
      <c r="AK1804" s="1" t="s">
        <v>71</v>
      </c>
      <c r="AM1804" s="1" t="s">
        <v>71</v>
      </c>
      <c r="AN1804" s="1" t="s">
        <v>71</v>
      </c>
      <c r="AS1804" s="1" t="s">
        <v>71</v>
      </c>
      <c r="AX1804" s="1" t="s">
        <v>71</v>
      </c>
      <c r="BH1804" s="1" t="s">
        <v>71</v>
      </c>
    </row>
    <row r="1805" customFormat="false" ht="15" hidden="false" customHeight="false" outlineLevel="0" collapsed="false">
      <c r="A1805" s="1" t="s">
        <v>6161</v>
      </c>
      <c r="B1805" s="1" t="s">
        <v>6162</v>
      </c>
      <c r="C1805" s="1" t="s">
        <v>150</v>
      </c>
      <c r="D1805" s="1" t="s">
        <v>405</v>
      </c>
      <c r="E1805" s="1" t="s">
        <v>82</v>
      </c>
      <c r="F1805" s="1" t="s">
        <v>391</v>
      </c>
      <c r="G1805" s="1" t="s">
        <v>97</v>
      </c>
      <c r="H1805" s="1" t="s">
        <v>406</v>
      </c>
      <c r="K1805" s="1" t="s">
        <v>407</v>
      </c>
      <c r="L1805" s="1" t="s">
        <v>408</v>
      </c>
      <c r="M1805" s="1" t="s">
        <v>465</v>
      </c>
      <c r="N1805" s="1" t="s">
        <v>1868</v>
      </c>
      <c r="O1805" s="1" t="s">
        <v>1869</v>
      </c>
      <c r="P1805" s="1" t="s">
        <v>4128</v>
      </c>
      <c r="Z1805" s="1" t="s">
        <v>71</v>
      </c>
      <c r="AE1805" s="1" t="s">
        <v>6154</v>
      </c>
      <c r="AH1805" s="1" t="s">
        <v>73</v>
      </c>
      <c r="AK1805" s="1" t="s">
        <v>71</v>
      </c>
      <c r="AM1805" s="1" t="s">
        <v>71</v>
      </c>
      <c r="AN1805" s="1" t="s">
        <v>71</v>
      </c>
      <c r="AS1805" s="1" t="s">
        <v>71</v>
      </c>
      <c r="AX1805" s="1" t="s">
        <v>71</v>
      </c>
      <c r="BH1805" s="1" t="s">
        <v>71</v>
      </c>
    </row>
    <row r="1806" customFormat="false" ht="15" hidden="false" customHeight="false" outlineLevel="0" collapsed="false">
      <c r="A1806" s="1" t="s">
        <v>6163</v>
      </c>
      <c r="B1806" s="1" t="s">
        <v>6164</v>
      </c>
      <c r="C1806" s="1" t="s">
        <v>1642</v>
      </c>
      <c r="D1806" s="1" t="s">
        <v>6165</v>
      </c>
      <c r="E1806" s="1" t="s">
        <v>82</v>
      </c>
      <c r="F1806" s="1" t="s">
        <v>391</v>
      </c>
      <c r="G1806" s="1" t="s">
        <v>213</v>
      </c>
      <c r="H1806" s="1" t="s">
        <v>477</v>
      </c>
      <c r="K1806" s="1" t="s">
        <v>478</v>
      </c>
      <c r="L1806" s="1" t="s">
        <v>479</v>
      </c>
      <c r="M1806" s="1" t="s">
        <v>465</v>
      </c>
      <c r="N1806" s="1" t="s">
        <v>1639</v>
      </c>
      <c r="O1806" s="1" t="s">
        <v>1640</v>
      </c>
      <c r="P1806" s="1" t="s">
        <v>6166</v>
      </c>
      <c r="Z1806" s="1" t="s">
        <v>71</v>
      </c>
      <c r="AE1806" s="1" t="s">
        <v>6154</v>
      </c>
      <c r="AH1806" s="1" t="s">
        <v>73</v>
      </c>
      <c r="AK1806" s="1" t="s">
        <v>71</v>
      </c>
      <c r="AM1806" s="1" t="s">
        <v>71</v>
      </c>
      <c r="AN1806" s="1" t="s">
        <v>71</v>
      </c>
      <c r="AS1806" s="1" t="s">
        <v>71</v>
      </c>
      <c r="AX1806" s="1" t="s">
        <v>71</v>
      </c>
      <c r="BH1806" s="1" t="s">
        <v>71</v>
      </c>
    </row>
    <row r="1807" customFormat="false" ht="15" hidden="false" customHeight="false" outlineLevel="0" collapsed="false">
      <c r="A1807" s="1" t="s">
        <v>6167</v>
      </c>
      <c r="B1807" s="1" t="s">
        <v>6168</v>
      </c>
      <c r="C1807" s="1" t="s">
        <v>706</v>
      </c>
      <c r="D1807" s="1" t="s">
        <v>707</v>
      </c>
      <c r="E1807" s="1" t="s">
        <v>82</v>
      </c>
      <c r="F1807" s="1" t="s">
        <v>391</v>
      </c>
      <c r="G1807" s="1" t="s">
        <v>213</v>
      </c>
      <c r="H1807" s="1" t="s">
        <v>477</v>
      </c>
      <c r="K1807" s="1" t="s">
        <v>478</v>
      </c>
      <c r="L1807" s="1" t="s">
        <v>479</v>
      </c>
      <c r="M1807" s="1" t="s">
        <v>496</v>
      </c>
      <c r="N1807" s="1" t="s">
        <v>3313</v>
      </c>
      <c r="O1807" s="1" t="s">
        <v>1778</v>
      </c>
      <c r="P1807" s="1" t="s">
        <v>6169</v>
      </c>
      <c r="Z1807" s="1" t="s">
        <v>71</v>
      </c>
      <c r="AE1807" s="1" t="s">
        <v>6154</v>
      </c>
      <c r="AH1807" s="1" t="s">
        <v>73</v>
      </c>
      <c r="AK1807" s="1" t="s">
        <v>71</v>
      </c>
      <c r="AM1807" s="1" t="s">
        <v>71</v>
      </c>
      <c r="AN1807" s="1" t="s">
        <v>71</v>
      </c>
      <c r="AS1807" s="1" t="s">
        <v>71</v>
      </c>
      <c r="AX1807" s="1" t="s">
        <v>71</v>
      </c>
      <c r="BH1807" s="1" t="s">
        <v>71</v>
      </c>
    </row>
    <row r="1808" customFormat="false" ht="15" hidden="false" customHeight="false" outlineLevel="0" collapsed="false">
      <c r="A1808" s="1" t="s">
        <v>6170</v>
      </c>
      <c r="B1808" s="1" t="s">
        <v>6171</v>
      </c>
      <c r="C1808" s="1" t="s">
        <v>1652</v>
      </c>
      <c r="D1808" s="1" t="s">
        <v>6172</v>
      </c>
      <c r="E1808" s="1" t="s">
        <v>82</v>
      </c>
      <c r="F1808" s="1" t="s">
        <v>391</v>
      </c>
      <c r="G1808" s="1" t="s">
        <v>213</v>
      </c>
      <c r="H1808" s="1" t="s">
        <v>477</v>
      </c>
      <c r="K1808" s="1" t="s">
        <v>478</v>
      </c>
      <c r="L1808" s="1" t="s">
        <v>479</v>
      </c>
      <c r="M1808" s="1" t="s">
        <v>496</v>
      </c>
      <c r="N1808" s="1" t="s">
        <v>6173</v>
      </c>
      <c r="O1808" s="1" t="s">
        <v>6174</v>
      </c>
      <c r="P1808" s="1" t="s">
        <v>6175</v>
      </c>
      <c r="Z1808" s="1" t="s">
        <v>71</v>
      </c>
      <c r="AE1808" s="1" t="s">
        <v>6176</v>
      </c>
      <c r="AH1808" s="1" t="s">
        <v>73</v>
      </c>
      <c r="AK1808" s="1" t="s">
        <v>71</v>
      </c>
      <c r="AM1808" s="1" t="s">
        <v>71</v>
      </c>
      <c r="AN1808" s="1" t="s">
        <v>71</v>
      </c>
      <c r="AS1808" s="1" t="s">
        <v>71</v>
      </c>
      <c r="AX1808" s="1" t="s">
        <v>71</v>
      </c>
      <c r="BH1808" s="1" t="s">
        <v>71</v>
      </c>
    </row>
    <row r="1809" customFormat="false" ht="15" hidden="false" customHeight="false" outlineLevel="0" collapsed="false">
      <c r="A1809" s="1" t="s">
        <v>6177</v>
      </c>
      <c r="B1809" s="1" t="s">
        <v>6178</v>
      </c>
      <c r="C1809" s="1" t="s">
        <v>5274</v>
      </c>
      <c r="D1809" s="1" t="s">
        <v>5275</v>
      </c>
      <c r="E1809" s="1" t="s">
        <v>61</v>
      </c>
      <c r="F1809" s="1" t="s">
        <v>101</v>
      </c>
      <c r="G1809" s="1" t="s">
        <v>177</v>
      </c>
      <c r="H1809" s="1" t="s">
        <v>255</v>
      </c>
      <c r="K1809" s="1" t="s">
        <v>115</v>
      </c>
      <c r="L1809" s="1" t="s">
        <v>1236</v>
      </c>
      <c r="M1809" s="1" t="s">
        <v>1364</v>
      </c>
      <c r="N1809" s="1" t="s">
        <v>259</v>
      </c>
      <c r="O1809" s="1" t="s">
        <v>260</v>
      </c>
      <c r="P1809" s="1" t="s">
        <v>3768</v>
      </c>
      <c r="U1809" s="1" t="s">
        <v>6177</v>
      </c>
      <c r="Z1809" s="1" t="s">
        <v>71</v>
      </c>
      <c r="AE1809" s="1" t="s">
        <v>6179</v>
      </c>
      <c r="AH1809" s="1" t="s">
        <v>73</v>
      </c>
      <c r="AK1809" s="1" t="s">
        <v>71</v>
      </c>
      <c r="AM1809" s="1" t="s">
        <v>71</v>
      </c>
      <c r="AN1809" s="1" t="s">
        <v>71</v>
      </c>
      <c r="AS1809" s="1" t="s">
        <v>71</v>
      </c>
      <c r="AX1809" s="1" t="s">
        <v>71</v>
      </c>
      <c r="AY1809" s="1" t="s">
        <v>59</v>
      </c>
      <c r="AZ1809" s="1" t="s">
        <v>74</v>
      </c>
      <c r="BH1809" s="1" t="s">
        <v>71</v>
      </c>
    </row>
    <row r="1810" customFormat="false" ht="15" hidden="false" customHeight="false" outlineLevel="0" collapsed="false">
      <c r="A1810" s="1" t="s">
        <v>6180</v>
      </c>
      <c r="B1810" s="1" t="s">
        <v>6181</v>
      </c>
      <c r="C1810" s="1" t="s">
        <v>213</v>
      </c>
      <c r="D1810" s="1" t="s">
        <v>214</v>
      </c>
      <c r="E1810" s="1" t="s">
        <v>61</v>
      </c>
      <c r="F1810" s="1" t="s">
        <v>101</v>
      </c>
      <c r="G1810" s="1" t="s">
        <v>93</v>
      </c>
      <c r="H1810" s="1" t="s">
        <v>64</v>
      </c>
      <c r="K1810" s="1" t="s">
        <v>1092</v>
      </c>
      <c r="L1810" s="1" t="s">
        <v>1093</v>
      </c>
      <c r="M1810" s="1" t="s">
        <v>310</v>
      </c>
      <c r="N1810" s="1" t="s">
        <v>105</v>
      </c>
      <c r="O1810" s="1" t="s">
        <v>106</v>
      </c>
      <c r="P1810" s="1" t="s">
        <v>3539</v>
      </c>
      <c r="U1810" s="1" t="s">
        <v>6180</v>
      </c>
      <c r="Z1810" s="1" t="s">
        <v>71</v>
      </c>
      <c r="AE1810" s="1" t="s">
        <v>6182</v>
      </c>
      <c r="AH1810" s="1" t="s">
        <v>73</v>
      </c>
      <c r="AK1810" s="1" t="s">
        <v>71</v>
      </c>
      <c r="AM1810" s="1" t="s">
        <v>71</v>
      </c>
      <c r="AN1810" s="1" t="s">
        <v>71</v>
      </c>
      <c r="AS1810" s="1" t="s">
        <v>71</v>
      </c>
      <c r="AX1810" s="1" t="s">
        <v>71</v>
      </c>
      <c r="AY1810" s="1" t="s">
        <v>59</v>
      </c>
      <c r="AZ1810" s="1" t="s">
        <v>74</v>
      </c>
      <c r="BH1810" s="1" t="s">
        <v>71</v>
      </c>
    </row>
    <row r="1811" customFormat="false" ht="15" hidden="false" customHeight="false" outlineLevel="0" collapsed="false">
      <c r="A1811" s="1" t="s">
        <v>6183</v>
      </c>
      <c r="B1811" s="1" t="s">
        <v>6184</v>
      </c>
      <c r="C1811" s="1" t="s">
        <v>6185</v>
      </c>
      <c r="D1811" s="1" t="s">
        <v>6186</v>
      </c>
      <c r="E1811" s="1" t="s">
        <v>88</v>
      </c>
      <c r="F1811" s="1" t="s">
        <v>432</v>
      </c>
      <c r="G1811" s="1" t="s">
        <v>283</v>
      </c>
      <c r="H1811" s="1" t="s">
        <v>2652</v>
      </c>
      <c r="K1811" s="1" t="s">
        <v>182</v>
      </c>
      <c r="L1811" s="1" t="s">
        <v>6187</v>
      </c>
      <c r="M1811" s="1" t="s">
        <v>496</v>
      </c>
      <c r="N1811" s="1" t="s">
        <v>5514</v>
      </c>
      <c r="O1811" s="1" t="s">
        <v>5515</v>
      </c>
      <c r="P1811" s="1" t="s">
        <v>5516</v>
      </c>
      <c r="Z1811" s="1" t="s">
        <v>71</v>
      </c>
      <c r="AE1811" s="1" t="s">
        <v>6188</v>
      </c>
      <c r="AH1811" s="1" t="s">
        <v>73</v>
      </c>
      <c r="AK1811" s="1" t="s">
        <v>71</v>
      </c>
      <c r="AM1811" s="1" t="s">
        <v>71</v>
      </c>
      <c r="AN1811" s="1" t="s">
        <v>71</v>
      </c>
      <c r="AS1811" s="1" t="s">
        <v>71</v>
      </c>
      <c r="AX1811" s="1" t="s">
        <v>71</v>
      </c>
      <c r="BH1811" s="1" t="s">
        <v>71</v>
      </c>
    </row>
    <row r="1812" customFormat="false" ht="15" hidden="false" customHeight="false" outlineLevel="0" collapsed="false">
      <c r="A1812" s="1" t="s">
        <v>6189</v>
      </c>
      <c r="B1812" s="1" t="s">
        <v>6190</v>
      </c>
      <c r="C1812" s="1" t="s">
        <v>1662</v>
      </c>
      <c r="D1812" s="1" t="s">
        <v>6191</v>
      </c>
      <c r="E1812" s="1" t="s">
        <v>61</v>
      </c>
      <c r="F1812" s="1" t="s">
        <v>101</v>
      </c>
      <c r="G1812" s="1" t="s">
        <v>115</v>
      </c>
      <c r="H1812" s="1" t="s">
        <v>5689</v>
      </c>
      <c r="K1812" s="1" t="s">
        <v>65</v>
      </c>
      <c r="L1812" s="1" t="s">
        <v>4731</v>
      </c>
      <c r="M1812" s="1" t="s">
        <v>310</v>
      </c>
      <c r="N1812" s="1" t="s">
        <v>5692</v>
      </c>
      <c r="O1812" s="1" t="s">
        <v>5693</v>
      </c>
      <c r="P1812" s="1" t="s">
        <v>5694</v>
      </c>
      <c r="U1812" s="1" t="s">
        <v>6189</v>
      </c>
      <c r="Z1812" s="1" t="s">
        <v>71</v>
      </c>
      <c r="AE1812" s="1" t="s">
        <v>6192</v>
      </c>
      <c r="AH1812" s="1" t="s">
        <v>73</v>
      </c>
      <c r="AK1812" s="1" t="s">
        <v>71</v>
      </c>
      <c r="AM1812" s="1" t="s">
        <v>71</v>
      </c>
      <c r="AN1812" s="1" t="s">
        <v>71</v>
      </c>
      <c r="AS1812" s="1" t="s">
        <v>71</v>
      </c>
      <c r="AX1812" s="1" t="s">
        <v>71</v>
      </c>
      <c r="AY1812" s="1" t="s">
        <v>59</v>
      </c>
      <c r="AZ1812" s="1" t="s">
        <v>74</v>
      </c>
      <c r="BH1812" s="1" t="s">
        <v>71</v>
      </c>
    </row>
    <row r="1813" customFormat="false" ht="15" hidden="false" customHeight="false" outlineLevel="0" collapsed="false">
      <c r="A1813" s="1" t="s">
        <v>6193</v>
      </c>
      <c r="B1813" s="1" t="s">
        <v>6194</v>
      </c>
      <c r="C1813" s="1" t="s">
        <v>1662</v>
      </c>
      <c r="D1813" s="1" t="s">
        <v>6191</v>
      </c>
      <c r="E1813" s="1" t="s">
        <v>61</v>
      </c>
      <c r="F1813" s="1" t="s">
        <v>101</v>
      </c>
      <c r="G1813" s="1" t="s">
        <v>115</v>
      </c>
      <c r="H1813" s="1" t="s">
        <v>5689</v>
      </c>
      <c r="K1813" s="1" t="s">
        <v>65</v>
      </c>
      <c r="L1813" s="1" t="s">
        <v>4731</v>
      </c>
      <c r="M1813" s="1" t="s">
        <v>310</v>
      </c>
      <c r="N1813" s="1" t="s">
        <v>6195</v>
      </c>
      <c r="O1813" s="1" t="s">
        <v>6196</v>
      </c>
      <c r="P1813" s="1" t="s">
        <v>6197</v>
      </c>
      <c r="U1813" s="1" t="s">
        <v>6193</v>
      </c>
      <c r="Z1813" s="1" t="s">
        <v>71</v>
      </c>
      <c r="AE1813" s="1" t="s">
        <v>6192</v>
      </c>
      <c r="AH1813" s="1" t="s">
        <v>73</v>
      </c>
      <c r="AK1813" s="1" t="s">
        <v>71</v>
      </c>
      <c r="AM1813" s="1" t="s">
        <v>71</v>
      </c>
      <c r="AN1813" s="1" t="s">
        <v>71</v>
      </c>
      <c r="AS1813" s="1" t="s">
        <v>71</v>
      </c>
      <c r="AX1813" s="1" t="s">
        <v>71</v>
      </c>
      <c r="AY1813" s="1" t="s">
        <v>59</v>
      </c>
      <c r="AZ1813" s="1" t="s">
        <v>74</v>
      </c>
      <c r="BH1813" s="1" t="s">
        <v>71</v>
      </c>
    </row>
    <row r="1814" customFormat="false" ht="15" hidden="false" customHeight="false" outlineLevel="0" collapsed="false">
      <c r="A1814" s="1" t="s">
        <v>6198</v>
      </c>
      <c r="B1814" s="1" t="s">
        <v>6199</v>
      </c>
      <c r="C1814" s="1" t="s">
        <v>1662</v>
      </c>
      <c r="D1814" s="1" t="s">
        <v>6191</v>
      </c>
      <c r="E1814" s="1" t="s">
        <v>61</v>
      </c>
      <c r="F1814" s="1" t="s">
        <v>101</v>
      </c>
      <c r="G1814" s="1" t="s">
        <v>115</v>
      </c>
      <c r="H1814" s="1" t="s">
        <v>5689</v>
      </c>
      <c r="K1814" s="1" t="s">
        <v>65</v>
      </c>
      <c r="L1814" s="1" t="s">
        <v>4731</v>
      </c>
      <c r="M1814" s="1" t="s">
        <v>310</v>
      </c>
      <c r="N1814" s="1" t="s">
        <v>5692</v>
      </c>
      <c r="O1814" s="1" t="s">
        <v>5693</v>
      </c>
      <c r="P1814" s="1" t="s">
        <v>5694</v>
      </c>
      <c r="U1814" s="1" t="s">
        <v>6198</v>
      </c>
      <c r="Z1814" s="1" t="s">
        <v>71</v>
      </c>
      <c r="AE1814" s="1" t="s">
        <v>6192</v>
      </c>
      <c r="AH1814" s="1" t="s">
        <v>73</v>
      </c>
      <c r="AK1814" s="1" t="s">
        <v>71</v>
      </c>
      <c r="AM1814" s="1" t="s">
        <v>71</v>
      </c>
      <c r="AN1814" s="1" t="s">
        <v>71</v>
      </c>
      <c r="AS1814" s="1" t="s">
        <v>71</v>
      </c>
      <c r="AX1814" s="1" t="s">
        <v>71</v>
      </c>
      <c r="AY1814" s="1" t="s">
        <v>59</v>
      </c>
      <c r="AZ1814" s="1" t="s">
        <v>74</v>
      </c>
      <c r="BH1814" s="1" t="s">
        <v>71</v>
      </c>
    </row>
    <row r="1815" customFormat="false" ht="15" hidden="false" customHeight="false" outlineLevel="0" collapsed="false">
      <c r="A1815" s="1" t="s">
        <v>6200</v>
      </c>
      <c r="B1815" s="1" t="s">
        <v>6201</v>
      </c>
      <c r="C1815" s="1" t="s">
        <v>1662</v>
      </c>
      <c r="D1815" s="1" t="s">
        <v>6191</v>
      </c>
      <c r="E1815" s="1" t="s">
        <v>61</v>
      </c>
      <c r="F1815" s="1" t="s">
        <v>101</v>
      </c>
      <c r="G1815" s="1" t="s">
        <v>115</v>
      </c>
      <c r="H1815" s="1" t="s">
        <v>5689</v>
      </c>
      <c r="K1815" s="1" t="s">
        <v>59</v>
      </c>
      <c r="L1815" s="1" t="s">
        <v>5690</v>
      </c>
      <c r="M1815" s="1" t="s">
        <v>310</v>
      </c>
      <c r="N1815" s="1" t="s">
        <v>5692</v>
      </c>
      <c r="O1815" s="1" t="s">
        <v>5693</v>
      </c>
      <c r="P1815" s="1" t="s">
        <v>5694</v>
      </c>
      <c r="U1815" s="1" t="s">
        <v>6200</v>
      </c>
      <c r="Z1815" s="1" t="s">
        <v>71</v>
      </c>
      <c r="AE1815" s="1" t="s">
        <v>6192</v>
      </c>
      <c r="AH1815" s="1" t="s">
        <v>73</v>
      </c>
      <c r="AK1815" s="1" t="s">
        <v>71</v>
      </c>
      <c r="AM1815" s="1" t="s">
        <v>71</v>
      </c>
      <c r="AN1815" s="1" t="s">
        <v>71</v>
      </c>
      <c r="AS1815" s="1" t="s">
        <v>71</v>
      </c>
      <c r="AX1815" s="1" t="s">
        <v>71</v>
      </c>
      <c r="AY1815" s="1" t="s">
        <v>59</v>
      </c>
      <c r="AZ1815" s="1" t="s">
        <v>74</v>
      </c>
      <c r="BH1815" s="1" t="s">
        <v>71</v>
      </c>
    </row>
    <row r="1816" customFormat="false" ht="15" hidden="false" customHeight="false" outlineLevel="0" collapsed="false">
      <c r="A1816" s="1" t="s">
        <v>6202</v>
      </c>
      <c r="B1816" s="1" t="s">
        <v>6203</v>
      </c>
      <c r="C1816" s="1" t="s">
        <v>1662</v>
      </c>
      <c r="D1816" s="1" t="s">
        <v>6191</v>
      </c>
      <c r="E1816" s="1" t="s">
        <v>61</v>
      </c>
      <c r="F1816" s="1" t="s">
        <v>101</v>
      </c>
      <c r="G1816" s="1" t="s">
        <v>115</v>
      </c>
      <c r="H1816" s="1" t="s">
        <v>5689</v>
      </c>
      <c r="K1816" s="1" t="s">
        <v>59</v>
      </c>
      <c r="L1816" s="1" t="s">
        <v>5690</v>
      </c>
      <c r="M1816" s="1" t="s">
        <v>310</v>
      </c>
      <c r="N1816" s="1" t="s">
        <v>6195</v>
      </c>
      <c r="O1816" s="1" t="s">
        <v>6196</v>
      </c>
      <c r="P1816" s="1" t="s">
        <v>6197</v>
      </c>
      <c r="U1816" s="1" t="s">
        <v>6202</v>
      </c>
      <c r="Z1816" s="1" t="s">
        <v>71</v>
      </c>
      <c r="AE1816" s="1" t="s">
        <v>6192</v>
      </c>
      <c r="AH1816" s="1" t="s">
        <v>73</v>
      </c>
      <c r="AK1816" s="1" t="s">
        <v>71</v>
      </c>
      <c r="AM1816" s="1" t="s">
        <v>71</v>
      </c>
      <c r="AN1816" s="1" t="s">
        <v>71</v>
      </c>
      <c r="AS1816" s="1" t="s">
        <v>71</v>
      </c>
      <c r="AX1816" s="1" t="s">
        <v>71</v>
      </c>
      <c r="AY1816" s="1" t="s">
        <v>59</v>
      </c>
      <c r="AZ1816" s="1" t="s">
        <v>74</v>
      </c>
      <c r="BH1816" s="1" t="s">
        <v>71</v>
      </c>
    </row>
    <row r="1817" customFormat="false" ht="15" hidden="false" customHeight="false" outlineLevel="0" collapsed="false">
      <c r="A1817" s="1" t="s">
        <v>6204</v>
      </c>
      <c r="B1817" s="1" t="s">
        <v>6205</v>
      </c>
      <c r="C1817" s="1" t="s">
        <v>1662</v>
      </c>
      <c r="D1817" s="1" t="s">
        <v>6191</v>
      </c>
      <c r="E1817" s="1" t="s">
        <v>61</v>
      </c>
      <c r="F1817" s="1" t="s">
        <v>101</v>
      </c>
      <c r="G1817" s="1" t="s">
        <v>115</v>
      </c>
      <c r="H1817" s="1" t="s">
        <v>5689</v>
      </c>
      <c r="K1817" s="1" t="s">
        <v>88</v>
      </c>
      <c r="L1817" s="1" t="s">
        <v>335</v>
      </c>
      <c r="M1817" s="1" t="s">
        <v>310</v>
      </c>
      <c r="N1817" s="1" t="s">
        <v>6195</v>
      </c>
      <c r="O1817" s="1" t="s">
        <v>6196</v>
      </c>
      <c r="P1817" s="1" t="s">
        <v>6197</v>
      </c>
      <c r="U1817" s="1" t="s">
        <v>6204</v>
      </c>
      <c r="Z1817" s="1" t="s">
        <v>71</v>
      </c>
      <c r="AE1817" s="1" t="s">
        <v>6192</v>
      </c>
      <c r="AH1817" s="1" t="s">
        <v>73</v>
      </c>
      <c r="AK1817" s="1" t="s">
        <v>71</v>
      </c>
      <c r="AM1817" s="1" t="s">
        <v>71</v>
      </c>
      <c r="AN1817" s="1" t="s">
        <v>71</v>
      </c>
      <c r="AS1817" s="1" t="s">
        <v>71</v>
      </c>
      <c r="AX1817" s="1" t="s">
        <v>71</v>
      </c>
      <c r="AY1817" s="1" t="s">
        <v>59</v>
      </c>
      <c r="AZ1817" s="1" t="s">
        <v>74</v>
      </c>
      <c r="BH1817" s="1" t="s">
        <v>71</v>
      </c>
    </row>
    <row r="1818" customFormat="false" ht="15" hidden="false" customHeight="false" outlineLevel="0" collapsed="false">
      <c r="A1818" s="1" t="s">
        <v>6206</v>
      </c>
      <c r="B1818" s="1" t="s">
        <v>6207</v>
      </c>
      <c r="C1818" s="1" t="s">
        <v>1662</v>
      </c>
      <c r="D1818" s="1" t="s">
        <v>6191</v>
      </c>
      <c r="E1818" s="1" t="s">
        <v>61</v>
      </c>
      <c r="F1818" s="1" t="s">
        <v>101</v>
      </c>
      <c r="G1818" s="1" t="s">
        <v>115</v>
      </c>
      <c r="H1818" s="1" t="s">
        <v>5689</v>
      </c>
      <c r="K1818" s="1" t="s">
        <v>65</v>
      </c>
      <c r="L1818" s="1" t="s">
        <v>4731</v>
      </c>
      <c r="M1818" s="1" t="s">
        <v>310</v>
      </c>
      <c r="N1818" s="1" t="s">
        <v>5692</v>
      </c>
      <c r="O1818" s="1" t="s">
        <v>5693</v>
      </c>
      <c r="P1818" s="1" t="s">
        <v>5694</v>
      </c>
      <c r="U1818" s="1" t="s">
        <v>6206</v>
      </c>
      <c r="Z1818" s="1" t="s">
        <v>71</v>
      </c>
      <c r="AE1818" s="1" t="s">
        <v>6192</v>
      </c>
      <c r="AH1818" s="1" t="s">
        <v>73</v>
      </c>
      <c r="AK1818" s="1" t="s">
        <v>71</v>
      </c>
      <c r="AM1818" s="1" t="s">
        <v>71</v>
      </c>
      <c r="AN1818" s="1" t="s">
        <v>71</v>
      </c>
      <c r="AS1818" s="1" t="s">
        <v>71</v>
      </c>
      <c r="AX1818" s="1" t="s">
        <v>71</v>
      </c>
      <c r="AY1818" s="1" t="s">
        <v>59</v>
      </c>
      <c r="AZ1818" s="1" t="s">
        <v>74</v>
      </c>
      <c r="BH1818" s="1" t="s">
        <v>71</v>
      </c>
    </row>
    <row r="1819" customFormat="false" ht="15" hidden="false" customHeight="false" outlineLevel="0" collapsed="false">
      <c r="A1819" s="1" t="s">
        <v>6208</v>
      </c>
      <c r="B1819" s="1" t="s">
        <v>6209</v>
      </c>
      <c r="C1819" s="1" t="s">
        <v>1662</v>
      </c>
      <c r="D1819" s="1" t="s">
        <v>6191</v>
      </c>
      <c r="E1819" s="1" t="s">
        <v>61</v>
      </c>
      <c r="F1819" s="1" t="s">
        <v>101</v>
      </c>
      <c r="G1819" s="1" t="s">
        <v>115</v>
      </c>
      <c r="H1819" s="1" t="s">
        <v>5689</v>
      </c>
      <c r="K1819" s="1" t="s">
        <v>61</v>
      </c>
      <c r="L1819" s="1" t="s">
        <v>5972</v>
      </c>
      <c r="M1819" s="1" t="s">
        <v>310</v>
      </c>
      <c r="N1819" s="1" t="s">
        <v>5692</v>
      </c>
      <c r="O1819" s="1" t="s">
        <v>5693</v>
      </c>
      <c r="P1819" s="1" t="s">
        <v>5694</v>
      </c>
      <c r="U1819" s="1" t="s">
        <v>6208</v>
      </c>
      <c r="Z1819" s="1" t="s">
        <v>71</v>
      </c>
      <c r="AE1819" s="1" t="s">
        <v>6192</v>
      </c>
      <c r="AH1819" s="1" t="s">
        <v>73</v>
      </c>
      <c r="AK1819" s="1" t="s">
        <v>71</v>
      </c>
      <c r="AM1819" s="1" t="s">
        <v>71</v>
      </c>
      <c r="AN1819" s="1" t="s">
        <v>71</v>
      </c>
      <c r="AS1819" s="1" t="s">
        <v>71</v>
      </c>
      <c r="AX1819" s="1" t="s">
        <v>71</v>
      </c>
      <c r="AY1819" s="1" t="s">
        <v>59</v>
      </c>
      <c r="AZ1819" s="1" t="s">
        <v>74</v>
      </c>
      <c r="BH1819" s="1" t="s">
        <v>71</v>
      </c>
    </row>
    <row r="1820" customFormat="false" ht="15" hidden="false" customHeight="false" outlineLevel="0" collapsed="false">
      <c r="A1820" s="1" t="s">
        <v>6210</v>
      </c>
      <c r="B1820" s="1" t="s">
        <v>6211</v>
      </c>
      <c r="C1820" s="1" t="s">
        <v>1662</v>
      </c>
      <c r="D1820" s="1" t="s">
        <v>6191</v>
      </c>
      <c r="E1820" s="1" t="s">
        <v>61</v>
      </c>
      <c r="F1820" s="1" t="s">
        <v>101</v>
      </c>
      <c r="G1820" s="1" t="s">
        <v>115</v>
      </c>
      <c r="H1820" s="1" t="s">
        <v>5689</v>
      </c>
      <c r="K1820" s="1" t="s">
        <v>93</v>
      </c>
      <c r="L1820" s="1" t="s">
        <v>6212</v>
      </c>
      <c r="M1820" s="1" t="s">
        <v>310</v>
      </c>
      <c r="N1820" s="1" t="s">
        <v>5692</v>
      </c>
      <c r="O1820" s="1" t="s">
        <v>5693</v>
      </c>
      <c r="P1820" s="1" t="s">
        <v>5694</v>
      </c>
      <c r="U1820" s="1" t="s">
        <v>6210</v>
      </c>
      <c r="Z1820" s="1" t="s">
        <v>71</v>
      </c>
      <c r="AE1820" s="1" t="s">
        <v>6192</v>
      </c>
      <c r="AH1820" s="1" t="s">
        <v>73</v>
      </c>
      <c r="AK1820" s="1" t="s">
        <v>71</v>
      </c>
      <c r="AM1820" s="1" t="s">
        <v>71</v>
      </c>
      <c r="AN1820" s="1" t="s">
        <v>71</v>
      </c>
      <c r="AS1820" s="1" t="s">
        <v>71</v>
      </c>
      <c r="AX1820" s="1" t="s">
        <v>71</v>
      </c>
      <c r="AY1820" s="1" t="s">
        <v>59</v>
      </c>
      <c r="AZ1820" s="1" t="s">
        <v>74</v>
      </c>
      <c r="BH1820" s="1" t="s">
        <v>71</v>
      </c>
    </row>
    <row r="1821" customFormat="false" ht="15" hidden="false" customHeight="false" outlineLevel="0" collapsed="false">
      <c r="A1821" s="1" t="s">
        <v>6213</v>
      </c>
      <c r="B1821" s="1" t="s">
        <v>6214</v>
      </c>
      <c r="C1821" s="1" t="s">
        <v>1662</v>
      </c>
      <c r="D1821" s="1" t="s">
        <v>6191</v>
      </c>
      <c r="E1821" s="1" t="s">
        <v>61</v>
      </c>
      <c r="F1821" s="1" t="s">
        <v>101</v>
      </c>
      <c r="G1821" s="1" t="s">
        <v>115</v>
      </c>
      <c r="H1821" s="1" t="s">
        <v>5689</v>
      </c>
      <c r="K1821" s="1" t="s">
        <v>93</v>
      </c>
      <c r="L1821" s="1" t="s">
        <v>6212</v>
      </c>
      <c r="M1821" s="1" t="s">
        <v>310</v>
      </c>
      <c r="N1821" s="1" t="s">
        <v>6195</v>
      </c>
      <c r="O1821" s="1" t="s">
        <v>6196</v>
      </c>
      <c r="P1821" s="1" t="s">
        <v>6197</v>
      </c>
      <c r="U1821" s="1" t="s">
        <v>6213</v>
      </c>
      <c r="Z1821" s="1" t="s">
        <v>71</v>
      </c>
      <c r="AE1821" s="1" t="s">
        <v>6192</v>
      </c>
      <c r="AH1821" s="1" t="s">
        <v>73</v>
      </c>
      <c r="AK1821" s="1" t="s">
        <v>71</v>
      </c>
      <c r="AM1821" s="1" t="s">
        <v>71</v>
      </c>
      <c r="AN1821" s="1" t="s">
        <v>71</v>
      </c>
      <c r="AS1821" s="1" t="s">
        <v>71</v>
      </c>
      <c r="AX1821" s="1" t="s">
        <v>71</v>
      </c>
      <c r="AY1821" s="1" t="s">
        <v>59</v>
      </c>
      <c r="AZ1821" s="1" t="s">
        <v>74</v>
      </c>
      <c r="BH1821" s="1" t="s">
        <v>71</v>
      </c>
    </row>
    <row r="1822" customFormat="false" ht="15" hidden="false" customHeight="false" outlineLevel="0" collapsed="false">
      <c r="A1822" s="1" t="s">
        <v>6215</v>
      </c>
      <c r="B1822" s="1" t="s">
        <v>6216</v>
      </c>
      <c r="C1822" s="1" t="s">
        <v>1412</v>
      </c>
      <c r="D1822" s="1" t="s">
        <v>1413</v>
      </c>
      <c r="E1822" s="1" t="s">
        <v>61</v>
      </c>
      <c r="F1822" s="1" t="s">
        <v>101</v>
      </c>
      <c r="G1822" s="1" t="s">
        <v>148</v>
      </c>
      <c r="H1822" s="1" t="s">
        <v>231</v>
      </c>
      <c r="K1822" s="1" t="s">
        <v>1419</v>
      </c>
      <c r="L1822" s="1" t="s">
        <v>1420</v>
      </c>
      <c r="M1822" s="1" t="s">
        <v>258</v>
      </c>
      <c r="N1822" s="1" t="s">
        <v>243</v>
      </c>
      <c r="O1822" s="1" t="s">
        <v>244</v>
      </c>
      <c r="P1822" s="1" t="s">
        <v>3503</v>
      </c>
      <c r="U1822" s="1" t="s">
        <v>6215</v>
      </c>
      <c r="Z1822" s="1" t="s">
        <v>71</v>
      </c>
      <c r="AE1822" s="1" t="s">
        <v>6192</v>
      </c>
      <c r="AH1822" s="1" t="s">
        <v>73</v>
      </c>
      <c r="AK1822" s="1" t="s">
        <v>71</v>
      </c>
      <c r="AM1822" s="1" t="s">
        <v>71</v>
      </c>
      <c r="AN1822" s="1" t="s">
        <v>71</v>
      </c>
      <c r="AS1822" s="1" t="s">
        <v>71</v>
      </c>
      <c r="AX1822" s="1" t="s">
        <v>71</v>
      </c>
      <c r="AY1822" s="1" t="s">
        <v>59</v>
      </c>
      <c r="AZ1822" s="1" t="s">
        <v>74</v>
      </c>
      <c r="BH1822" s="1" t="s">
        <v>71</v>
      </c>
    </row>
    <row r="1823" customFormat="false" ht="15" hidden="false" customHeight="false" outlineLevel="0" collapsed="false">
      <c r="A1823" s="1" t="s">
        <v>6217</v>
      </c>
      <c r="B1823" s="1" t="s">
        <v>6218</v>
      </c>
      <c r="C1823" s="1" t="s">
        <v>1412</v>
      </c>
      <c r="D1823" s="1" t="s">
        <v>1413</v>
      </c>
      <c r="E1823" s="1" t="s">
        <v>61</v>
      </c>
      <c r="F1823" s="1" t="s">
        <v>101</v>
      </c>
      <c r="G1823" s="1" t="s">
        <v>148</v>
      </c>
      <c r="H1823" s="1" t="s">
        <v>231</v>
      </c>
      <c r="K1823" s="1" t="s">
        <v>493</v>
      </c>
      <c r="L1823" s="1" t="s">
        <v>6219</v>
      </c>
      <c r="M1823" s="1" t="s">
        <v>310</v>
      </c>
      <c r="N1823" s="1" t="s">
        <v>6220</v>
      </c>
      <c r="O1823" s="1" t="s">
        <v>6221</v>
      </c>
      <c r="P1823" s="1" t="s">
        <v>6222</v>
      </c>
      <c r="U1823" s="1" t="s">
        <v>6217</v>
      </c>
      <c r="Z1823" s="1" t="s">
        <v>71</v>
      </c>
      <c r="AE1823" s="1" t="s">
        <v>6192</v>
      </c>
      <c r="AH1823" s="1" t="s">
        <v>73</v>
      </c>
      <c r="AK1823" s="1" t="s">
        <v>71</v>
      </c>
      <c r="AM1823" s="1" t="s">
        <v>71</v>
      </c>
      <c r="AN1823" s="1" t="s">
        <v>71</v>
      </c>
      <c r="AS1823" s="1" t="s">
        <v>71</v>
      </c>
      <c r="AX1823" s="1" t="s">
        <v>71</v>
      </c>
      <c r="AY1823" s="1" t="s">
        <v>59</v>
      </c>
      <c r="AZ1823" s="1" t="s">
        <v>74</v>
      </c>
      <c r="BH1823" s="1" t="s">
        <v>71</v>
      </c>
    </row>
    <row r="1824" customFormat="false" ht="15" hidden="false" customHeight="false" outlineLevel="0" collapsed="false">
      <c r="A1824" s="1" t="s">
        <v>6223</v>
      </c>
      <c r="B1824" s="1" t="s">
        <v>6224</v>
      </c>
      <c r="C1824" s="1" t="s">
        <v>1412</v>
      </c>
      <c r="D1824" s="1" t="s">
        <v>1413</v>
      </c>
      <c r="E1824" s="1" t="s">
        <v>65</v>
      </c>
      <c r="F1824" s="1" t="s">
        <v>119</v>
      </c>
      <c r="G1824" s="1" t="s">
        <v>88</v>
      </c>
      <c r="H1824" s="1" t="s">
        <v>255</v>
      </c>
      <c r="K1824" s="1" t="s">
        <v>430</v>
      </c>
      <c r="L1824" s="1" t="s">
        <v>827</v>
      </c>
      <c r="M1824" s="1" t="s">
        <v>6054</v>
      </c>
      <c r="N1824" s="1" t="s">
        <v>259</v>
      </c>
      <c r="O1824" s="1" t="s">
        <v>260</v>
      </c>
      <c r="P1824" s="1" t="s">
        <v>3768</v>
      </c>
      <c r="U1824" s="1" t="s">
        <v>6223</v>
      </c>
      <c r="Z1824" s="1" t="s">
        <v>71</v>
      </c>
      <c r="AE1824" s="1" t="s">
        <v>6192</v>
      </c>
      <c r="AH1824" s="1" t="s">
        <v>73</v>
      </c>
      <c r="AK1824" s="1" t="s">
        <v>71</v>
      </c>
      <c r="AM1824" s="1" t="s">
        <v>71</v>
      </c>
      <c r="AN1824" s="1" t="s">
        <v>71</v>
      </c>
      <c r="AS1824" s="1" t="s">
        <v>71</v>
      </c>
      <c r="AX1824" s="1" t="s">
        <v>71</v>
      </c>
      <c r="AY1824" s="1" t="s">
        <v>59</v>
      </c>
      <c r="AZ1824" s="1" t="s">
        <v>74</v>
      </c>
      <c r="BH1824" s="1" t="s">
        <v>71</v>
      </c>
    </row>
    <row r="1825" customFormat="false" ht="15" hidden="false" customHeight="false" outlineLevel="0" collapsed="false">
      <c r="A1825" s="1" t="s">
        <v>6225</v>
      </c>
      <c r="B1825" s="1" t="s">
        <v>6226</v>
      </c>
      <c r="C1825" s="1" t="s">
        <v>1669</v>
      </c>
      <c r="D1825" s="1" t="s">
        <v>5195</v>
      </c>
      <c r="E1825" s="1" t="s">
        <v>82</v>
      </c>
      <c r="F1825" s="1" t="s">
        <v>391</v>
      </c>
      <c r="G1825" s="1" t="s">
        <v>97</v>
      </c>
      <c r="H1825" s="1" t="s">
        <v>406</v>
      </c>
      <c r="K1825" s="1" t="s">
        <v>65</v>
      </c>
      <c r="L1825" s="1" t="s">
        <v>860</v>
      </c>
      <c r="M1825" s="1" t="s">
        <v>496</v>
      </c>
      <c r="N1825" s="1" t="s">
        <v>6227</v>
      </c>
      <c r="O1825" s="1" t="s">
        <v>6228</v>
      </c>
      <c r="P1825" s="1" t="s">
        <v>6229</v>
      </c>
      <c r="Z1825" s="1" t="s">
        <v>71</v>
      </c>
      <c r="AE1825" s="1" t="s">
        <v>6230</v>
      </c>
      <c r="AH1825" s="1" t="s">
        <v>73</v>
      </c>
      <c r="AK1825" s="1" t="s">
        <v>71</v>
      </c>
      <c r="AM1825" s="1" t="s">
        <v>71</v>
      </c>
      <c r="AN1825" s="1" t="s">
        <v>71</v>
      </c>
      <c r="AS1825" s="1" t="s">
        <v>71</v>
      </c>
      <c r="AX1825" s="1" t="s">
        <v>71</v>
      </c>
      <c r="BH1825" s="1" t="s">
        <v>71</v>
      </c>
    </row>
    <row r="1826" customFormat="false" ht="15" hidden="false" customHeight="false" outlineLevel="0" collapsed="false">
      <c r="A1826" s="1" t="s">
        <v>6231</v>
      </c>
      <c r="B1826" s="1" t="s">
        <v>6232</v>
      </c>
      <c r="C1826" s="1" t="s">
        <v>1676</v>
      </c>
      <c r="D1826" s="1" t="s">
        <v>6233</v>
      </c>
      <c r="E1826" s="1" t="s">
        <v>65</v>
      </c>
      <c r="F1826" s="1" t="s">
        <v>119</v>
      </c>
      <c r="G1826" s="1" t="s">
        <v>61</v>
      </c>
      <c r="H1826" s="1" t="s">
        <v>231</v>
      </c>
      <c r="K1826" s="1" t="s">
        <v>372</v>
      </c>
      <c r="L1826" s="1" t="s">
        <v>373</v>
      </c>
      <c r="M1826" s="1" t="s">
        <v>242</v>
      </c>
      <c r="N1826" s="1" t="s">
        <v>6234</v>
      </c>
      <c r="O1826" s="1" t="s">
        <v>6235</v>
      </c>
      <c r="P1826" s="1" t="s">
        <v>6236</v>
      </c>
      <c r="U1826" s="1" t="s">
        <v>6231</v>
      </c>
      <c r="Z1826" s="1" t="s">
        <v>71</v>
      </c>
      <c r="AE1826" s="1" t="s">
        <v>6237</v>
      </c>
      <c r="AH1826" s="1" t="s">
        <v>73</v>
      </c>
      <c r="AK1826" s="1" t="s">
        <v>71</v>
      </c>
      <c r="AM1826" s="1" t="s">
        <v>71</v>
      </c>
      <c r="AN1826" s="1" t="s">
        <v>71</v>
      </c>
      <c r="AS1826" s="1" t="s">
        <v>71</v>
      </c>
      <c r="AX1826" s="1" t="s">
        <v>71</v>
      </c>
      <c r="AY1826" s="1" t="s">
        <v>59</v>
      </c>
      <c r="AZ1826" s="1" t="s">
        <v>74</v>
      </c>
      <c r="BH1826" s="1" t="s">
        <v>71</v>
      </c>
    </row>
    <row r="1827" customFormat="false" ht="15" hidden="false" customHeight="false" outlineLevel="0" collapsed="false">
      <c r="A1827" s="1" t="s">
        <v>6238</v>
      </c>
      <c r="B1827" s="1" t="s">
        <v>6239</v>
      </c>
      <c r="C1827" s="1" t="s">
        <v>1676</v>
      </c>
      <c r="D1827" s="1" t="s">
        <v>6233</v>
      </c>
      <c r="E1827" s="1" t="s">
        <v>65</v>
      </c>
      <c r="F1827" s="1" t="s">
        <v>119</v>
      </c>
      <c r="G1827" s="1" t="s">
        <v>61</v>
      </c>
      <c r="H1827" s="1" t="s">
        <v>231</v>
      </c>
      <c r="K1827" s="1" t="s">
        <v>493</v>
      </c>
      <c r="L1827" s="1" t="s">
        <v>1820</v>
      </c>
      <c r="M1827" s="1" t="s">
        <v>242</v>
      </c>
      <c r="N1827" s="1" t="s">
        <v>375</v>
      </c>
      <c r="O1827" s="1" t="s">
        <v>376</v>
      </c>
      <c r="P1827" s="1" t="s">
        <v>5536</v>
      </c>
      <c r="U1827" s="1" t="s">
        <v>6238</v>
      </c>
      <c r="Z1827" s="1" t="s">
        <v>71</v>
      </c>
      <c r="AE1827" s="1" t="s">
        <v>6237</v>
      </c>
      <c r="AH1827" s="1" t="s">
        <v>73</v>
      </c>
      <c r="AK1827" s="1" t="s">
        <v>71</v>
      </c>
      <c r="AM1827" s="1" t="s">
        <v>71</v>
      </c>
      <c r="AN1827" s="1" t="s">
        <v>71</v>
      </c>
      <c r="AS1827" s="1" t="s">
        <v>71</v>
      </c>
      <c r="AX1827" s="1" t="s">
        <v>71</v>
      </c>
      <c r="AY1827" s="1" t="s">
        <v>59</v>
      </c>
      <c r="AZ1827" s="1" t="s">
        <v>74</v>
      </c>
      <c r="BH1827" s="1" t="s">
        <v>71</v>
      </c>
    </row>
    <row r="1828" customFormat="false" ht="15" hidden="false" customHeight="false" outlineLevel="0" collapsed="false">
      <c r="A1828" s="1" t="s">
        <v>6240</v>
      </c>
      <c r="B1828" s="1" t="s">
        <v>6241</v>
      </c>
      <c r="C1828" s="1" t="s">
        <v>1676</v>
      </c>
      <c r="D1828" s="1" t="s">
        <v>6233</v>
      </c>
      <c r="E1828" s="1" t="s">
        <v>65</v>
      </c>
      <c r="F1828" s="1" t="s">
        <v>119</v>
      </c>
      <c r="G1828" s="1" t="s">
        <v>61</v>
      </c>
      <c r="H1828" s="1" t="s">
        <v>231</v>
      </c>
      <c r="K1828" s="1" t="s">
        <v>159</v>
      </c>
      <c r="L1828" s="1" t="s">
        <v>6242</v>
      </c>
      <c r="M1828" s="1" t="s">
        <v>242</v>
      </c>
      <c r="N1828" s="1" t="s">
        <v>375</v>
      </c>
      <c r="O1828" s="1" t="s">
        <v>376</v>
      </c>
      <c r="P1828" s="1" t="s">
        <v>5536</v>
      </c>
      <c r="U1828" s="1" t="s">
        <v>6240</v>
      </c>
      <c r="Z1828" s="1" t="s">
        <v>71</v>
      </c>
      <c r="AE1828" s="1" t="s">
        <v>6237</v>
      </c>
      <c r="AH1828" s="1" t="s">
        <v>73</v>
      </c>
      <c r="AK1828" s="1" t="s">
        <v>71</v>
      </c>
      <c r="AM1828" s="1" t="s">
        <v>71</v>
      </c>
      <c r="AN1828" s="1" t="s">
        <v>71</v>
      </c>
      <c r="AS1828" s="1" t="s">
        <v>71</v>
      </c>
      <c r="AX1828" s="1" t="s">
        <v>71</v>
      </c>
      <c r="AY1828" s="1" t="s">
        <v>59</v>
      </c>
      <c r="AZ1828" s="1" t="s">
        <v>74</v>
      </c>
      <c r="BH1828" s="1" t="s">
        <v>71</v>
      </c>
    </row>
    <row r="1829" customFormat="false" ht="15" hidden="false" customHeight="false" outlineLevel="0" collapsed="false">
      <c r="A1829" s="1" t="s">
        <v>6243</v>
      </c>
      <c r="B1829" s="1" t="s">
        <v>6244</v>
      </c>
      <c r="C1829" s="1" t="s">
        <v>5543</v>
      </c>
      <c r="D1829" s="1" t="s">
        <v>5544</v>
      </c>
      <c r="E1829" s="1" t="s">
        <v>65</v>
      </c>
      <c r="F1829" s="1" t="s">
        <v>119</v>
      </c>
      <c r="G1829" s="1" t="s">
        <v>65</v>
      </c>
      <c r="H1829" s="1" t="s">
        <v>64</v>
      </c>
      <c r="K1829" s="1" t="s">
        <v>170</v>
      </c>
      <c r="L1829" s="1" t="s">
        <v>171</v>
      </c>
      <c r="M1829" s="1" t="s">
        <v>104</v>
      </c>
      <c r="N1829" s="1" t="s">
        <v>123</v>
      </c>
      <c r="O1829" s="1" t="s">
        <v>124</v>
      </c>
      <c r="P1829" s="1" t="s">
        <v>4161</v>
      </c>
      <c r="U1829" s="1" t="s">
        <v>6243</v>
      </c>
      <c r="Z1829" s="1" t="s">
        <v>71</v>
      </c>
      <c r="AE1829" s="1" t="s">
        <v>6245</v>
      </c>
      <c r="AH1829" s="1" t="s">
        <v>73</v>
      </c>
      <c r="AK1829" s="1" t="s">
        <v>71</v>
      </c>
      <c r="AM1829" s="1" t="s">
        <v>71</v>
      </c>
      <c r="AN1829" s="1" t="s">
        <v>71</v>
      </c>
      <c r="AS1829" s="1" t="s">
        <v>71</v>
      </c>
      <c r="AX1829" s="1" t="s">
        <v>71</v>
      </c>
      <c r="AY1829" s="1" t="s">
        <v>59</v>
      </c>
      <c r="AZ1829" s="1" t="s">
        <v>74</v>
      </c>
      <c r="BH1829" s="1" t="s">
        <v>71</v>
      </c>
    </row>
    <row r="1830" customFormat="false" ht="15" hidden="false" customHeight="false" outlineLevel="0" collapsed="false">
      <c r="A1830" s="1" t="s">
        <v>6246</v>
      </c>
      <c r="B1830" s="1" t="s">
        <v>6247</v>
      </c>
      <c r="C1830" s="1" t="s">
        <v>5543</v>
      </c>
      <c r="D1830" s="1" t="s">
        <v>5544</v>
      </c>
      <c r="E1830" s="1" t="s">
        <v>65</v>
      </c>
      <c r="F1830" s="1" t="s">
        <v>119</v>
      </c>
      <c r="G1830" s="1" t="s">
        <v>65</v>
      </c>
      <c r="H1830" s="1" t="s">
        <v>64</v>
      </c>
      <c r="K1830" s="1" t="s">
        <v>443</v>
      </c>
      <c r="L1830" s="1" t="s">
        <v>630</v>
      </c>
      <c r="M1830" s="1" t="s">
        <v>104</v>
      </c>
      <c r="N1830" s="1" t="s">
        <v>123</v>
      </c>
      <c r="O1830" s="1" t="s">
        <v>124</v>
      </c>
      <c r="P1830" s="1" t="s">
        <v>4161</v>
      </c>
      <c r="U1830" s="1" t="s">
        <v>6246</v>
      </c>
      <c r="Z1830" s="1" t="s">
        <v>71</v>
      </c>
      <c r="AE1830" s="1" t="s">
        <v>6245</v>
      </c>
      <c r="AH1830" s="1" t="s">
        <v>73</v>
      </c>
      <c r="AK1830" s="1" t="s">
        <v>71</v>
      </c>
      <c r="AM1830" s="1" t="s">
        <v>71</v>
      </c>
      <c r="AN1830" s="1" t="s">
        <v>71</v>
      </c>
      <c r="AS1830" s="1" t="s">
        <v>71</v>
      </c>
      <c r="AX1830" s="1" t="s">
        <v>71</v>
      </c>
      <c r="AY1830" s="1" t="s">
        <v>59</v>
      </c>
      <c r="AZ1830" s="1" t="s">
        <v>74</v>
      </c>
      <c r="BH1830" s="1" t="s">
        <v>71</v>
      </c>
    </row>
    <row r="1831" customFormat="false" ht="15" hidden="false" customHeight="false" outlineLevel="0" collapsed="false">
      <c r="A1831" s="1" t="s">
        <v>6248</v>
      </c>
      <c r="B1831" s="1" t="s">
        <v>6249</v>
      </c>
      <c r="C1831" s="1" t="s">
        <v>1636</v>
      </c>
      <c r="D1831" s="1" t="s">
        <v>6144</v>
      </c>
      <c r="E1831" s="1" t="s">
        <v>61</v>
      </c>
      <c r="F1831" s="1" t="s">
        <v>101</v>
      </c>
      <c r="G1831" s="1" t="s">
        <v>1772</v>
      </c>
      <c r="H1831" s="1" t="s">
        <v>6148</v>
      </c>
      <c r="K1831" s="1" t="s">
        <v>59</v>
      </c>
      <c r="L1831" s="1" t="s">
        <v>6149</v>
      </c>
      <c r="M1831" s="1" t="s">
        <v>242</v>
      </c>
      <c r="N1831" s="1" t="s">
        <v>6151</v>
      </c>
      <c r="O1831" s="1" t="s">
        <v>6152</v>
      </c>
      <c r="P1831" s="1" t="s">
        <v>6153</v>
      </c>
      <c r="S1831" s="1" t="s">
        <v>229</v>
      </c>
      <c r="U1831" s="1" t="s">
        <v>6248</v>
      </c>
      <c r="V1831" s="1" t="s">
        <v>6250</v>
      </c>
      <c r="W1831" s="1" t="s">
        <v>6251</v>
      </c>
      <c r="Z1831" s="1" t="s">
        <v>71</v>
      </c>
      <c r="AE1831" s="1" t="s">
        <v>6245</v>
      </c>
      <c r="AH1831" s="1" t="s">
        <v>73</v>
      </c>
      <c r="AK1831" s="1" t="s">
        <v>71</v>
      </c>
      <c r="AM1831" s="1" t="s">
        <v>71</v>
      </c>
      <c r="AN1831" s="1" t="s">
        <v>71</v>
      </c>
      <c r="AS1831" s="1" t="s">
        <v>71</v>
      </c>
      <c r="AX1831" s="1" t="s">
        <v>71</v>
      </c>
      <c r="AY1831" s="1" t="s">
        <v>59</v>
      </c>
      <c r="AZ1831" s="1" t="s">
        <v>74</v>
      </c>
      <c r="BH1831" s="1" t="s">
        <v>71</v>
      </c>
    </row>
    <row r="1832" customFormat="false" ht="15" hidden="false" customHeight="false" outlineLevel="0" collapsed="false">
      <c r="A1832" s="1" t="s">
        <v>6252</v>
      </c>
      <c r="B1832" s="1" t="s">
        <v>6253</v>
      </c>
      <c r="C1832" s="1" t="s">
        <v>2193</v>
      </c>
      <c r="D1832" s="1" t="s">
        <v>230</v>
      </c>
      <c r="E1832" s="1" t="s">
        <v>61</v>
      </c>
      <c r="F1832" s="1" t="s">
        <v>101</v>
      </c>
      <c r="G1832" s="1" t="s">
        <v>148</v>
      </c>
      <c r="H1832" s="1" t="s">
        <v>231</v>
      </c>
      <c r="K1832" s="1" t="s">
        <v>142</v>
      </c>
      <c r="L1832" s="1" t="s">
        <v>6254</v>
      </c>
      <c r="M1832" s="1" t="s">
        <v>258</v>
      </c>
      <c r="N1832" s="1" t="s">
        <v>243</v>
      </c>
      <c r="O1832" s="1" t="s">
        <v>244</v>
      </c>
      <c r="P1832" s="1" t="s">
        <v>3503</v>
      </c>
      <c r="U1832" s="1" t="s">
        <v>6252</v>
      </c>
      <c r="Z1832" s="1" t="s">
        <v>71</v>
      </c>
      <c r="AE1832" s="1" t="s">
        <v>6255</v>
      </c>
      <c r="AH1832" s="1" t="s">
        <v>73</v>
      </c>
      <c r="AK1832" s="1" t="s">
        <v>71</v>
      </c>
      <c r="AM1832" s="1" t="s">
        <v>71</v>
      </c>
      <c r="AN1832" s="1" t="s">
        <v>71</v>
      </c>
      <c r="AS1832" s="1" t="s">
        <v>71</v>
      </c>
      <c r="AX1832" s="1" t="s">
        <v>71</v>
      </c>
      <c r="AY1832" s="1" t="s">
        <v>59</v>
      </c>
      <c r="AZ1832" s="1" t="s">
        <v>74</v>
      </c>
      <c r="BH1832" s="1" t="s">
        <v>71</v>
      </c>
    </row>
    <row r="1833" customFormat="false" ht="15" hidden="false" customHeight="false" outlineLevel="0" collapsed="false">
      <c r="A1833" s="1" t="s">
        <v>6256</v>
      </c>
      <c r="B1833" s="1" t="s">
        <v>6257</v>
      </c>
      <c r="C1833" s="1" t="s">
        <v>229</v>
      </c>
      <c r="D1833" s="1" t="s">
        <v>230</v>
      </c>
      <c r="E1833" s="1" t="s">
        <v>65</v>
      </c>
      <c r="F1833" s="1" t="s">
        <v>119</v>
      </c>
      <c r="G1833" s="1" t="s">
        <v>88</v>
      </c>
      <c r="H1833" s="1" t="s">
        <v>255</v>
      </c>
      <c r="K1833" s="1" t="s">
        <v>215</v>
      </c>
      <c r="L1833" s="1" t="s">
        <v>5567</v>
      </c>
      <c r="M1833" s="1" t="s">
        <v>296</v>
      </c>
      <c r="N1833" s="1" t="s">
        <v>259</v>
      </c>
      <c r="O1833" s="1" t="s">
        <v>260</v>
      </c>
      <c r="P1833" s="1" t="s">
        <v>3768</v>
      </c>
      <c r="U1833" s="1" t="s">
        <v>6256</v>
      </c>
      <c r="Z1833" s="1" t="s">
        <v>71</v>
      </c>
      <c r="AE1833" s="1" t="s">
        <v>6255</v>
      </c>
      <c r="AH1833" s="1" t="s">
        <v>73</v>
      </c>
      <c r="AK1833" s="1" t="s">
        <v>71</v>
      </c>
      <c r="AM1833" s="1" t="s">
        <v>71</v>
      </c>
      <c r="AN1833" s="1" t="s">
        <v>71</v>
      </c>
      <c r="AS1833" s="1" t="s">
        <v>71</v>
      </c>
      <c r="AX1833" s="1" t="s">
        <v>71</v>
      </c>
      <c r="AY1833" s="1" t="s">
        <v>59</v>
      </c>
      <c r="AZ1833" s="1" t="s">
        <v>74</v>
      </c>
      <c r="BH1833" s="1" t="s">
        <v>71</v>
      </c>
    </row>
    <row r="1834" customFormat="false" ht="15" hidden="false" customHeight="false" outlineLevel="0" collapsed="false">
      <c r="A1834" s="1" t="s">
        <v>6258</v>
      </c>
      <c r="B1834" s="1" t="s">
        <v>6259</v>
      </c>
      <c r="C1834" s="1" t="s">
        <v>229</v>
      </c>
      <c r="D1834" s="1" t="s">
        <v>230</v>
      </c>
      <c r="E1834" s="1" t="s">
        <v>65</v>
      </c>
      <c r="F1834" s="1" t="s">
        <v>119</v>
      </c>
      <c r="G1834" s="1" t="s">
        <v>88</v>
      </c>
      <c r="H1834" s="1" t="s">
        <v>255</v>
      </c>
      <c r="K1834" s="1" t="s">
        <v>215</v>
      </c>
      <c r="L1834" s="1" t="s">
        <v>5567</v>
      </c>
      <c r="M1834" s="1" t="s">
        <v>296</v>
      </c>
      <c r="N1834" s="1" t="s">
        <v>259</v>
      </c>
      <c r="O1834" s="1" t="s">
        <v>260</v>
      </c>
      <c r="P1834" s="1" t="s">
        <v>3768</v>
      </c>
      <c r="U1834" s="1" t="s">
        <v>6258</v>
      </c>
      <c r="Z1834" s="1" t="s">
        <v>71</v>
      </c>
      <c r="AE1834" s="1" t="s">
        <v>6255</v>
      </c>
      <c r="AH1834" s="1" t="s">
        <v>73</v>
      </c>
      <c r="AK1834" s="1" t="s">
        <v>71</v>
      </c>
      <c r="AM1834" s="1" t="s">
        <v>71</v>
      </c>
      <c r="AN1834" s="1" t="s">
        <v>71</v>
      </c>
      <c r="AS1834" s="1" t="s">
        <v>71</v>
      </c>
      <c r="AX1834" s="1" t="s">
        <v>71</v>
      </c>
      <c r="AY1834" s="1" t="s">
        <v>59</v>
      </c>
      <c r="AZ1834" s="1" t="s">
        <v>74</v>
      </c>
      <c r="BH1834" s="1" t="s">
        <v>71</v>
      </c>
    </row>
    <row r="1835" customFormat="false" ht="15" hidden="false" customHeight="false" outlineLevel="0" collapsed="false">
      <c r="A1835" s="1" t="s">
        <v>6260</v>
      </c>
      <c r="B1835" s="1" t="s">
        <v>6261</v>
      </c>
      <c r="C1835" s="1" t="s">
        <v>229</v>
      </c>
      <c r="D1835" s="1" t="s">
        <v>230</v>
      </c>
      <c r="E1835" s="1" t="s">
        <v>65</v>
      </c>
      <c r="F1835" s="1" t="s">
        <v>119</v>
      </c>
      <c r="G1835" s="1" t="s">
        <v>88</v>
      </c>
      <c r="H1835" s="1" t="s">
        <v>255</v>
      </c>
      <c r="K1835" s="1" t="s">
        <v>256</v>
      </c>
      <c r="L1835" s="1" t="s">
        <v>257</v>
      </c>
      <c r="M1835" s="1" t="s">
        <v>296</v>
      </c>
      <c r="N1835" s="1" t="s">
        <v>259</v>
      </c>
      <c r="O1835" s="1" t="s">
        <v>260</v>
      </c>
      <c r="P1835" s="1" t="s">
        <v>3768</v>
      </c>
      <c r="U1835" s="1" t="s">
        <v>6260</v>
      </c>
      <c r="Z1835" s="1" t="s">
        <v>71</v>
      </c>
      <c r="AE1835" s="1" t="s">
        <v>6255</v>
      </c>
      <c r="AH1835" s="1" t="s">
        <v>73</v>
      </c>
      <c r="AK1835" s="1" t="s">
        <v>71</v>
      </c>
      <c r="AM1835" s="1" t="s">
        <v>71</v>
      </c>
      <c r="AN1835" s="1" t="s">
        <v>71</v>
      </c>
      <c r="AS1835" s="1" t="s">
        <v>71</v>
      </c>
      <c r="AX1835" s="1" t="s">
        <v>71</v>
      </c>
      <c r="AY1835" s="1" t="s">
        <v>59</v>
      </c>
      <c r="AZ1835" s="1" t="s">
        <v>74</v>
      </c>
      <c r="BH1835" s="1" t="s">
        <v>71</v>
      </c>
    </row>
    <row r="1836" customFormat="false" ht="15" hidden="false" customHeight="false" outlineLevel="0" collapsed="false">
      <c r="A1836" s="1" t="s">
        <v>6262</v>
      </c>
      <c r="B1836" s="1" t="s">
        <v>6263</v>
      </c>
      <c r="C1836" s="1" t="s">
        <v>229</v>
      </c>
      <c r="D1836" s="1" t="s">
        <v>230</v>
      </c>
      <c r="E1836" s="1" t="s">
        <v>61</v>
      </c>
      <c r="F1836" s="1" t="s">
        <v>101</v>
      </c>
      <c r="G1836" s="1" t="s">
        <v>148</v>
      </c>
      <c r="H1836" s="1" t="s">
        <v>231</v>
      </c>
      <c r="K1836" s="1" t="s">
        <v>1018</v>
      </c>
      <c r="L1836" s="1" t="s">
        <v>6264</v>
      </c>
      <c r="M1836" s="1" t="s">
        <v>6265</v>
      </c>
      <c r="N1836" s="1" t="s">
        <v>6266</v>
      </c>
      <c r="O1836" s="1" t="s">
        <v>6267</v>
      </c>
      <c r="P1836" s="1" t="s">
        <v>6268</v>
      </c>
      <c r="U1836" s="1" t="s">
        <v>6262</v>
      </c>
      <c r="Z1836" s="1" t="s">
        <v>71</v>
      </c>
      <c r="AE1836" s="1" t="s">
        <v>6269</v>
      </c>
      <c r="AH1836" s="1" t="s">
        <v>73</v>
      </c>
      <c r="AK1836" s="1" t="s">
        <v>71</v>
      </c>
      <c r="AM1836" s="1" t="s">
        <v>71</v>
      </c>
      <c r="AN1836" s="1" t="s">
        <v>71</v>
      </c>
      <c r="AS1836" s="1" t="s">
        <v>71</v>
      </c>
      <c r="AX1836" s="1" t="s">
        <v>71</v>
      </c>
      <c r="AY1836" s="1" t="s">
        <v>59</v>
      </c>
      <c r="AZ1836" s="1" t="s">
        <v>74</v>
      </c>
      <c r="BH1836" s="1" t="s">
        <v>71</v>
      </c>
    </row>
    <row r="1837" customFormat="false" ht="15" hidden="false" customHeight="false" outlineLevel="0" collapsed="false">
      <c r="A1837" s="1" t="s">
        <v>6270</v>
      </c>
      <c r="B1837" s="1" t="s">
        <v>6271</v>
      </c>
      <c r="C1837" s="1" t="s">
        <v>229</v>
      </c>
      <c r="D1837" s="1" t="s">
        <v>230</v>
      </c>
      <c r="E1837" s="1" t="s">
        <v>65</v>
      </c>
      <c r="F1837" s="1" t="s">
        <v>119</v>
      </c>
      <c r="G1837" s="1" t="s">
        <v>88</v>
      </c>
      <c r="H1837" s="1" t="s">
        <v>255</v>
      </c>
      <c r="K1837" s="1" t="s">
        <v>5548</v>
      </c>
      <c r="L1837" s="1" t="s">
        <v>6272</v>
      </c>
      <c r="M1837" s="1" t="s">
        <v>6273</v>
      </c>
      <c r="N1837" s="1" t="s">
        <v>259</v>
      </c>
      <c r="O1837" s="1" t="s">
        <v>260</v>
      </c>
      <c r="P1837" s="1" t="s">
        <v>3768</v>
      </c>
      <c r="U1837" s="1" t="s">
        <v>6270</v>
      </c>
      <c r="Z1837" s="1" t="s">
        <v>71</v>
      </c>
      <c r="AE1837" s="1" t="s">
        <v>6269</v>
      </c>
      <c r="AH1837" s="1" t="s">
        <v>73</v>
      </c>
      <c r="AK1837" s="1" t="s">
        <v>71</v>
      </c>
      <c r="AM1837" s="1" t="s">
        <v>71</v>
      </c>
      <c r="AN1837" s="1" t="s">
        <v>71</v>
      </c>
      <c r="AS1837" s="1" t="s">
        <v>71</v>
      </c>
      <c r="AX1837" s="1" t="s">
        <v>71</v>
      </c>
      <c r="AY1837" s="1" t="s">
        <v>59</v>
      </c>
      <c r="AZ1837" s="1" t="s">
        <v>74</v>
      </c>
      <c r="BH1837" s="1" t="s">
        <v>71</v>
      </c>
    </row>
    <row r="1838" customFormat="false" ht="15" hidden="false" customHeight="false" outlineLevel="0" collapsed="false">
      <c r="A1838" s="1" t="s">
        <v>6274</v>
      </c>
      <c r="B1838" s="1" t="s">
        <v>6275</v>
      </c>
      <c r="C1838" s="1" t="s">
        <v>61</v>
      </c>
      <c r="D1838" s="1" t="s">
        <v>62</v>
      </c>
      <c r="E1838" s="1" t="s">
        <v>61</v>
      </c>
      <c r="F1838" s="1" t="s">
        <v>101</v>
      </c>
      <c r="G1838" s="1" t="s">
        <v>93</v>
      </c>
      <c r="H1838" s="1" t="s">
        <v>64</v>
      </c>
      <c r="K1838" s="1" t="s">
        <v>290</v>
      </c>
      <c r="L1838" s="1" t="s">
        <v>291</v>
      </c>
      <c r="M1838" s="1" t="s">
        <v>104</v>
      </c>
      <c r="N1838" s="1" t="s">
        <v>105</v>
      </c>
      <c r="O1838" s="1" t="s">
        <v>106</v>
      </c>
      <c r="P1838" s="1" t="s">
        <v>3539</v>
      </c>
      <c r="U1838" s="1" t="s">
        <v>6274</v>
      </c>
      <c r="Z1838" s="1" t="s">
        <v>71</v>
      </c>
      <c r="AE1838" s="1" t="s">
        <v>6276</v>
      </c>
      <c r="AH1838" s="1" t="s">
        <v>73</v>
      </c>
      <c r="AK1838" s="1" t="s">
        <v>71</v>
      </c>
      <c r="AM1838" s="1" t="s">
        <v>71</v>
      </c>
      <c r="AN1838" s="1" t="s">
        <v>71</v>
      </c>
      <c r="AS1838" s="1" t="s">
        <v>71</v>
      </c>
      <c r="AX1838" s="1" t="s">
        <v>71</v>
      </c>
      <c r="AY1838" s="1" t="s">
        <v>59</v>
      </c>
      <c r="AZ1838" s="1" t="s">
        <v>74</v>
      </c>
      <c r="BH1838" s="1" t="s">
        <v>71</v>
      </c>
    </row>
    <row r="1839" customFormat="false" ht="15" hidden="false" customHeight="false" outlineLevel="0" collapsed="false">
      <c r="A1839" s="1" t="s">
        <v>6277</v>
      </c>
      <c r="B1839" s="1" t="s">
        <v>6278</v>
      </c>
      <c r="C1839" s="1" t="s">
        <v>61</v>
      </c>
      <c r="D1839" s="1" t="s">
        <v>62</v>
      </c>
      <c r="E1839" s="1" t="s">
        <v>61</v>
      </c>
      <c r="F1839" s="1" t="s">
        <v>101</v>
      </c>
      <c r="G1839" s="1" t="s">
        <v>93</v>
      </c>
      <c r="H1839" s="1" t="s">
        <v>64</v>
      </c>
      <c r="K1839" s="1" t="s">
        <v>251</v>
      </c>
      <c r="L1839" s="1" t="s">
        <v>1084</v>
      </c>
      <c r="M1839" s="1" t="s">
        <v>104</v>
      </c>
      <c r="N1839" s="1" t="s">
        <v>105</v>
      </c>
      <c r="O1839" s="1" t="s">
        <v>106</v>
      </c>
      <c r="P1839" s="1" t="s">
        <v>3539</v>
      </c>
      <c r="U1839" s="1" t="s">
        <v>6277</v>
      </c>
      <c r="Z1839" s="1" t="s">
        <v>71</v>
      </c>
      <c r="AE1839" s="1" t="s">
        <v>6276</v>
      </c>
      <c r="AH1839" s="1" t="s">
        <v>73</v>
      </c>
      <c r="AK1839" s="1" t="s">
        <v>71</v>
      </c>
      <c r="AM1839" s="1" t="s">
        <v>71</v>
      </c>
      <c r="AN1839" s="1" t="s">
        <v>71</v>
      </c>
      <c r="AS1839" s="1" t="s">
        <v>71</v>
      </c>
      <c r="AX1839" s="1" t="s">
        <v>71</v>
      </c>
      <c r="AY1839" s="1" t="s">
        <v>59</v>
      </c>
      <c r="AZ1839" s="1" t="s">
        <v>74</v>
      </c>
      <c r="BH1839" s="1" t="s">
        <v>71</v>
      </c>
    </row>
    <row r="1840" customFormat="false" ht="15" hidden="false" customHeight="false" outlineLevel="0" collapsed="false">
      <c r="A1840" s="1" t="s">
        <v>6279</v>
      </c>
      <c r="B1840" s="1" t="s">
        <v>6280</v>
      </c>
      <c r="C1840" s="1" t="s">
        <v>182</v>
      </c>
      <c r="D1840" s="1" t="s">
        <v>239</v>
      </c>
      <c r="E1840" s="1" t="s">
        <v>61</v>
      </c>
      <c r="F1840" s="1" t="s">
        <v>101</v>
      </c>
      <c r="G1840" s="1" t="s">
        <v>275</v>
      </c>
      <c r="H1840" s="1" t="s">
        <v>276</v>
      </c>
      <c r="K1840" s="1" t="s">
        <v>256</v>
      </c>
      <c r="L1840" s="1" t="s">
        <v>6281</v>
      </c>
      <c r="M1840" s="1" t="s">
        <v>258</v>
      </c>
      <c r="N1840" s="1" t="s">
        <v>1365</v>
      </c>
      <c r="O1840" s="1" t="s">
        <v>1366</v>
      </c>
      <c r="P1840" s="1" t="s">
        <v>4820</v>
      </c>
      <c r="U1840" s="1" t="s">
        <v>245</v>
      </c>
      <c r="Z1840" s="1" t="s">
        <v>71</v>
      </c>
      <c r="AE1840" s="1" t="s">
        <v>6282</v>
      </c>
      <c r="AH1840" s="1" t="s">
        <v>73</v>
      </c>
      <c r="AK1840" s="1" t="s">
        <v>71</v>
      </c>
      <c r="AM1840" s="1" t="s">
        <v>71</v>
      </c>
      <c r="AN1840" s="1" t="s">
        <v>71</v>
      </c>
      <c r="AS1840" s="1" t="s">
        <v>71</v>
      </c>
      <c r="AX1840" s="1" t="s">
        <v>71</v>
      </c>
      <c r="AY1840" s="1" t="s">
        <v>59</v>
      </c>
      <c r="AZ1840" s="1" t="s">
        <v>74</v>
      </c>
      <c r="BH1840" s="1" t="s">
        <v>71</v>
      </c>
    </row>
    <row r="1841" customFormat="false" ht="15" hidden="false" customHeight="false" outlineLevel="0" collapsed="false">
      <c r="A1841" s="1" t="s">
        <v>6283</v>
      </c>
      <c r="B1841" s="1" t="s">
        <v>6284</v>
      </c>
      <c r="C1841" s="1" t="s">
        <v>188</v>
      </c>
      <c r="D1841" s="1" t="s">
        <v>189</v>
      </c>
      <c r="E1841" s="1" t="s">
        <v>61</v>
      </c>
      <c r="F1841" s="1" t="s">
        <v>101</v>
      </c>
      <c r="G1841" s="1" t="s">
        <v>93</v>
      </c>
      <c r="H1841" s="1" t="s">
        <v>64</v>
      </c>
      <c r="K1841" s="1" t="s">
        <v>666</v>
      </c>
      <c r="L1841" s="1" t="s">
        <v>6285</v>
      </c>
      <c r="M1841" s="1" t="s">
        <v>104</v>
      </c>
      <c r="N1841" s="1" t="s">
        <v>203</v>
      </c>
      <c r="O1841" s="1" t="s">
        <v>204</v>
      </c>
      <c r="P1841" s="1" t="s">
        <v>3536</v>
      </c>
      <c r="U1841" s="1" t="s">
        <v>6283</v>
      </c>
      <c r="Z1841" s="1" t="s">
        <v>71</v>
      </c>
      <c r="AE1841" s="1" t="s">
        <v>6286</v>
      </c>
      <c r="AH1841" s="1" t="s">
        <v>73</v>
      </c>
      <c r="AK1841" s="1" t="s">
        <v>71</v>
      </c>
      <c r="AM1841" s="1" t="s">
        <v>71</v>
      </c>
      <c r="AN1841" s="1" t="s">
        <v>71</v>
      </c>
      <c r="AS1841" s="1" t="s">
        <v>71</v>
      </c>
      <c r="AX1841" s="1" t="s">
        <v>71</v>
      </c>
      <c r="AY1841" s="1" t="s">
        <v>59</v>
      </c>
      <c r="AZ1841" s="1" t="s">
        <v>74</v>
      </c>
      <c r="BH1841" s="1" t="s">
        <v>71</v>
      </c>
    </row>
    <row r="1842" customFormat="false" ht="15" hidden="false" customHeight="false" outlineLevel="0" collapsed="false">
      <c r="A1842" s="1" t="s">
        <v>6287</v>
      </c>
      <c r="B1842" s="1" t="s">
        <v>6288</v>
      </c>
      <c r="C1842" s="1" t="s">
        <v>273</v>
      </c>
      <c r="D1842" s="1" t="s">
        <v>274</v>
      </c>
      <c r="E1842" s="1" t="s">
        <v>61</v>
      </c>
      <c r="F1842" s="1" t="s">
        <v>101</v>
      </c>
      <c r="G1842" s="1" t="s">
        <v>275</v>
      </c>
      <c r="H1842" s="1" t="s">
        <v>276</v>
      </c>
      <c r="K1842" s="1" t="s">
        <v>526</v>
      </c>
      <c r="L1842" s="1" t="s">
        <v>5362</v>
      </c>
      <c r="M1842" s="1" t="s">
        <v>1364</v>
      </c>
      <c r="N1842" s="1" t="s">
        <v>5189</v>
      </c>
      <c r="O1842" s="1" t="s">
        <v>5190</v>
      </c>
      <c r="P1842" s="1" t="s">
        <v>5191</v>
      </c>
      <c r="U1842" s="1" t="s">
        <v>6287</v>
      </c>
      <c r="Z1842" s="1" t="s">
        <v>71</v>
      </c>
      <c r="AE1842" s="1" t="s">
        <v>6289</v>
      </c>
      <c r="AH1842" s="1" t="s">
        <v>73</v>
      </c>
      <c r="AK1842" s="1" t="s">
        <v>71</v>
      </c>
      <c r="AM1842" s="1" t="s">
        <v>71</v>
      </c>
      <c r="AN1842" s="1" t="s">
        <v>71</v>
      </c>
      <c r="AS1842" s="1" t="s">
        <v>71</v>
      </c>
      <c r="AX1842" s="1" t="s">
        <v>71</v>
      </c>
      <c r="AY1842" s="1" t="s">
        <v>59</v>
      </c>
      <c r="AZ1842" s="1" t="s">
        <v>74</v>
      </c>
      <c r="BH1842" s="1" t="s">
        <v>71</v>
      </c>
    </row>
    <row r="1843" customFormat="false" ht="15" hidden="false" customHeight="false" outlineLevel="0" collapsed="false">
      <c r="A1843" s="1" t="s">
        <v>6290</v>
      </c>
      <c r="B1843" s="1" t="s">
        <v>6291</v>
      </c>
      <c r="C1843" s="1" t="s">
        <v>5543</v>
      </c>
      <c r="D1843" s="1" t="s">
        <v>5544</v>
      </c>
      <c r="E1843" s="1" t="s">
        <v>61</v>
      </c>
      <c r="F1843" s="1" t="s">
        <v>101</v>
      </c>
      <c r="G1843" s="1" t="s">
        <v>93</v>
      </c>
      <c r="H1843" s="1" t="s">
        <v>64</v>
      </c>
      <c r="K1843" s="1" t="s">
        <v>5548</v>
      </c>
      <c r="L1843" s="1" t="s">
        <v>5549</v>
      </c>
      <c r="M1843" s="1" t="s">
        <v>258</v>
      </c>
      <c r="N1843" s="1" t="s">
        <v>105</v>
      </c>
      <c r="O1843" s="1" t="s">
        <v>106</v>
      </c>
      <c r="P1843" s="1" t="s">
        <v>3539</v>
      </c>
      <c r="U1843" s="1" t="s">
        <v>6290</v>
      </c>
      <c r="Z1843" s="1" t="s">
        <v>71</v>
      </c>
      <c r="AE1843" s="1" t="s">
        <v>6289</v>
      </c>
      <c r="AH1843" s="1" t="s">
        <v>73</v>
      </c>
      <c r="AK1843" s="1" t="s">
        <v>71</v>
      </c>
      <c r="AM1843" s="1" t="s">
        <v>71</v>
      </c>
      <c r="AN1843" s="1" t="s">
        <v>71</v>
      </c>
      <c r="AS1843" s="1" t="s">
        <v>71</v>
      </c>
      <c r="AX1843" s="1" t="s">
        <v>71</v>
      </c>
      <c r="AY1843" s="1" t="s">
        <v>59</v>
      </c>
      <c r="AZ1843" s="1" t="s">
        <v>74</v>
      </c>
      <c r="BH1843" s="1" t="s">
        <v>71</v>
      </c>
    </row>
    <row r="1844" customFormat="false" ht="15" hidden="false" customHeight="false" outlineLevel="0" collapsed="false">
      <c r="A1844" s="1" t="s">
        <v>6292</v>
      </c>
      <c r="B1844" s="1" t="s">
        <v>6293</v>
      </c>
      <c r="C1844" s="1" t="s">
        <v>136</v>
      </c>
      <c r="D1844" s="1" t="s">
        <v>208</v>
      </c>
      <c r="E1844" s="1" t="s">
        <v>61</v>
      </c>
      <c r="F1844" s="1" t="s">
        <v>101</v>
      </c>
      <c r="G1844" s="1" t="s">
        <v>93</v>
      </c>
      <c r="H1844" s="1" t="s">
        <v>64</v>
      </c>
      <c r="K1844" s="1" t="s">
        <v>213</v>
      </c>
      <c r="L1844" s="1" t="s">
        <v>700</v>
      </c>
      <c r="M1844" s="1" t="s">
        <v>104</v>
      </c>
      <c r="N1844" s="1" t="s">
        <v>701</v>
      </c>
      <c r="O1844" s="1" t="s">
        <v>702</v>
      </c>
      <c r="P1844" s="1" t="s">
        <v>4869</v>
      </c>
      <c r="U1844" s="1" t="s">
        <v>6292</v>
      </c>
      <c r="Z1844" s="1" t="s">
        <v>71</v>
      </c>
      <c r="AE1844" s="1" t="s">
        <v>6294</v>
      </c>
      <c r="AH1844" s="1" t="s">
        <v>73</v>
      </c>
      <c r="AK1844" s="1" t="s">
        <v>71</v>
      </c>
      <c r="AM1844" s="1" t="s">
        <v>71</v>
      </c>
      <c r="AN1844" s="1" t="s">
        <v>71</v>
      </c>
      <c r="AS1844" s="1" t="s">
        <v>71</v>
      </c>
      <c r="AX1844" s="1" t="s">
        <v>71</v>
      </c>
      <c r="AY1844" s="1" t="s">
        <v>59</v>
      </c>
      <c r="AZ1844" s="1" t="s">
        <v>74</v>
      </c>
      <c r="BH1844" s="1" t="s">
        <v>71</v>
      </c>
    </row>
    <row r="1845" customFormat="false" ht="15" hidden="false" customHeight="false" outlineLevel="0" collapsed="false">
      <c r="A1845" s="1" t="s">
        <v>6295</v>
      </c>
      <c r="B1845" s="1" t="s">
        <v>6296</v>
      </c>
      <c r="C1845" s="1" t="s">
        <v>1707</v>
      </c>
      <c r="D1845" s="1" t="s">
        <v>6297</v>
      </c>
      <c r="E1845" s="1" t="s">
        <v>59</v>
      </c>
      <c r="F1845" s="1" t="s">
        <v>63</v>
      </c>
      <c r="G1845" s="1" t="s">
        <v>59</v>
      </c>
      <c r="H1845" s="1" t="s">
        <v>64</v>
      </c>
      <c r="K1845" s="1" t="s">
        <v>65</v>
      </c>
      <c r="L1845" s="1" t="s">
        <v>66</v>
      </c>
      <c r="M1845" s="1" t="s">
        <v>1546</v>
      </c>
      <c r="N1845" s="1" t="s">
        <v>6298</v>
      </c>
      <c r="O1845" s="1" t="s">
        <v>6299</v>
      </c>
      <c r="P1845" s="1" t="s">
        <v>6300</v>
      </c>
      <c r="U1845" s="1" t="s">
        <v>6295</v>
      </c>
      <c r="Z1845" s="1" t="s">
        <v>71</v>
      </c>
      <c r="AE1845" s="1" t="s">
        <v>6301</v>
      </c>
      <c r="AH1845" s="1" t="s">
        <v>73</v>
      </c>
      <c r="AK1845" s="1" t="s">
        <v>71</v>
      </c>
      <c r="AM1845" s="1" t="s">
        <v>71</v>
      </c>
      <c r="AN1845" s="1" t="s">
        <v>71</v>
      </c>
      <c r="AS1845" s="1" t="s">
        <v>71</v>
      </c>
      <c r="AX1845" s="1" t="s">
        <v>71</v>
      </c>
      <c r="AY1845" s="1" t="s">
        <v>59</v>
      </c>
      <c r="AZ1845" s="1" t="s">
        <v>74</v>
      </c>
      <c r="BH1845" s="1" t="s">
        <v>71</v>
      </c>
    </row>
    <row r="1846" customFormat="false" ht="15" hidden="false" customHeight="false" outlineLevel="0" collapsed="false">
      <c r="A1846" s="1" t="s">
        <v>6302</v>
      </c>
      <c r="B1846" s="1" t="s">
        <v>6303</v>
      </c>
      <c r="C1846" s="1" t="s">
        <v>4818</v>
      </c>
      <c r="D1846" s="1" t="s">
        <v>4819</v>
      </c>
      <c r="E1846" s="1" t="s">
        <v>61</v>
      </c>
      <c r="F1846" s="1" t="s">
        <v>101</v>
      </c>
      <c r="G1846" s="1" t="s">
        <v>275</v>
      </c>
      <c r="H1846" s="1" t="s">
        <v>276</v>
      </c>
      <c r="K1846" s="1" t="s">
        <v>136</v>
      </c>
      <c r="L1846" s="1" t="s">
        <v>5602</v>
      </c>
      <c r="M1846" s="1" t="s">
        <v>296</v>
      </c>
      <c r="N1846" s="1" t="s">
        <v>279</v>
      </c>
      <c r="O1846" s="1" t="s">
        <v>280</v>
      </c>
      <c r="P1846" s="1" t="s">
        <v>4895</v>
      </c>
      <c r="U1846" s="1" t="s">
        <v>6302</v>
      </c>
      <c r="Z1846" s="1" t="s">
        <v>71</v>
      </c>
      <c r="AE1846" s="1" t="s">
        <v>6304</v>
      </c>
      <c r="AH1846" s="1" t="s">
        <v>73</v>
      </c>
      <c r="AK1846" s="1" t="s">
        <v>71</v>
      </c>
      <c r="AM1846" s="1" t="s">
        <v>71</v>
      </c>
      <c r="AN1846" s="1" t="s">
        <v>71</v>
      </c>
      <c r="AS1846" s="1" t="s">
        <v>71</v>
      </c>
      <c r="AX1846" s="1" t="s">
        <v>71</v>
      </c>
      <c r="AY1846" s="1" t="s">
        <v>59</v>
      </c>
      <c r="AZ1846" s="1" t="s">
        <v>74</v>
      </c>
      <c r="BH1846" s="1" t="s">
        <v>71</v>
      </c>
    </row>
    <row r="1847" customFormat="false" ht="15" hidden="false" customHeight="false" outlineLevel="0" collapsed="false">
      <c r="A1847" s="1" t="s">
        <v>6305</v>
      </c>
      <c r="B1847" s="1" t="s">
        <v>6306</v>
      </c>
      <c r="C1847" s="1" t="s">
        <v>706</v>
      </c>
      <c r="D1847" s="1" t="s">
        <v>707</v>
      </c>
      <c r="E1847" s="1" t="s">
        <v>82</v>
      </c>
      <c r="F1847" s="1" t="s">
        <v>391</v>
      </c>
      <c r="G1847" s="1" t="s">
        <v>213</v>
      </c>
      <c r="H1847" s="1" t="s">
        <v>477</v>
      </c>
      <c r="K1847" s="1" t="s">
        <v>478</v>
      </c>
      <c r="L1847" s="1" t="s">
        <v>479</v>
      </c>
      <c r="M1847" s="1" t="s">
        <v>496</v>
      </c>
      <c r="N1847" s="1" t="s">
        <v>1923</v>
      </c>
      <c r="O1847" s="1" t="s">
        <v>1924</v>
      </c>
      <c r="P1847" s="1" t="s">
        <v>3694</v>
      </c>
      <c r="Z1847" s="1" t="s">
        <v>71</v>
      </c>
      <c r="AE1847" s="1" t="s">
        <v>6307</v>
      </c>
      <c r="AH1847" s="1" t="s">
        <v>73</v>
      </c>
      <c r="AK1847" s="1" t="s">
        <v>71</v>
      </c>
      <c r="AM1847" s="1" t="s">
        <v>71</v>
      </c>
      <c r="AN1847" s="1" t="s">
        <v>71</v>
      </c>
      <c r="AS1847" s="1" t="s">
        <v>71</v>
      </c>
      <c r="AX1847" s="1" t="s">
        <v>71</v>
      </c>
      <c r="BH1847" s="1" t="s">
        <v>71</v>
      </c>
    </row>
    <row r="1848" customFormat="false" ht="15" hidden="false" customHeight="false" outlineLevel="0" collapsed="false">
      <c r="A1848" s="1" t="s">
        <v>6308</v>
      </c>
      <c r="B1848" s="1" t="s">
        <v>6309</v>
      </c>
      <c r="C1848" s="1" t="s">
        <v>1714</v>
      </c>
      <c r="D1848" s="1" t="s">
        <v>6310</v>
      </c>
      <c r="E1848" s="1" t="s">
        <v>82</v>
      </c>
      <c r="F1848" s="1" t="s">
        <v>391</v>
      </c>
      <c r="G1848" s="1" t="s">
        <v>213</v>
      </c>
      <c r="H1848" s="1" t="s">
        <v>477</v>
      </c>
      <c r="K1848" s="1" t="s">
        <v>478</v>
      </c>
      <c r="L1848" s="1" t="s">
        <v>479</v>
      </c>
      <c r="M1848" s="1" t="s">
        <v>496</v>
      </c>
      <c r="N1848" s="1" t="s">
        <v>2248</v>
      </c>
      <c r="O1848" s="1" t="s">
        <v>400</v>
      </c>
      <c r="P1848" s="1" t="s">
        <v>6311</v>
      </c>
      <c r="Z1848" s="1" t="s">
        <v>71</v>
      </c>
      <c r="AE1848" s="1" t="s">
        <v>6307</v>
      </c>
      <c r="AH1848" s="1" t="s">
        <v>73</v>
      </c>
      <c r="AK1848" s="1" t="s">
        <v>71</v>
      </c>
      <c r="AM1848" s="1" t="s">
        <v>71</v>
      </c>
      <c r="AN1848" s="1" t="s">
        <v>71</v>
      </c>
      <c r="AS1848" s="1" t="s">
        <v>71</v>
      </c>
      <c r="AX1848" s="1" t="s">
        <v>71</v>
      </c>
      <c r="BH1848" s="1" t="s">
        <v>71</v>
      </c>
    </row>
    <row r="1849" customFormat="false" ht="15" hidden="false" customHeight="false" outlineLevel="0" collapsed="false">
      <c r="A1849" s="1" t="s">
        <v>6312</v>
      </c>
      <c r="B1849" s="1" t="s">
        <v>6313</v>
      </c>
      <c r="C1849" s="1" t="s">
        <v>1714</v>
      </c>
      <c r="D1849" s="1" t="s">
        <v>6310</v>
      </c>
      <c r="E1849" s="1" t="s">
        <v>82</v>
      </c>
      <c r="F1849" s="1" t="s">
        <v>391</v>
      </c>
      <c r="G1849" s="1" t="s">
        <v>213</v>
      </c>
      <c r="H1849" s="1" t="s">
        <v>477</v>
      </c>
      <c r="K1849" s="1" t="s">
        <v>478</v>
      </c>
      <c r="L1849" s="1" t="s">
        <v>479</v>
      </c>
      <c r="M1849" s="1" t="s">
        <v>496</v>
      </c>
      <c r="N1849" s="1" t="s">
        <v>3429</v>
      </c>
      <c r="O1849" s="1" t="s">
        <v>447</v>
      </c>
      <c r="P1849" s="1" t="s">
        <v>3684</v>
      </c>
      <c r="Z1849" s="1" t="s">
        <v>71</v>
      </c>
      <c r="AE1849" s="1" t="s">
        <v>6307</v>
      </c>
      <c r="AH1849" s="1" t="s">
        <v>73</v>
      </c>
      <c r="AK1849" s="1" t="s">
        <v>71</v>
      </c>
      <c r="AM1849" s="1" t="s">
        <v>71</v>
      </c>
      <c r="AN1849" s="1" t="s">
        <v>71</v>
      </c>
      <c r="AS1849" s="1" t="s">
        <v>71</v>
      </c>
      <c r="AX1849" s="1" t="s">
        <v>71</v>
      </c>
      <c r="BH1849" s="1" t="s">
        <v>71</v>
      </c>
    </row>
    <row r="1850" customFormat="false" ht="15" hidden="false" customHeight="false" outlineLevel="0" collapsed="false">
      <c r="A1850" s="1" t="s">
        <v>6314</v>
      </c>
      <c r="B1850" s="1" t="s">
        <v>6315</v>
      </c>
      <c r="C1850" s="1" t="s">
        <v>1714</v>
      </c>
      <c r="D1850" s="1" t="s">
        <v>6310</v>
      </c>
      <c r="E1850" s="1" t="s">
        <v>82</v>
      </c>
      <c r="F1850" s="1" t="s">
        <v>391</v>
      </c>
      <c r="G1850" s="1" t="s">
        <v>213</v>
      </c>
      <c r="H1850" s="1" t="s">
        <v>477</v>
      </c>
      <c r="K1850" s="1" t="s">
        <v>478</v>
      </c>
      <c r="L1850" s="1" t="s">
        <v>479</v>
      </c>
      <c r="M1850" s="1" t="s">
        <v>496</v>
      </c>
      <c r="N1850" s="1" t="s">
        <v>6316</v>
      </c>
      <c r="O1850" s="1" t="s">
        <v>6317</v>
      </c>
      <c r="P1850" s="1" t="s">
        <v>6318</v>
      </c>
      <c r="Z1850" s="1" t="s">
        <v>71</v>
      </c>
      <c r="AE1850" s="1" t="s">
        <v>6307</v>
      </c>
      <c r="AH1850" s="1" t="s">
        <v>73</v>
      </c>
      <c r="AK1850" s="1" t="s">
        <v>71</v>
      </c>
      <c r="AM1850" s="1" t="s">
        <v>71</v>
      </c>
      <c r="AN1850" s="1" t="s">
        <v>71</v>
      </c>
      <c r="AS1850" s="1" t="s">
        <v>71</v>
      </c>
      <c r="AX1850" s="1" t="s">
        <v>71</v>
      </c>
      <c r="BH1850" s="1" t="s">
        <v>71</v>
      </c>
    </row>
    <row r="1851" customFormat="false" ht="15" hidden="false" customHeight="false" outlineLevel="0" collapsed="false">
      <c r="A1851" s="1" t="s">
        <v>6319</v>
      </c>
      <c r="B1851" s="1" t="s">
        <v>6320</v>
      </c>
      <c r="C1851" s="1" t="s">
        <v>343</v>
      </c>
      <c r="D1851" s="1" t="s">
        <v>344</v>
      </c>
      <c r="E1851" s="1" t="s">
        <v>65</v>
      </c>
      <c r="F1851" s="1" t="s">
        <v>119</v>
      </c>
      <c r="G1851" s="1" t="s">
        <v>65</v>
      </c>
      <c r="H1851" s="1" t="s">
        <v>64</v>
      </c>
      <c r="K1851" s="1" t="s">
        <v>108</v>
      </c>
      <c r="L1851" s="1" t="s">
        <v>200</v>
      </c>
      <c r="M1851" s="1" t="s">
        <v>592</v>
      </c>
      <c r="N1851" s="1" t="s">
        <v>123</v>
      </c>
      <c r="O1851" s="1" t="s">
        <v>124</v>
      </c>
      <c r="P1851" s="1" t="s">
        <v>4161</v>
      </c>
      <c r="U1851" s="1" t="s">
        <v>6319</v>
      </c>
      <c r="Z1851" s="1" t="s">
        <v>71</v>
      </c>
      <c r="AE1851" s="1" t="s">
        <v>6321</v>
      </c>
      <c r="AH1851" s="1" t="s">
        <v>73</v>
      </c>
      <c r="AK1851" s="1" t="s">
        <v>71</v>
      </c>
      <c r="AM1851" s="1" t="s">
        <v>71</v>
      </c>
      <c r="AN1851" s="1" t="s">
        <v>71</v>
      </c>
      <c r="AS1851" s="1" t="s">
        <v>71</v>
      </c>
      <c r="AX1851" s="1" t="s">
        <v>71</v>
      </c>
      <c r="AY1851" s="1" t="s">
        <v>59</v>
      </c>
      <c r="AZ1851" s="1" t="s">
        <v>74</v>
      </c>
      <c r="BH1851" s="1" t="s">
        <v>71</v>
      </c>
    </row>
    <row r="1852" customFormat="false" ht="15" hidden="false" customHeight="false" outlineLevel="0" collapsed="false">
      <c r="A1852" s="1" t="s">
        <v>6322</v>
      </c>
      <c r="B1852" s="1" t="s">
        <v>6323</v>
      </c>
      <c r="C1852" s="1" t="s">
        <v>343</v>
      </c>
      <c r="D1852" s="1" t="s">
        <v>344</v>
      </c>
      <c r="E1852" s="1" t="s">
        <v>65</v>
      </c>
      <c r="F1852" s="1" t="s">
        <v>119</v>
      </c>
      <c r="G1852" s="1" t="s">
        <v>65</v>
      </c>
      <c r="H1852" s="1" t="s">
        <v>64</v>
      </c>
      <c r="K1852" s="1" t="s">
        <v>170</v>
      </c>
      <c r="L1852" s="1" t="s">
        <v>171</v>
      </c>
      <c r="M1852" s="1" t="s">
        <v>592</v>
      </c>
      <c r="N1852" s="1" t="s">
        <v>123</v>
      </c>
      <c r="O1852" s="1" t="s">
        <v>124</v>
      </c>
      <c r="P1852" s="1" t="s">
        <v>4161</v>
      </c>
      <c r="U1852" s="1" t="s">
        <v>6322</v>
      </c>
      <c r="Z1852" s="1" t="s">
        <v>71</v>
      </c>
      <c r="AE1852" s="1" t="s">
        <v>6321</v>
      </c>
      <c r="AH1852" s="1" t="s">
        <v>73</v>
      </c>
      <c r="AK1852" s="1" t="s">
        <v>71</v>
      </c>
      <c r="AM1852" s="1" t="s">
        <v>71</v>
      </c>
      <c r="AN1852" s="1" t="s">
        <v>71</v>
      </c>
      <c r="AS1852" s="1" t="s">
        <v>71</v>
      </c>
      <c r="AX1852" s="1" t="s">
        <v>71</v>
      </c>
      <c r="AY1852" s="1" t="s">
        <v>59</v>
      </c>
      <c r="AZ1852" s="1" t="s">
        <v>74</v>
      </c>
      <c r="BH1852" s="1" t="s">
        <v>71</v>
      </c>
    </row>
    <row r="1853" customFormat="false" ht="15" hidden="false" customHeight="false" outlineLevel="0" collapsed="false">
      <c r="A1853" s="1" t="s">
        <v>6324</v>
      </c>
      <c r="B1853" s="1" t="s">
        <v>6325</v>
      </c>
      <c r="C1853" s="1" t="s">
        <v>99</v>
      </c>
      <c r="D1853" s="1" t="s">
        <v>100</v>
      </c>
      <c r="E1853" s="1" t="s">
        <v>61</v>
      </c>
      <c r="F1853" s="1" t="s">
        <v>101</v>
      </c>
      <c r="G1853" s="1" t="s">
        <v>93</v>
      </c>
      <c r="H1853" s="1" t="s">
        <v>64</v>
      </c>
      <c r="K1853" s="1" t="s">
        <v>150</v>
      </c>
      <c r="L1853" s="1" t="s">
        <v>4630</v>
      </c>
      <c r="M1853" s="1" t="s">
        <v>104</v>
      </c>
      <c r="N1853" s="1" t="s">
        <v>203</v>
      </c>
      <c r="O1853" s="1" t="s">
        <v>204</v>
      </c>
      <c r="P1853" s="1" t="s">
        <v>3536</v>
      </c>
      <c r="U1853" s="1" t="s">
        <v>6324</v>
      </c>
      <c r="Z1853" s="1" t="s">
        <v>71</v>
      </c>
      <c r="AE1853" s="1" t="s">
        <v>6321</v>
      </c>
      <c r="AH1853" s="1" t="s">
        <v>73</v>
      </c>
      <c r="AK1853" s="1" t="s">
        <v>71</v>
      </c>
      <c r="AM1853" s="1" t="s">
        <v>71</v>
      </c>
      <c r="AN1853" s="1" t="s">
        <v>71</v>
      </c>
      <c r="AS1853" s="1" t="s">
        <v>71</v>
      </c>
      <c r="AX1853" s="1" t="s">
        <v>71</v>
      </c>
      <c r="AY1853" s="1" t="s">
        <v>59</v>
      </c>
      <c r="AZ1853" s="1" t="s">
        <v>74</v>
      </c>
      <c r="BH1853" s="1" t="s">
        <v>71</v>
      </c>
    </row>
    <row r="1854" customFormat="false" ht="15" hidden="false" customHeight="false" outlineLevel="0" collapsed="false">
      <c r="A1854" s="1" t="s">
        <v>6326</v>
      </c>
      <c r="B1854" s="1" t="s">
        <v>6327</v>
      </c>
      <c r="C1854" s="1" t="s">
        <v>150</v>
      </c>
      <c r="D1854" s="1" t="s">
        <v>405</v>
      </c>
      <c r="E1854" s="1" t="s">
        <v>82</v>
      </c>
      <c r="F1854" s="1" t="s">
        <v>391</v>
      </c>
      <c r="G1854" s="1" t="s">
        <v>97</v>
      </c>
      <c r="H1854" s="1" t="s">
        <v>406</v>
      </c>
      <c r="K1854" s="1" t="s">
        <v>65</v>
      </c>
      <c r="L1854" s="1" t="s">
        <v>860</v>
      </c>
      <c r="M1854" s="1" t="s">
        <v>465</v>
      </c>
      <c r="N1854" s="1" t="s">
        <v>6328</v>
      </c>
      <c r="O1854" s="1" t="s">
        <v>400</v>
      </c>
      <c r="P1854" s="1" t="s">
        <v>6329</v>
      </c>
      <c r="Z1854" s="1" t="s">
        <v>71</v>
      </c>
      <c r="AE1854" s="1" t="s">
        <v>6330</v>
      </c>
      <c r="AH1854" s="1" t="s">
        <v>73</v>
      </c>
      <c r="AK1854" s="1" t="s">
        <v>71</v>
      </c>
      <c r="AM1854" s="1" t="s">
        <v>71</v>
      </c>
      <c r="AN1854" s="1" t="s">
        <v>71</v>
      </c>
      <c r="AS1854" s="1" t="s">
        <v>71</v>
      </c>
      <c r="AX1854" s="1" t="s">
        <v>71</v>
      </c>
      <c r="BH1854" s="1" t="s">
        <v>71</v>
      </c>
    </row>
    <row r="1855" customFormat="false" ht="15" hidden="false" customHeight="false" outlineLevel="0" collapsed="false">
      <c r="A1855" s="1" t="s">
        <v>6331</v>
      </c>
      <c r="B1855" s="1" t="s">
        <v>6332</v>
      </c>
      <c r="C1855" s="1" t="s">
        <v>150</v>
      </c>
      <c r="D1855" s="1" t="s">
        <v>405</v>
      </c>
      <c r="E1855" s="1" t="s">
        <v>82</v>
      </c>
      <c r="F1855" s="1" t="s">
        <v>391</v>
      </c>
      <c r="G1855" s="1" t="s">
        <v>97</v>
      </c>
      <c r="H1855" s="1" t="s">
        <v>406</v>
      </c>
      <c r="K1855" s="1" t="s">
        <v>65</v>
      </c>
      <c r="L1855" s="1" t="s">
        <v>860</v>
      </c>
      <c r="M1855" s="1" t="s">
        <v>465</v>
      </c>
      <c r="N1855" s="1" t="s">
        <v>409</v>
      </c>
      <c r="O1855" s="1" t="s">
        <v>410</v>
      </c>
      <c r="P1855" s="1" t="s">
        <v>4843</v>
      </c>
      <c r="Z1855" s="1" t="s">
        <v>71</v>
      </c>
      <c r="AE1855" s="1" t="s">
        <v>6330</v>
      </c>
      <c r="AH1855" s="1" t="s">
        <v>73</v>
      </c>
      <c r="AK1855" s="1" t="s">
        <v>71</v>
      </c>
      <c r="AM1855" s="1" t="s">
        <v>71</v>
      </c>
      <c r="AN1855" s="1" t="s">
        <v>71</v>
      </c>
      <c r="AS1855" s="1" t="s">
        <v>71</v>
      </c>
      <c r="AX1855" s="1" t="s">
        <v>71</v>
      </c>
      <c r="BH1855" s="1" t="s">
        <v>71</v>
      </c>
    </row>
    <row r="1856" customFormat="false" ht="15" hidden="false" customHeight="false" outlineLevel="0" collapsed="false">
      <c r="A1856" s="1" t="s">
        <v>6333</v>
      </c>
      <c r="B1856" s="1" t="s">
        <v>6334</v>
      </c>
      <c r="C1856" s="1" t="s">
        <v>1158</v>
      </c>
      <c r="D1856" s="1" t="s">
        <v>4456</v>
      </c>
      <c r="E1856" s="1" t="s">
        <v>82</v>
      </c>
      <c r="F1856" s="1" t="s">
        <v>391</v>
      </c>
      <c r="G1856" s="1" t="s">
        <v>213</v>
      </c>
      <c r="H1856" s="1" t="s">
        <v>477</v>
      </c>
      <c r="K1856" s="1" t="s">
        <v>478</v>
      </c>
      <c r="L1856" s="1" t="s">
        <v>479</v>
      </c>
      <c r="M1856" s="1" t="s">
        <v>496</v>
      </c>
      <c r="N1856" s="1" t="s">
        <v>6335</v>
      </c>
      <c r="O1856" s="1" t="s">
        <v>400</v>
      </c>
      <c r="P1856" s="1" t="s">
        <v>6336</v>
      </c>
      <c r="Z1856" s="1" t="s">
        <v>71</v>
      </c>
      <c r="AE1856" s="1" t="s">
        <v>6337</v>
      </c>
      <c r="AH1856" s="1" t="s">
        <v>73</v>
      </c>
      <c r="AK1856" s="1" t="s">
        <v>71</v>
      </c>
      <c r="AM1856" s="1" t="s">
        <v>71</v>
      </c>
      <c r="AN1856" s="1" t="s">
        <v>71</v>
      </c>
      <c r="AS1856" s="1" t="s">
        <v>71</v>
      </c>
      <c r="AX1856" s="1" t="s">
        <v>71</v>
      </c>
      <c r="BH1856" s="1" t="s">
        <v>71</v>
      </c>
    </row>
    <row r="1857" customFormat="false" ht="15" hidden="false" customHeight="false" outlineLevel="0" collapsed="false">
      <c r="A1857" s="1" t="s">
        <v>6338</v>
      </c>
      <c r="B1857" s="1" t="s">
        <v>6339</v>
      </c>
      <c r="C1857" s="1" t="s">
        <v>1734</v>
      </c>
      <c r="D1857" s="1" t="s">
        <v>6340</v>
      </c>
      <c r="E1857" s="1" t="s">
        <v>61</v>
      </c>
      <c r="F1857" s="1" t="s">
        <v>101</v>
      </c>
      <c r="G1857" s="1" t="s">
        <v>1479</v>
      </c>
      <c r="H1857" s="1" t="s">
        <v>5583</v>
      </c>
      <c r="K1857" s="1" t="s">
        <v>59</v>
      </c>
      <c r="L1857" s="1" t="s">
        <v>6341</v>
      </c>
      <c r="M1857" s="1" t="s">
        <v>242</v>
      </c>
      <c r="N1857" s="1" t="s">
        <v>6342</v>
      </c>
      <c r="O1857" s="1" t="s">
        <v>6343</v>
      </c>
      <c r="P1857" s="1" t="s">
        <v>6344</v>
      </c>
      <c r="U1857" s="1" t="s">
        <v>6338</v>
      </c>
      <c r="Z1857" s="1" t="s">
        <v>71</v>
      </c>
      <c r="AE1857" s="1" t="s">
        <v>6345</v>
      </c>
      <c r="AH1857" s="1" t="s">
        <v>73</v>
      </c>
      <c r="AK1857" s="1" t="s">
        <v>71</v>
      </c>
      <c r="AM1857" s="1" t="s">
        <v>71</v>
      </c>
      <c r="AN1857" s="1" t="s">
        <v>71</v>
      </c>
      <c r="AS1857" s="1" t="s">
        <v>71</v>
      </c>
      <c r="AX1857" s="1" t="s">
        <v>71</v>
      </c>
      <c r="AY1857" s="1" t="s">
        <v>59</v>
      </c>
      <c r="AZ1857" s="1" t="s">
        <v>74</v>
      </c>
      <c r="BH1857" s="1" t="s">
        <v>71</v>
      </c>
    </row>
    <row r="1858" customFormat="false" ht="15" hidden="false" customHeight="false" outlineLevel="0" collapsed="false">
      <c r="A1858" s="1" t="s">
        <v>6346</v>
      </c>
      <c r="B1858" s="1" t="s">
        <v>6347</v>
      </c>
      <c r="C1858" s="1" t="s">
        <v>1734</v>
      </c>
      <c r="D1858" s="1" t="s">
        <v>6340</v>
      </c>
      <c r="E1858" s="1" t="s">
        <v>93</v>
      </c>
      <c r="F1858" s="1" t="s">
        <v>6348</v>
      </c>
      <c r="G1858" s="1" t="s">
        <v>146</v>
      </c>
      <c r="H1858" s="1" t="s">
        <v>6349</v>
      </c>
      <c r="K1858" s="1" t="s">
        <v>59</v>
      </c>
      <c r="L1858" s="1" t="s">
        <v>6350</v>
      </c>
      <c r="M1858" s="1" t="s">
        <v>1589</v>
      </c>
      <c r="N1858" s="1" t="s">
        <v>6351</v>
      </c>
      <c r="O1858" s="1" t="s">
        <v>6352</v>
      </c>
      <c r="P1858" s="1" t="s">
        <v>6353</v>
      </c>
      <c r="U1858" s="1" t="s">
        <v>6346</v>
      </c>
      <c r="Z1858" s="1" t="s">
        <v>71</v>
      </c>
      <c r="AE1858" s="1" t="s">
        <v>6345</v>
      </c>
      <c r="AH1858" s="1" t="s">
        <v>73</v>
      </c>
      <c r="AK1858" s="1" t="s">
        <v>71</v>
      </c>
      <c r="AM1858" s="1" t="s">
        <v>71</v>
      </c>
      <c r="AN1858" s="1" t="s">
        <v>71</v>
      </c>
      <c r="AS1858" s="1" t="s">
        <v>71</v>
      </c>
      <c r="AX1858" s="1" t="s">
        <v>71</v>
      </c>
      <c r="AY1858" s="1" t="s">
        <v>59</v>
      </c>
      <c r="AZ1858" s="1" t="s">
        <v>74</v>
      </c>
      <c r="BH1858" s="1" t="s">
        <v>71</v>
      </c>
    </row>
    <row r="1859" customFormat="false" ht="15" hidden="false" customHeight="false" outlineLevel="0" collapsed="false">
      <c r="A1859" s="1" t="s">
        <v>6354</v>
      </c>
      <c r="B1859" s="1" t="s">
        <v>6355</v>
      </c>
      <c r="C1859" s="1" t="s">
        <v>1734</v>
      </c>
      <c r="D1859" s="1" t="s">
        <v>6340</v>
      </c>
      <c r="E1859" s="1" t="s">
        <v>61</v>
      </c>
      <c r="F1859" s="1" t="s">
        <v>101</v>
      </c>
      <c r="G1859" s="1" t="s">
        <v>1479</v>
      </c>
      <c r="H1859" s="1" t="s">
        <v>5583</v>
      </c>
      <c r="K1859" s="1" t="s">
        <v>61</v>
      </c>
      <c r="L1859" s="1" t="s">
        <v>6356</v>
      </c>
      <c r="M1859" s="1" t="s">
        <v>1589</v>
      </c>
      <c r="N1859" s="1" t="s">
        <v>6357</v>
      </c>
      <c r="O1859" s="1" t="s">
        <v>6358</v>
      </c>
      <c r="P1859" s="1" t="s">
        <v>6359</v>
      </c>
      <c r="U1859" s="1" t="s">
        <v>6354</v>
      </c>
      <c r="Z1859" s="1" t="s">
        <v>71</v>
      </c>
      <c r="AE1859" s="1" t="s">
        <v>6345</v>
      </c>
      <c r="AH1859" s="1" t="s">
        <v>73</v>
      </c>
      <c r="AK1859" s="1" t="s">
        <v>71</v>
      </c>
      <c r="AM1859" s="1" t="s">
        <v>71</v>
      </c>
      <c r="AN1859" s="1" t="s">
        <v>71</v>
      </c>
      <c r="AS1859" s="1" t="s">
        <v>71</v>
      </c>
      <c r="AX1859" s="1" t="s">
        <v>71</v>
      </c>
      <c r="AY1859" s="1" t="s">
        <v>59</v>
      </c>
      <c r="AZ1859" s="1" t="s">
        <v>74</v>
      </c>
      <c r="BH1859" s="1" t="s">
        <v>71</v>
      </c>
    </row>
    <row r="1860" customFormat="false" ht="15" hidden="false" customHeight="false" outlineLevel="0" collapsed="false">
      <c r="A1860" s="1" t="s">
        <v>6360</v>
      </c>
      <c r="B1860" s="1" t="s">
        <v>6361</v>
      </c>
      <c r="C1860" s="1" t="s">
        <v>1734</v>
      </c>
      <c r="D1860" s="1" t="s">
        <v>6340</v>
      </c>
      <c r="E1860" s="1" t="s">
        <v>61</v>
      </c>
      <c r="F1860" s="1" t="s">
        <v>101</v>
      </c>
      <c r="G1860" s="1" t="s">
        <v>1479</v>
      </c>
      <c r="H1860" s="1" t="s">
        <v>5583</v>
      </c>
      <c r="K1860" s="1" t="s">
        <v>93</v>
      </c>
      <c r="L1860" s="1" t="s">
        <v>6362</v>
      </c>
      <c r="M1860" s="1" t="s">
        <v>1589</v>
      </c>
      <c r="N1860" s="1" t="s">
        <v>6363</v>
      </c>
      <c r="O1860" s="1" t="s">
        <v>6364</v>
      </c>
      <c r="P1860" s="1" t="s">
        <v>6365</v>
      </c>
      <c r="U1860" s="1" t="s">
        <v>6360</v>
      </c>
      <c r="Z1860" s="1" t="s">
        <v>71</v>
      </c>
      <c r="AE1860" s="1" t="s">
        <v>6345</v>
      </c>
      <c r="AH1860" s="1" t="s">
        <v>73</v>
      </c>
      <c r="AK1860" s="1" t="s">
        <v>71</v>
      </c>
      <c r="AM1860" s="1" t="s">
        <v>71</v>
      </c>
      <c r="AN1860" s="1" t="s">
        <v>71</v>
      </c>
      <c r="AS1860" s="1" t="s">
        <v>71</v>
      </c>
      <c r="AX1860" s="1" t="s">
        <v>71</v>
      </c>
      <c r="AY1860" s="1" t="s">
        <v>59</v>
      </c>
      <c r="AZ1860" s="1" t="s">
        <v>74</v>
      </c>
      <c r="BH1860" s="1" t="s">
        <v>71</v>
      </c>
    </row>
    <row r="1861" customFormat="false" ht="15" hidden="false" customHeight="false" outlineLevel="0" collapsed="false">
      <c r="A1861" s="1" t="s">
        <v>6366</v>
      </c>
      <c r="B1861" s="1" t="s">
        <v>6367</v>
      </c>
      <c r="C1861" s="1" t="s">
        <v>1734</v>
      </c>
      <c r="D1861" s="1" t="s">
        <v>6340</v>
      </c>
      <c r="E1861" s="1" t="s">
        <v>61</v>
      </c>
      <c r="F1861" s="1" t="s">
        <v>101</v>
      </c>
      <c r="G1861" s="1" t="s">
        <v>1479</v>
      </c>
      <c r="H1861" s="1" t="s">
        <v>5583</v>
      </c>
      <c r="K1861" s="1" t="s">
        <v>82</v>
      </c>
      <c r="L1861" s="1" t="s">
        <v>6368</v>
      </c>
      <c r="M1861" s="1" t="s">
        <v>1589</v>
      </c>
      <c r="N1861" s="1" t="s">
        <v>6357</v>
      </c>
      <c r="O1861" s="1" t="s">
        <v>6358</v>
      </c>
      <c r="P1861" s="1" t="s">
        <v>6359</v>
      </c>
      <c r="U1861" s="1" t="s">
        <v>6366</v>
      </c>
      <c r="Z1861" s="1" t="s">
        <v>71</v>
      </c>
      <c r="AE1861" s="1" t="s">
        <v>6345</v>
      </c>
      <c r="AH1861" s="1" t="s">
        <v>73</v>
      </c>
      <c r="AK1861" s="1" t="s">
        <v>71</v>
      </c>
      <c r="AM1861" s="1" t="s">
        <v>71</v>
      </c>
      <c r="AN1861" s="1" t="s">
        <v>71</v>
      </c>
      <c r="AS1861" s="1" t="s">
        <v>71</v>
      </c>
      <c r="AX1861" s="1" t="s">
        <v>71</v>
      </c>
      <c r="AY1861" s="1" t="s">
        <v>59</v>
      </c>
      <c r="AZ1861" s="1" t="s">
        <v>74</v>
      </c>
      <c r="BH1861" s="1" t="s">
        <v>71</v>
      </c>
    </row>
    <row r="1862" customFormat="false" ht="15" hidden="false" customHeight="false" outlineLevel="0" collapsed="false">
      <c r="A1862" s="1" t="s">
        <v>6369</v>
      </c>
      <c r="B1862" s="1" t="s">
        <v>6370</v>
      </c>
      <c r="C1862" s="1" t="s">
        <v>1734</v>
      </c>
      <c r="D1862" s="1" t="s">
        <v>6340</v>
      </c>
      <c r="E1862" s="1" t="s">
        <v>61</v>
      </c>
      <c r="F1862" s="1" t="s">
        <v>101</v>
      </c>
      <c r="G1862" s="1" t="s">
        <v>1479</v>
      </c>
      <c r="H1862" s="1" t="s">
        <v>5583</v>
      </c>
      <c r="K1862" s="1" t="s">
        <v>88</v>
      </c>
      <c r="L1862" s="1" t="s">
        <v>6371</v>
      </c>
      <c r="M1862" s="1" t="s">
        <v>1589</v>
      </c>
      <c r="N1862" s="1" t="s">
        <v>6357</v>
      </c>
      <c r="O1862" s="1" t="s">
        <v>6358</v>
      </c>
      <c r="P1862" s="1" t="s">
        <v>6359</v>
      </c>
      <c r="U1862" s="1" t="s">
        <v>6369</v>
      </c>
      <c r="Z1862" s="1" t="s">
        <v>71</v>
      </c>
      <c r="AE1862" s="1" t="s">
        <v>6345</v>
      </c>
      <c r="AH1862" s="1" t="s">
        <v>73</v>
      </c>
      <c r="AK1862" s="1" t="s">
        <v>71</v>
      </c>
      <c r="AM1862" s="1" t="s">
        <v>71</v>
      </c>
      <c r="AN1862" s="1" t="s">
        <v>71</v>
      </c>
      <c r="AS1862" s="1" t="s">
        <v>71</v>
      </c>
      <c r="AX1862" s="1" t="s">
        <v>71</v>
      </c>
      <c r="AY1862" s="1" t="s">
        <v>59</v>
      </c>
      <c r="AZ1862" s="1" t="s">
        <v>74</v>
      </c>
      <c r="BH1862" s="1" t="s">
        <v>71</v>
      </c>
    </row>
    <row r="1863" customFormat="false" ht="15" hidden="false" customHeight="false" outlineLevel="0" collapsed="false">
      <c r="A1863" s="1" t="s">
        <v>6372</v>
      </c>
      <c r="B1863" s="1" t="s">
        <v>6373</v>
      </c>
      <c r="C1863" s="1" t="s">
        <v>1736</v>
      </c>
      <c r="D1863" s="1" t="s">
        <v>4953</v>
      </c>
      <c r="E1863" s="1" t="s">
        <v>61</v>
      </c>
      <c r="F1863" s="1" t="s">
        <v>101</v>
      </c>
      <c r="G1863" s="1" t="s">
        <v>1772</v>
      </c>
      <c r="H1863" s="1" t="s">
        <v>6148</v>
      </c>
      <c r="K1863" s="1" t="s">
        <v>65</v>
      </c>
      <c r="L1863" s="1" t="s">
        <v>6374</v>
      </c>
      <c r="M1863" s="1" t="s">
        <v>242</v>
      </c>
      <c r="N1863" s="1" t="s">
        <v>6375</v>
      </c>
      <c r="O1863" s="1" t="s">
        <v>6376</v>
      </c>
      <c r="P1863" s="1" t="s">
        <v>6377</v>
      </c>
      <c r="S1863" s="1" t="s">
        <v>229</v>
      </c>
      <c r="U1863" s="1" t="s">
        <v>6372</v>
      </c>
      <c r="Z1863" s="1" t="s">
        <v>71</v>
      </c>
      <c r="AE1863" s="1" t="s">
        <v>6378</v>
      </c>
      <c r="AH1863" s="1" t="s">
        <v>73</v>
      </c>
      <c r="AK1863" s="1" t="s">
        <v>71</v>
      </c>
      <c r="AM1863" s="1" t="s">
        <v>71</v>
      </c>
      <c r="AN1863" s="1" t="s">
        <v>71</v>
      </c>
      <c r="AS1863" s="1" t="s">
        <v>71</v>
      </c>
      <c r="AX1863" s="1" t="s">
        <v>71</v>
      </c>
      <c r="AY1863" s="1" t="s">
        <v>59</v>
      </c>
      <c r="AZ1863" s="1" t="s">
        <v>74</v>
      </c>
      <c r="BH1863" s="1" t="s">
        <v>71</v>
      </c>
    </row>
    <row r="1864" customFormat="false" ht="15" hidden="false" customHeight="false" outlineLevel="0" collapsed="false">
      <c r="A1864" s="1" t="s">
        <v>6379</v>
      </c>
      <c r="B1864" s="1" t="s">
        <v>6380</v>
      </c>
      <c r="C1864" s="1" t="s">
        <v>1736</v>
      </c>
      <c r="D1864" s="1" t="s">
        <v>4953</v>
      </c>
      <c r="E1864" s="1" t="s">
        <v>61</v>
      </c>
      <c r="F1864" s="1" t="s">
        <v>101</v>
      </c>
      <c r="G1864" s="1" t="s">
        <v>1772</v>
      </c>
      <c r="H1864" s="1" t="s">
        <v>6148</v>
      </c>
      <c r="K1864" s="1" t="s">
        <v>59</v>
      </c>
      <c r="L1864" s="1" t="s">
        <v>6149</v>
      </c>
      <c r="M1864" s="1" t="s">
        <v>1604</v>
      </c>
      <c r="N1864" s="1" t="s">
        <v>6151</v>
      </c>
      <c r="O1864" s="1" t="s">
        <v>6152</v>
      </c>
      <c r="P1864" s="1" t="s">
        <v>6153</v>
      </c>
      <c r="S1864" s="1" t="s">
        <v>229</v>
      </c>
      <c r="U1864" s="1" t="s">
        <v>6379</v>
      </c>
      <c r="Z1864" s="1" t="s">
        <v>71</v>
      </c>
      <c r="AE1864" s="1" t="s">
        <v>6378</v>
      </c>
      <c r="AH1864" s="1" t="s">
        <v>73</v>
      </c>
      <c r="AK1864" s="1" t="s">
        <v>71</v>
      </c>
      <c r="AM1864" s="1" t="s">
        <v>71</v>
      </c>
      <c r="AN1864" s="1" t="s">
        <v>71</v>
      </c>
      <c r="AS1864" s="1" t="s">
        <v>71</v>
      </c>
      <c r="AX1864" s="1" t="s">
        <v>71</v>
      </c>
      <c r="AY1864" s="1" t="s">
        <v>59</v>
      </c>
      <c r="AZ1864" s="1" t="s">
        <v>74</v>
      </c>
      <c r="BH1864" s="1" t="s">
        <v>71</v>
      </c>
    </row>
    <row r="1865" customFormat="false" ht="15" hidden="false" customHeight="false" outlineLevel="0" collapsed="false">
      <c r="A1865" s="1" t="s">
        <v>6381</v>
      </c>
      <c r="B1865" s="1" t="s">
        <v>6382</v>
      </c>
      <c r="C1865" s="1" t="s">
        <v>1736</v>
      </c>
      <c r="D1865" s="1" t="s">
        <v>4953</v>
      </c>
      <c r="E1865" s="1" t="s">
        <v>61</v>
      </c>
      <c r="F1865" s="1" t="s">
        <v>101</v>
      </c>
      <c r="G1865" s="1" t="s">
        <v>1772</v>
      </c>
      <c r="H1865" s="1" t="s">
        <v>6148</v>
      </c>
      <c r="K1865" s="1" t="s">
        <v>61</v>
      </c>
      <c r="L1865" s="1" t="s">
        <v>6383</v>
      </c>
      <c r="M1865" s="1" t="s">
        <v>242</v>
      </c>
      <c r="N1865" s="1" t="s">
        <v>6384</v>
      </c>
      <c r="O1865" s="1" t="s">
        <v>6385</v>
      </c>
      <c r="P1865" s="1" t="s">
        <v>6386</v>
      </c>
      <c r="S1865" s="1" t="s">
        <v>229</v>
      </c>
      <c r="U1865" s="1" t="s">
        <v>6381</v>
      </c>
      <c r="Z1865" s="1" t="s">
        <v>71</v>
      </c>
      <c r="AE1865" s="1" t="s">
        <v>6378</v>
      </c>
      <c r="AH1865" s="1" t="s">
        <v>73</v>
      </c>
      <c r="AK1865" s="1" t="s">
        <v>71</v>
      </c>
      <c r="AM1865" s="1" t="s">
        <v>71</v>
      </c>
      <c r="AN1865" s="1" t="s">
        <v>71</v>
      </c>
      <c r="AS1865" s="1" t="s">
        <v>71</v>
      </c>
      <c r="AX1865" s="1" t="s">
        <v>71</v>
      </c>
      <c r="AY1865" s="1" t="s">
        <v>59</v>
      </c>
      <c r="AZ1865" s="1" t="s">
        <v>74</v>
      </c>
      <c r="BH1865" s="1" t="s">
        <v>71</v>
      </c>
    </row>
    <row r="1866" customFormat="false" ht="15" hidden="false" customHeight="false" outlineLevel="0" collapsed="false">
      <c r="A1866" s="1" t="s">
        <v>6387</v>
      </c>
      <c r="B1866" s="1" t="s">
        <v>6388</v>
      </c>
      <c r="C1866" s="1" t="s">
        <v>99</v>
      </c>
      <c r="D1866" s="1" t="s">
        <v>100</v>
      </c>
      <c r="E1866" s="1" t="s">
        <v>61</v>
      </c>
      <c r="F1866" s="1" t="s">
        <v>101</v>
      </c>
      <c r="G1866" s="1" t="s">
        <v>93</v>
      </c>
      <c r="H1866" s="1" t="s">
        <v>64</v>
      </c>
      <c r="K1866" s="1" t="s">
        <v>251</v>
      </c>
      <c r="L1866" s="1" t="s">
        <v>1084</v>
      </c>
      <c r="M1866" s="1" t="s">
        <v>104</v>
      </c>
      <c r="N1866" s="1" t="s">
        <v>105</v>
      </c>
      <c r="O1866" s="1" t="s">
        <v>106</v>
      </c>
      <c r="P1866" s="1" t="s">
        <v>3539</v>
      </c>
      <c r="U1866" s="1" t="s">
        <v>6387</v>
      </c>
      <c r="Z1866" s="1" t="s">
        <v>71</v>
      </c>
      <c r="AE1866" s="1" t="s">
        <v>6389</v>
      </c>
      <c r="AH1866" s="1" t="s">
        <v>73</v>
      </c>
      <c r="AK1866" s="1" t="s">
        <v>71</v>
      </c>
      <c r="AM1866" s="1" t="s">
        <v>71</v>
      </c>
      <c r="AN1866" s="1" t="s">
        <v>71</v>
      </c>
      <c r="AS1866" s="1" t="s">
        <v>71</v>
      </c>
      <c r="AX1866" s="1" t="s">
        <v>71</v>
      </c>
      <c r="AY1866" s="1" t="s">
        <v>59</v>
      </c>
      <c r="AZ1866" s="1" t="s">
        <v>74</v>
      </c>
      <c r="BH1866" s="1" t="s">
        <v>71</v>
      </c>
    </row>
    <row r="1867" customFormat="false" ht="15" hidden="false" customHeight="false" outlineLevel="0" collapsed="false">
      <c r="A1867" s="1" t="s">
        <v>6390</v>
      </c>
      <c r="B1867" s="1" t="s">
        <v>6391</v>
      </c>
      <c r="C1867" s="1" t="s">
        <v>2154</v>
      </c>
      <c r="D1867" s="1" t="s">
        <v>100</v>
      </c>
      <c r="E1867" s="1" t="s">
        <v>61</v>
      </c>
      <c r="F1867" s="1" t="s">
        <v>101</v>
      </c>
      <c r="G1867" s="1" t="s">
        <v>93</v>
      </c>
      <c r="H1867" s="1" t="s">
        <v>64</v>
      </c>
      <c r="K1867" s="1" t="s">
        <v>1784</v>
      </c>
      <c r="L1867" s="1" t="s">
        <v>1785</v>
      </c>
      <c r="M1867" s="1" t="s">
        <v>104</v>
      </c>
      <c r="N1867" s="1" t="s">
        <v>105</v>
      </c>
      <c r="O1867" s="1" t="s">
        <v>106</v>
      </c>
      <c r="P1867" s="1" t="s">
        <v>3539</v>
      </c>
      <c r="U1867" s="1" t="s">
        <v>6390</v>
      </c>
      <c r="Z1867" s="1" t="s">
        <v>71</v>
      </c>
      <c r="AE1867" s="1" t="s">
        <v>6389</v>
      </c>
      <c r="AH1867" s="1" t="s">
        <v>73</v>
      </c>
      <c r="AK1867" s="1" t="s">
        <v>71</v>
      </c>
      <c r="AM1867" s="1" t="s">
        <v>71</v>
      </c>
      <c r="AN1867" s="1" t="s">
        <v>71</v>
      </c>
      <c r="AS1867" s="1" t="s">
        <v>71</v>
      </c>
      <c r="AX1867" s="1" t="s">
        <v>71</v>
      </c>
      <c r="AY1867" s="1" t="s">
        <v>59</v>
      </c>
      <c r="AZ1867" s="1" t="s">
        <v>74</v>
      </c>
      <c r="BH1867" s="1" t="s">
        <v>71</v>
      </c>
    </row>
    <row r="1868" customFormat="false" ht="15" hidden="false" customHeight="false" outlineLevel="0" collapsed="false">
      <c r="A1868" s="1" t="s">
        <v>6392</v>
      </c>
      <c r="B1868" s="1" t="s">
        <v>6393</v>
      </c>
      <c r="C1868" s="1" t="s">
        <v>1740</v>
      </c>
      <c r="D1868" s="1" t="s">
        <v>4959</v>
      </c>
      <c r="E1868" s="1" t="s">
        <v>61</v>
      </c>
      <c r="F1868" s="1" t="s">
        <v>101</v>
      </c>
      <c r="G1868" s="1" t="s">
        <v>93</v>
      </c>
      <c r="H1868" s="1" t="s">
        <v>64</v>
      </c>
      <c r="K1868" s="1" t="s">
        <v>224</v>
      </c>
      <c r="L1868" s="1" t="s">
        <v>225</v>
      </c>
      <c r="M1868" s="1" t="s">
        <v>310</v>
      </c>
      <c r="N1868" s="1" t="s">
        <v>105</v>
      </c>
      <c r="O1868" s="1" t="s">
        <v>106</v>
      </c>
      <c r="P1868" s="1" t="s">
        <v>3539</v>
      </c>
      <c r="U1868" s="1" t="s">
        <v>6392</v>
      </c>
      <c r="Z1868" s="1" t="s">
        <v>71</v>
      </c>
      <c r="AE1868" s="1" t="s">
        <v>6394</v>
      </c>
      <c r="AH1868" s="1" t="s">
        <v>73</v>
      </c>
      <c r="AK1868" s="1" t="s">
        <v>71</v>
      </c>
      <c r="AM1868" s="1" t="s">
        <v>71</v>
      </c>
      <c r="AN1868" s="1" t="s">
        <v>71</v>
      </c>
      <c r="AS1868" s="1" t="s">
        <v>71</v>
      </c>
      <c r="AX1868" s="1" t="s">
        <v>71</v>
      </c>
      <c r="AY1868" s="1" t="s">
        <v>59</v>
      </c>
      <c r="AZ1868" s="1" t="s">
        <v>74</v>
      </c>
      <c r="BH1868" s="1" t="s">
        <v>71</v>
      </c>
    </row>
    <row r="1869" customFormat="false" ht="15" hidden="false" customHeight="false" outlineLevel="0" collapsed="false">
      <c r="A1869" s="1" t="s">
        <v>6395</v>
      </c>
      <c r="B1869" s="1" t="s">
        <v>6396</v>
      </c>
      <c r="C1869" s="1" t="s">
        <v>1740</v>
      </c>
      <c r="D1869" s="1" t="s">
        <v>4959</v>
      </c>
      <c r="E1869" s="1" t="s">
        <v>61</v>
      </c>
      <c r="F1869" s="1" t="s">
        <v>101</v>
      </c>
      <c r="G1869" s="1" t="s">
        <v>93</v>
      </c>
      <c r="H1869" s="1" t="s">
        <v>64</v>
      </c>
      <c r="K1869" s="1" t="s">
        <v>126</v>
      </c>
      <c r="L1869" s="1" t="s">
        <v>335</v>
      </c>
      <c r="M1869" s="1" t="s">
        <v>310</v>
      </c>
      <c r="N1869" s="1" t="s">
        <v>105</v>
      </c>
      <c r="O1869" s="1" t="s">
        <v>106</v>
      </c>
      <c r="P1869" s="1" t="s">
        <v>3539</v>
      </c>
      <c r="U1869" s="1" t="s">
        <v>6395</v>
      </c>
      <c r="Z1869" s="1" t="s">
        <v>71</v>
      </c>
      <c r="AE1869" s="1" t="s">
        <v>6394</v>
      </c>
      <c r="AH1869" s="1" t="s">
        <v>73</v>
      </c>
      <c r="AK1869" s="1" t="s">
        <v>71</v>
      </c>
      <c r="AM1869" s="1" t="s">
        <v>71</v>
      </c>
      <c r="AN1869" s="1" t="s">
        <v>71</v>
      </c>
      <c r="AS1869" s="1" t="s">
        <v>71</v>
      </c>
      <c r="AX1869" s="1" t="s">
        <v>71</v>
      </c>
      <c r="AY1869" s="1" t="s">
        <v>59</v>
      </c>
      <c r="AZ1869" s="1" t="s">
        <v>74</v>
      </c>
      <c r="BH1869" s="1" t="s">
        <v>71</v>
      </c>
    </row>
    <row r="1870" customFormat="false" ht="15" hidden="false" customHeight="false" outlineLevel="0" collapsed="false">
      <c r="A1870" s="1" t="s">
        <v>6397</v>
      </c>
      <c r="B1870" s="1" t="s">
        <v>6398</v>
      </c>
      <c r="C1870" s="1" t="s">
        <v>1742</v>
      </c>
      <c r="D1870" s="1" t="s">
        <v>6399</v>
      </c>
      <c r="E1870" s="1" t="s">
        <v>61</v>
      </c>
      <c r="F1870" s="1" t="s">
        <v>101</v>
      </c>
      <c r="G1870" s="1" t="s">
        <v>93</v>
      </c>
      <c r="H1870" s="1" t="s">
        <v>64</v>
      </c>
      <c r="K1870" s="1" t="s">
        <v>108</v>
      </c>
      <c r="L1870" s="1" t="s">
        <v>2547</v>
      </c>
      <c r="M1870" s="1" t="s">
        <v>310</v>
      </c>
      <c r="N1870" s="1" t="s">
        <v>105</v>
      </c>
      <c r="O1870" s="1" t="s">
        <v>106</v>
      </c>
      <c r="P1870" s="1" t="s">
        <v>3539</v>
      </c>
      <c r="U1870" s="1" t="s">
        <v>6397</v>
      </c>
      <c r="Z1870" s="1" t="s">
        <v>71</v>
      </c>
      <c r="AE1870" s="1" t="s">
        <v>6394</v>
      </c>
      <c r="AH1870" s="1" t="s">
        <v>73</v>
      </c>
      <c r="AK1870" s="1" t="s">
        <v>71</v>
      </c>
      <c r="AM1870" s="1" t="s">
        <v>71</v>
      </c>
      <c r="AN1870" s="1" t="s">
        <v>71</v>
      </c>
      <c r="AS1870" s="1" t="s">
        <v>71</v>
      </c>
      <c r="AX1870" s="1" t="s">
        <v>71</v>
      </c>
      <c r="AY1870" s="1" t="s">
        <v>59</v>
      </c>
      <c r="AZ1870" s="1" t="s">
        <v>74</v>
      </c>
      <c r="BH1870" s="1" t="s">
        <v>71</v>
      </c>
    </row>
    <row r="1871" customFormat="false" ht="15" hidden="false" customHeight="false" outlineLevel="0" collapsed="false">
      <c r="A1871" s="1" t="s">
        <v>6400</v>
      </c>
      <c r="B1871" s="1" t="s">
        <v>6401</v>
      </c>
      <c r="C1871" s="1" t="s">
        <v>1742</v>
      </c>
      <c r="D1871" s="1" t="s">
        <v>6399</v>
      </c>
      <c r="E1871" s="1" t="s">
        <v>61</v>
      </c>
      <c r="F1871" s="1" t="s">
        <v>101</v>
      </c>
      <c r="G1871" s="1" t="s">
        <v>93</v>
      </c>
      <c r="H1871" s="1" t="s">
        <v>64</v>
      </c>
      <c r="K1871" s="1" t="s">
        <v>290</v>
      </c>
      <c r="L1871" s="1" t="s">
        <v>291</v>
      </c>
      <c r="M1871" s="1" t="s">
        <v>314</v>
      </c>
      <c r="N1871" s="1" t="s">
        <v>105</v>
      </c>
      <c r="O1871" s="1" t="s">
        <v>106</v>
      </c>
      <c r="P1871" s="1" t="s">
        <v>3539</v>
      </c>
      <c r="U1871" s="1" t="s">
        <v>6400</v>
      </c>
      <c r="Z1871" s="1" t="s">
        <v>71</v>
      </c>
      <c r="AE1871" s="1" t="s">
        <v>6394</v>
      </c>
      <c r="AH1871" s="1" t="s">
        <v>73</v>
      </c>
      <c r="AK1871" s="1" t="s">
        <v>71</v>
      </c>
      <c r="AM1871" s="1" t="s">
        <v>71</v>
      </c>
      <c r="AN1871" s="1" t="s">
        <v>71</v>
      </c>
      <c r="AS1871" s="1" t="s">
        <v>71</v>
      </c>
      <c r="AX1871" s="1" t="s">
        <v>71</v>
      </c>
      <c r="AY1871" s="1" t="s">
        <v>59</v>
      </c>
      <c r="AZ1871" s="1" t="s">
        <v>74</v>
      </c>
      <c r="BH1871" s="1" t="s">
        <v>71</v>
      </c>
    </row>
    <row r="1872" customFormat="false" ht="15" hidden="false" customHeight="false" outlineLevel="0" collapsed="false">
      <c r="A1872" s="1" t="s">
        <v>6402</v>
      </c>
      <c r="B1872" s="1" t="s">
        <v>6403</v>
      </c>
      <c r="C1872" s="1" t="s">
        <v>1742</v>
      </c>
      <c r="D1872" s="1" t="s">
        <v>6399</v>
      </c>
      <c r="E1872" s="1" t="s">
        <v>61</v>
      </c>
      <c r="F1872" s="1" t="s">
        <v>101</v>
      </c>
      <c r="G1872" s="1" t="s">
        <v>93</v>
      </c>
      <c r="H1872" s="1" t="s">
        <v>64</v>
      </c>
      <c r="K1872" s="1" t="s">
        <v>163</v>
      </c>
      <c r="L1872" s="1" t="s">
        <v>164</v>
      </c>
      <c r="M1872" s="1" t="s">
        <v>104</v>
      </c>
      <c r="N1872" s="1" t="s">
        <v>166</v>
      </c>
      <c r="O1872" s="1" t="s">
        <v>167</v>
      </c>
      <c r="P1872" s="1" t="s">
        <v>4462</v>
      </c>
      <c r="U1872" s="1" t="s">
        <v>6402</v>
      </c>
      <c r="Z1872" s="1" t="s">
        <v>71</v>
      </c>
      <c r="AE1872" s="1" t="s">
        <v>6394</v>
      </c>
      <c r="AH1872" s="1" t="s">
        <v>73</v>
      </c>
      <c r="AK1872" s="1" t="s">
        <v>71</v>
      </c>
      <c r="AM1872" s="1" t="s">
        <v>71</v>
      </c>
      <c r="AN1872" s="1" t="s">
        <v>71</v>
      </c>
      <c r="AS1872" s="1" t="s">
        <v>71</v>
      </c>
      <c r="AX1872" s="1" t="s">
        <v>71</v>
      </c>
      <c r="AY1872" s="1" t="s">
        <v>59</v>
      </c>
      <c r="AZ1872" s="1" t="s">
        <v>74</v>
      </c>
      <c r="BH1872" s="1" t="s">
        <v>71</v>
      </c>
    </row>
    <row r="1873" customFormat="false" ht="15" hidden="false" customHeight="false" outlineLevel="0" collapsed="false">
      <c r="A1873" s="1" t="s">
        <v>6404</v>
      </c>
      <c r="B1873" s="1" t="s">
        <v>6405</v>
      </c>
      <c r="C1873" s="1" t="s">
        <v>142</v>
      </c>
      <c r="D1873" s="1" t="s">
        <v>1102</v>
      </c>
      <c r="E1873" s="1" t="s">
        <v>82</v>
      </c>
      <c r="F1873" s="1" t="s">
        <v>391</v>
      </c>
      <c r="G1873" s="1" t="s">
        <v>97</v>
      </c>
      <c r="H1873" s="1" t="s">
        <v>406</v>
      </c>
      <c r="K1873" s="1" t="s">
        <v>65</v>
      </c>
      <c r="L1873" s="1" t="s">
        <v>860</v>
      </c>
      <c r="M1873" s="1" t="s">
        <v>496</v>
      </c>
      <c r="N1873" s="1" t="s">
        <v>1746</v>
      </c>
      <c r="O1873" s="1" t="s">
        <v>447</v>
      </c>
      <c r="P1873" s="1" t="s">
        <v>5659</v>
      </c>
      <c r="U1873" s="1" t="s">
        <v>6404</v>
      </c>
      <c r="Z1873" s="1" t="s">
        <v>71</v>
      </c>
      <c r="AE1873" s="1" t="s">
        <v>6394</v>
      </c>
      <c r="AH1873" s="1" t="s">
        <v>73</v>
      </c>
      <c r="AK1873" s="1" t="s">
        <v>71</v>
      </c>
      <c r="AM1873" s="1" t="s">
        <v>71</v>
      </c>
      <c r="AN1873" s="1" t="s">
        <v>71</v>
      </c>
      <c r="AS1873" s="1" t="s">
        <v>71</v>
      </c>
      <c r="AX1873" s="1" t="s">
        <v>71</v>
      </c>
      <c r="BH1873" s="1" t="s">
        <v>71</v>
      </c>
    </row>
    <row r="1874" customFormat="false" ht="15" hidden="false" customHeight="false" outlineLevel="0" collapsed="false">
      <c r="A1874" s="1" t="s">
        <v>6406</v>
      </c>
      <c r="B1874" s="1" t="s">
        <v>6407</v>
      </c>
      <c r="C1874" s="1" t="s">
        <v>1747</v>
      </c>
      <c r="D1874" s="1" t="s">
        <v>6408</v>
      </c>
      <c r="E1874" s="1" t="s">
        <v>82</v>
      </c>
      <c r="F1874" s="1" t="s">
        <v>391</v>
      </c>
      <c r="G1874" s="1" t="s">
        <v>213</v>
      </c>
      <c r="H1874" s="1" t="s">
        <v>477</v>
      </c>
      <c r="K1874" s="1" t="s">
        <v>478</v>
      </c>
      <c r="L1874" s="1" t="s">
        <v>479</v>
      </c>
      <c r="M1874" s="1" t="s">
        <v>496</v>
      </c>
      <c r="N1874" s="1" t="s">
        <v>1899</v>
      </c>
      <c r="O1874" s="1" t="s">
        <v>447</v>
      </c>
      <c r="P1874" s="1" t="s">
        <v>6409</v>
      </c>
      <c r="Z1874" s="1" t="s">
        <v>71</v>
      </c>
      <c r="AE1874" s="1" t="s">
        <v>6410</v>
      </c>
      <c r="AH1874" s="1" t="s">
        <v>73</v>
      </c>
      <c r="AK1874" s="1" t="s">
        <v>71</v>
      </c>
      <c r="AM1874" s="1" t="s">
        <v>71</v>
      </c>
      <c r="AN1874" s="1" t="s">
        <v>71</v>
      </c>
      <c r="AS1874" s="1" t="s">
        <v>71</v>
      </c>
      <c r="AX1874" s="1" t="s">
        <v>71</v>
      </c>
      <c r="BH1874" s="1" t="s">
        <v>71</v>
      </c>
    </row>
    <row r="1875" customFormat="false" ht="15" hidden="false" customHeight="false" outlineLevel="0" collapsed="false">
      <c r="A1875" s="1" t="s">
        <v>6411</v>
      </c>
      <c r="B1875" s="1" t="s">
        <v>6412</v>
      </c>
      <c r="C1875" s="1" t="s">
        <v>1747</v>
      </c>
      <c r="D1875" s="1" t="s">
        <v>6408</v>
      </c>
      <c r="E1875" s="1" t="s">
        <v>82</v>
      </c>
      <c r="F1875" s="1" t="s">
        <v>391</v>
      </c>
      <c r="G1875" s="1" t="s">
        <v>213</v>
      </c>
      <c r="H1875" s="1" t="s">
        <v>477</v>
      </c>
      <c r="K1875" s="1" t="s">
        <v>478</v>
      </c>
      <c r="L1875" s="1" t="s">
        <v>479</v>
      </c>
      <c r="M1875" s="1" t="s">
        <v>496</v>
      </c>
      <c r="N1875" s="1" t="s">
        <v>1899</v>
      </c>
      <c r="O1875" s="1" t="s">
        <v>447</v>
      </c>
      <c r="P1875" s="1" t="s">
        <v>6409</v>
      </c>
      <c r="Z1875" s="1" t="s">
        <v>71</v>
      </c>
      <c r="AE1875" s="1" t="s">
        <v>6410</v>
      </c>
      <c r="AH1875" s="1" t="s">
        <v>73</v>
      </c>
      <c r="AK1875" s="1" t="s">
        <v>71</v>
      </c>
      <c r="AM1875" s="1" t="s">
        <v>71</v>
      </c>
      <c r="AN1875" s="1" t="s">
        <v>71</v>
      </c>
      <c r="AS1875" s="1" t="s">
        <v>71</v>
      </c>
      <c r="AX1875" s="1" t="s">
        <v>71</v>
      </c>
      <c r="BH1875" s="1" t="s">
        <v>71</v>
      </c>
    </row>
    <row r="1876" customFormat="false" ht="15" hidden="false" customHeight="false" outlineLevel="0" collapsed="false">
      <c r="A1876" s="1" t="s">
        <v>6413</v>
      </c>
      <c r="B1876" s="1" t="s">
        <v>6414</v>
      </c>
      <c r="C1876" s="1" t="s">
        <v>1747</v>
      </c>
      <c r="D1876" s="1" t="s">
        <v>6408</v>
      </c>
      <c r="E1876" s="1" t="s">
        <v>82</v>
      </c>
      <c r="F1876" s="1" t="s">
        <v>391</v>
      </c>
      <c r="G1876" s="1" t="s">
        <v>213</v>
      </c>
      <c r="H1876" s="1" t="s">
        <v>477</v>
      </c>
      <c r="K1876" s="1" t="s">
        <v>478</v>
      </c>
      <c r="L1876" s="1" t="s">
        <v>479</v>
      </c>
      <c r="M1876" s="1" t="s">
        <v>496</v>
      </c>
      <c r="N1876" s="1" t="s">
        <v>1899</v>
      </c>
      <c r="O1876" s="1" t="s">
        <v>447</v>
      </c>
      <c r="P1876" s="1" t="s">
        <v>6409</v>
      </c>
      <c r="Z1876" s="1" t="s">
        <v>71</v>
      </c>
      <c r="AE1876" s="1" t="s">
        <v>6410</v>
      </c>
      <c r="AH1876" s="1" t="s">
        <v>73</v>
      </c>
      <c r="AK1876" s="1" t="s">
        <v>71</v>
      </c>
      <c r="AM1876" s="1" t="s">
        <v>71</v>
      </c>
      <c r="AN1876" s="1" t="s">
        <v>71</v>
      </c>
      <c r="AS1876" s="1" t="s">
        <v>71</v>
      </c>
      <c r="AX1876" s="1" t="s">
        <v>71</v>
      </c>
      <c r="BH1876" s="1" t="s">
        <v>71</v>
      </c>
    </row>
    <row r="1877" customFormat="false" ht="15" hidden="false" customHeight="false" outlineLevel="0" collapsed="false">
      <c r="A1877" s="1" t="s">
        <v>6415</v>
      </c>
      <c r="B1877" s="1" t="s">
        <v>6416</v>
      </c>
      <c r="C1877" s="1" t="s">
        <v>1747</v>
      </c>
      <c r="D1877" s="1" t="s">
        <v>6408</v>
      </c>
      <c r="E1877" s="1" t="s">
        <v>82</v>
      </c>
      <c r="F1877" s="1" t="s">
        <v>391</v>
      </c>
      <c r="G1877" s="1" t="s">
        <v>213</v>
      </c>
      <c r="H1877" s="1" t="s">
        <v>477</v>
      </c>
      <c r="K1877" s="1" t="s">
        <v>478</v>
      </c>
      <c r="L1877" s="1" t="s">
        <v>479</v>
      </c>
      <c r="M1877" s="1" t="s">
        <v>496</v>
      </c>
      <c r="N1877" s="1" t="s">
        <v>1899</v>
      </c>
      <c r="O1877" s="1" t="s">
        <v>447</v>
      </c>
      <c r="P1877" s="1" t="s">
        <v>6409</v>
      </c>
      <c r="Z1877" s="1" t="s">
        <v>71</v>
      </c>
      <c r="AE1877" s="1" t="s">
        <v>6410</v>
      </c>
      <c r="AH1877" s="1" t="s">
        <v>73</v>
      </c>
      <c r="AK1877" s="1" t="s">
        <v>71</v>
      </c>
      <c r="AM1877" s="1" t="s">
        <v>71</v>
      </c>
      <c r="AN1877" s="1" t="s">
        <v>71</v>
      </c>
      <c r="AS1877" s="1" t="s">
        <v>71</v>
      </c>
      <c r="AX1877" s="1" t="s">
        <v>71</v>
      </c>
      <c r="BH1877" s="1" t="s">
        <v>71</v>
      </c>
    </row>
    <row r="1878" customFormat="false" ht="15" hidden="false" customHeight="false" outlineLevel="0" collapsed="false">
      <c r="A1878" s="1" t="s">
        <v>6417</v>
      </c>
      <c r="B1878" s="1" t="s">
        <v>6418</v>
      </c>
      <c r="C1878" s="1" t="s">
        <v>1752</v>
      </c>
      <c r="D1878" s="1" t="s">
        <v>6419</v>
      </c>
      <c r="E1878" s="1" t="s">
        <v>82</v>
      </c>
      <c r="F1878" s="1" t="s">
        <v>391</v>
      </c>
      <c r="G1878" s="1" t="s">
        <v>182</v>
      </c>
      <c r="H1878" s="1" t="s">
        <v>392</v>
      </c>
      <c r="K1878" s="1" t="s">
        <v>65</v>
      </c>
      <c r="L1878" s="1" t="s">
        <v>517</v>
      </c>
      <c r="M1878" s="1" t="s">
        <v>496</v>
      </c>
      <c r="N1878" s="1" t="s">
        <v>6420</v>
      </c>
      <c r="O1878" s="1" t="s">
        <v>400</v>
      </c>
      <c r="P1878" s="1" t="s">
        <v>6421</v>
      </c>
      <c r="Z1878" s="1" t="s">
        <v>71</v>
      </c>
      <c r="AE1878" s="1" t="s">
        <v>6410</v>
      </c>
      <c r="AH1878" s="1" t="s">
        <v>73</v>
      </c>
      <c r="AK1878" s="1" t="s">
        <v>71</v>
      </c>
      <c r="AM1878" s="1" t="s">
        <v>71</v>
      </c>
      <c r="AN1878" s="1" t="s">
        <v>71</v>
      </c>
      <c r="AS1878" s="1" t="s">
        <v>71</v>
      </c>
      <c r="AX1878" s="1" t="s">
        <v>71</v>
      </c>
      <c r="BH1878" s="1" t="s">
        <v>71</v>
      </c>
    </row>
    <row r="1879" customFormat="false" ht="15" hidden="false" customHeight="false" outlineLevel="0" collapsed="false">
      <c r="A1879" s="1" t="s">
        <v>6422</v>
      </c>
      <c r="B1879" s="1" t="s">
        <v>6423</v>
      </c>
      <c r="C1879" s="1" t="s">
        <v>161</v>
      </c>
      <c r="D1879" s="1" t="s">
        <v>162</v>
      </c>
      <c r="E1879" s="1" t="s">
        <v>61</v>
      </c>
      <c r="F1879" s="1" t="s">
        <v>101</v>
      </c>
      <c r="G1879" s="1" t="s">
        <v>130</v>
      </c>
      <c r="H1879" s="1" t="s">
        <v>5179</v>
      </c>
      <c r="K1879" s="1" t="s">
        <v>5180</v>
      </c>
      <c r="L1879" s="1" t="s">
        <v>5181</v>
      </c>
      <c r="M1879" s="1" t="s">
        <v>104</v>
      </c>
      <c r="N1879" s="1" t="s">
        <v>105</v>
      </c>
      <c r="O1879" s="1" t="s">
        <v>106</v>
      </c>
      <c r="P1879" s="1" t="s">
        <v>3539</v>
      </c>
      <c r="U1879" s="1" t="s">
        <v>6422</v>
      </c>
      <c r="Z1879" s="1" t="s">
        <v>71</v>
      </c>
      <c r="AE1879" s="1" t="s">
        <v>6424</v>
      </c>
      <c r="AH1879" s="1" t="s">
        <v>73</v>
      </c>
      <c r="AK1879" s="1" t="s">
        <v>71</v>
      </c>
      <c r="AM1879" s="1" t="s">
        <v>71</v>
      </c>
      <c r="AN1879" s="1" t="s">
        <v>71</v>
      </c>
      <c r="AS1879" s="1" t="s">
        <v>71</v>
      </c>
      <c r="AX1879" s="1" t="s">
        <v>71</v>
      </c>
      <c r="AY1879" s="1" t="s">
        <v>59</v>
      </c>
      <c r="AZ1879" s="1" t="s">
        <v>74</v>
      </c>
      <c r="BH1879" s="1" t="s">
        <v>71</v>
      </c>
    </row>
    <row r="1880" customFormat="false" ht="15" hidden="false" customHeight="false" outlineLevel="0" collapsed="false">
      <c r="A1880" s="1" t="s">
        <v>6425</v>
      </c>
      <c r="B1880" s="1" t="s">
        <v>6426</v>
      </c>
      <c r="C1880" s="1" t="s">
        <v>1762</v>
      </c>
      <c r="D1880" s="1" t="s">
        <v>6427</v>
      </c>
      <c r="E1880" s="1" t="s">
        <v>61</v>
      </c>
      <c r="F1880" s="1" t="s">
        <v>101</v>
      </c>
      <c r="G1880" s="1" t="s">
        <v>2495</v>
      </c>
      <c r="H1880" s="1" t="s">
        <v>6428</v>
      </c>
      <c r="K1880" s="1" t="s">
        <v>59</v>
      </c>
      <c r="L1880" s="1" t="s">
        <v>6429</v>
      </c>
      <c r="M1880" s="1" t="s">
        <v>6430</v>
      </c>
      <c r="N1880" s="1" t="s">
        <v>6431</v>
      </c>
      <c r="O1880" s="1" t="s">
        <v>6432</v>
      </c>
      <c r="P1880" s="1" t="s">
        <v>6433</v>
      </c>
      <c r="U1880" s="1" t="s">
        <v>6425</v>
      </c>
      <c r="Z1880" s="1" t="s">
        <v>71</v>
      </c>
      <c r="AE1880" s="1" t="s">
        <v>6434</v>
      </c>
      <c r="AH1880" s="1" t="s">
        <v>73</v>
      </c>
      <c r="AK1880" s="1" t="s">
        <v>71</v>
      </c>
      <c r="AM1880" s="1" t="s">
        <v>71</v>
      </c>
      <c r="AN1880" s="1" t="s">
        <v>71</v>
      </c>
      <c r="AS1880" s="1" t="s">
        <v>71</v>
      </c>
      <c r="AX1880" s="1" t="s">
        <v>71</v>
      </c>
      <c r="AY1880" s="1" t="s">
        <v>59</v>
      </c>
      <c r="AZ1880" s="1" t="s">
        <v>74</v>
      </c>
      <c r="BH1880" s="1" t="s">
        <v>71</v>
      </c>
    </row>
    <row r="1881" customFormat="false" ht="15" hidden="false" customHeight="false" outlineLevel="0" collapsed="false">
      <c r="A1881" s="1" t="s">
        <v>6435</v>
      </c>
      <c r="B1881" s="1" t="s">
        <v>6436</v>
      </c>
      <c r="C1881" s="1" t="s">
        <v>1762</v>
      </c>
      <c r="D1881" s="1" t="s">
        <v>6427</v>
      </c>
      <c r="E1881" s="1" t="s">
        <v>61</v>
      </c>
      <c r="F1881" s="1" t="s">
        <v>101</v>
      </c>
      <c r="G1881" s="1" t="s">
        <v>2495</v>
      </c>
      <c r="H1881" s="1" t="s">
        <v>6428</v>
      </c>
      <c r="K1881" s="1" t="s">
        <v>59</v>
      </c>
      <c r="L1881" s="1" t="s">
        <v>6429</v>
      </c>
      <c r="M1881" s="1" t="s">
        <v>242</v>
      </c>
      <c r="N1881" s="1" t="s">
        <v>6431</v>
      </c>
      <c r="O1881" s="1" t="s">
        <v>6432</v>
      </c>
      <c r="P1881" s="1" t="s">
        <v>6433</v>
      </c>
      <c r="U1881" s="1" t="s">
        <v>6435</v>
      </c>
      <c r="Z1881" s="1" t="s">
        <v>71</v>
      </c>
      <c r="AE1881" s="1" t="s">
        <v>6434</v>
      </c>
      <c r="AH1881" s="1" t="s">
        <v>73</v>
      </c>
      <c r="AK1881" s="1" t="s">
        <v>71</v>
      </c>
      <c r="AM1881" s="1" t="s">
        <v>71</v>
      </c>
      <c r="AN1881" s="1" t="s">
        <v>71</v>
      </c>
      <c r="AS1881" s="1" t="s">
        <v>71</v>
      </c>
      <c r="AX1881" s="1" t="s">
        <v>71</v>
      </c>
      <c r="AY1881" s="1" t="s">
        <v>59</v>
      </c>
      <c r="AZ1881" s="1" t="s">
        <v>74</v>
      </c>
      <c r="BH1881" s="1" t="s">
        <v>71</v>
      </c>
    </row>
    <row r="1882" customFormat="false" ht="15" hidden="false" customHeight="false" outlineLevel="0" collapsed="false">
      <c r="A1882" s="1" t="s">
        <v>6437</v>
      </c>
      <c r="B1882" s="1" t="s">
        <v>6438</v>
      </c>
      <c r="C1882" s="1" t="s">
        <v>1762</v>
      </c>
      <c r="D1882" s="1" t="s">
        <v>6427</v>
      </c>
      <c r="E1882" s="1" t="s">
        <v>61</v>
      </c>
      <c r="F1882" s="1" t="s">
        <v>101</v>
      </c>
      <c r="G1882" s="1" t="s">
        <v>2495</v>
      </c>
      <c r="H1882" s="1" t="s">
        <v>6428</v>
      </c>
      <c r="K1882" s="1" t="s">
        <v>59</v>
      </c>
      <c r="L1882" s="1" t="s">
        <v>6429</v>
      </c>
      <c r="M1882" s="1" t="s">
        <v>242</v>
      </c>
      <c r="N1882" s="1" t="s">
        <v>6431</v>
      </c>
      <c r="O1882" s="1" t="s">
        <v>6432</v>
      </c>
      <c r="P1882" s="1" t="s">
        <v>6433</v>
      </c>
      <c r="U1882" s="1" t="s">
        <v>6437</v>
      </c>
      <c r="Z1882" s="1" t="s">
        <v>71</v>
      </c>
      <c r="AE1882" s="1" t="s">
        <v>6434</v>
      </c>
      <c r="AH1882" s="1" t="s">
        <v>73</v>
      </c>
      <c r="AK1882" s="1" t="s">
        <v>71</v>
      </c>
      <c r="AM1882" s="1" t="s">
        <v>71</v>
      </c>
      <c r="AN1882" s="1" t="s">
        <v>71</v>
      </c>
      <c r="AS1882" s="1" t="s">
        <v>71</v>
      </c>
      <c r="AX1882" s="1" t="s">
        <v>71</v>
      </c>
      <c r="AY1882" s="1" t="s">
        <v>59</v>
      </c>
      <c r="AZ1882" s="1" t="s">
        <v>74</v>
      </c>
      <c r="BH1882" s="1" t="s">
        <v>71</v>
      </c>
    </row>
    <row r="1883" customFormat="false" ht="15" hidden="false" customHeight="false" outlineLevel="0" collapsed="false">
      <c r="A1883" s="1" t="s">
        <v>6439</v>
      </c>
      <c r="B1883" s="1" t="s">
        <v>6440</v>
      </c>
      <c r="C1883" s="1" t="s">
        <v>1769</v>
      </c>
      <c r="D1883" s="1" t="s">
        <v>6441</v>
      </c>
      <c r="E1883" s="1" t="s">
        <v>61</v>
      </c>
      <c r="F1883" s="1" t="s">
        <v>101</v>
      </c>
      <c r="G1883" s="1" t="s">
        <v>1772</v>
      </c>
      <c r="H1883" s="1" t="s">
        <v>6148</v>
      </c>
      <c r="K1883" s="1" t="s">
        <v>82</v>
      </c>
      <c r="L1883" s="1" t="s">
        <v>6442</v>
      </c>
      <c r="M1883" s="1" t="s">
        <v>296</v>
      </c>
      <c r="N1883" s="1" t="s">
        <v>6443</v>
      </c>
      <c r="O1883" s="1" t="s">
        <v>6444</v>
      </c>
      <c r="P1883" s="1" t="s">
        <v>6445</v>
      </c>
      <c r="U1883" s="1" t="s">
        <v>6439</v>
      </c>
      <c r="Z1883" s="1" t="s">
        <v>71</v>
      </c>
      <c r="AE1883" s="1" t="s">
        <v>6446</v>
      </c>
      <c r="AH1883" s="1" t="s">
        <v>73</v>
      </c>
      <c r="AK1883" s="1" t="s">
        <v>71</v>
      </c>
      <c r="AM1883" s="1" t="s">
        <v>71</v>
      </c>
      <c r="AN1883" s="1" t="s">
        <v>71</v>
      </c>
      <c r="AS1883" s="1" t="s">
        <v>71</v>
      </c>
      <c r="AX1883" s="1" t="s">
        <v>71</v>
      </c>
      <c r="AY1883" s="1" t="s">
        <v>59</v>
      </c>
      <c r="AZ1883" s="1" t="s">
        <v>74</v>
      </c>
      <c r="BH1883" s="1" t="s">
        <v>71</v>
      </c>
    </row>
    <row r="1884" customFormat="false" ht="15" hidden="false" customHeight="false" outlineLevel="0" collapsed="false">
      <c r="A1884" s="1" t="s">
        <v>6447</v>
      </c>
      <c r="B1884" s="1" t="s">
        <v>6448</v>
      </c>
      <c r="C1884" s="1" t="s">
        <v>1769</v>
      </c>
      <c r="D1884" s="1" t="s">
        <v>6441</v>
      </c>
      <c r="E1884" s="1" t="s">
        <v>61</v>
      </c>
      <c r="F1884" s="1" t="s">
        <v>101</v>
      </c>
      <c r="G1884" s="1" t="s">
        <v>1772</v>
      </c>
      <c r="H1884" s="1" t="s">
        <v>6148</v>
      </c>
      <c r="K1884" s="1" t="s">
        <v>82</v>
      </c>
      <c r="L1884" s="1" t="s">
        <v>6442</v>
      </c>
      <c r="M1884" s="1" t="s">
        <v>296</v>
      </c>
      <c r="N1884" s="1" t="s">
        <v>6443</v>
      </c>
      <c r="O1884" s="1" t="s">
        <v>6444</v>
      </c>
      <c r="P1884" s="1" t="s">
        <v>6445</v>
      </c>
      <c r="U1884" s="1" t="s">
        <v>6447</v>
      </c>
      <c r="Z1884" s="1" t="s">
        <v>71</v>
      </c>
      <c r="AE1884" s="1" t="s">
        <v>6446</v>
      </c>
      <c r="AH1884" s="1" t="s">
        <v>73</v>
      </c>
      <c r="AK1884" s="1" t="s">
        <v>71</v>
      </c>
      <c r="AM1884" s="1" t="s">
        <v>71</v>
      </c>
      <c r="AN1884" s="1" t="s">
        <v>71</v>
      </c>
      <c r="AS1884" s="1" t="s">
        <v>71</v>
      </c>
      <c r="AX1884" s="1" t="s">
        <v>71</v>
      </c>
      <c r="AY1884" s="1" t="s">
        <v>59</v>
      </c>
      <c r="AZ1884" s="1" t="s">
        <v>74</v>
      </c>
      <c r="BH1884" s="1" t="s">
        <v>71</v>
      </c>
    </row>
    <row r="1885" customFormat="false" ht="15" hidden="false" customHeight="false" outlineLevel="0" collapsed="false">
      <c r="A1885" s="1" t="s">
        <v>6449</v>
      </c>
      <c r="B1885" s="1" t="s">
        <v>6450</v>
      </c>
      <c r="C1885" s="1" t="s">
        <v>1762</v>
      </c>
      <c r="D1885" s="1" t="s">
        <v>6427</v>
      </c>
      <c r="E1885" s="1" t="s">
        <v>61</v>
      </c>
      <c r="F1885" s="1" t="s">
        <v>101</v>
      </c>
      <c r="G1885" s="1" t="s">
        <v>1772</v>
      </c>
      <c r="H1885" s="1" t="s">
        <v>6148</v>
      </c>
      <c r="K1885" s="1" t="s">
        <v>59</v>
      </c>
      <c r="L1885" s="1" t="s">
        <v>6149</v>
      </c>
      <c r="M1885" s="1" t="s">
        <v>242</v>
      </c>
      <c r="N1885" s="1" t="s">
        <v>6151</v>
      </c>
      <c r="O1885" s="1" t="s">
        <v>6152</v>
      </c>
      <c r="P1885" s="1" t="s">
        <v>6153</v>
      </c>
      <c r="S1885" s="1" t="s">
        <v>229</v>
      </c>
      <c r="U1885" s="1" t="s">
        <v>6449</v>
      </c>
      <c r="Z1885" s="1" t="s">
        <v>71</v>
      </c>
      <c r="AE1885" s="1" t="s">
        <v>6446</v>
      </c>
      <c r="AH1885" s="1" t="s">
        <v>73</v>
      </c>
      <c r="AK1885" s="1" t="s">
        <v>71</v>
      </c>
      <c r="AM1885" s="1" t="s">
        <v>71</v>
      </c>
      <c r="AN1885" s="1" t="s">
        <v>71</v>
      </c>
      <c r="AS1885" s="1" t="s">
        <v>71</v>
      </c>
      <c r="AX1885" s="1" t="s">
        <v>71</v>
      </c>
      <c r="AY1885" s="1" t="s">
        <v>59</v>
      </c>
      <c r="AZ1885" s="1" t="s">
        <v>74</v>
      </c>
      <c r="BH1885" s="1" t="s">
        <v>71</v>
      </c>
    </row>
    <row r="1886" customFormat="false" ht="15" hidden="false" customHeight="false" outlineLevel="0" collapsed="false">
      <c r="A1886" s="1" t="s">
        <v>6451</v>
      </c>
      <c r="B1886" s="1" t="s">
        <v>6452</v>
      </c>
      <c r="C1886" s="1" t="s">
        <v>1762</v>
      </c>
      <c r="D1886" s="1" t="s">
        <v>6427</v>
      </c>
      <c r="E1886" s="1" t="s">
        <v>61</v>
      </c>
      <c r="F1886" s="1" t="s">
        <v>101</v>
      </c>
      <c r="G1886" s="1" t="s">
        <v>1772</v>
      </c>
      <c r="H1886" s="1" t="s">
        <v>6148</v>
      </c>
      <c r="K1886" s="1" t="s">
        <v>59</v>
      </c>
      <c r="L1886" s="1" t="s">
        <v>6149</v>
      </c>
      <c r="M1886" s="1" t="s">
        <v>242</v>
      </c>
      <c r="N1886" s="1" t="s">
        <v>6151</v>
      </c>
      <c r="O1886" s="1" t="s">
        <v>6152</v>
      </c>
      <c r="P1886" s="1" t="s">
        <v>6153</v>
      </c>
      <c r="S1886" s="1" t="s">
        <v>229</v>
      </c>
      <c r="U1886" s="1" t="s">
        <v>6451</v>
      </c>
      <c r="Z1886" s="1" t="s">
        <v>71</v>
      </c>
      <c r="AE1886" s="1" t="s">
        <v>6446</v>
      </c>
      <c r="AH1886" s="1" t="s">
        <v>73</v>
      </c>
      <c r="AK1886" s="1" t="s">
        <v>71</v>
      </c>
      <c r="AM1886" s="1" t="s">
        <v>71</v>
      </c>
      <c r="AN1886" s="1" t="s">
        <v>71</v>
      </c>
      <c r="AS1886" s="1" t="s">
        <v>71</v>
      </c>
      <c r="AX1886" s="1" t="s">
        <v>71</v>
      </c>
      <c r="AY1886" s="1" t="s">
        <v>59</v>
      </c>
      <c r="AZ1886" s="1" t="s">
        <v>74</v>
      </c>
      <c r="BH1886" s="1" t="s">
        <v>71</v>
      </c>
    </row>
    <row r="1887" customFormat="false" ht="15" hidden="false" customHeight="false" outlineLevel="0" collapsed="false">
      <c r="A1887" s="1" t="s">
        <v>6453</v>
      </c>
      <c r="B1887" s="1" t="s">
        <v>6454</v>
      </c>
      <c r="C1887" s="1" t="s">
        <v>1762</v>
      </c>
      <c r="D1887" s="1" t="s">
        <v>6427</v>
      </c>
      <c r="E1887" s="1" t="s">
        <v>61</v>
      </c>
      <c r="F1887" s="1" t="s">
        <v>101</v>
      </c>
      <c r="G1887" s="1" t="s">
        <v>1772</v>
      </c>
      <c r="H1887" s="1" t="s">
        <v>6148</v>
      </c>
      <c r="K1887" s="1" t="s">
        <v>88</v>
      </c>
      <c r="L1887" s="1" t="s">
        <v>6455</v>
      </c>
      <c r="M1887" s="1" t="s">
        <v>242</v>
      </c>
      <c r="N1887" s="1" t="s">
        <v>6456</v>
      </c>
      <c r="O1887" s="1" t="s">
        <v>6457</v>
      </c>
      <c r="P1887" s="1" t="s">
        <v>6458</v>
      </c>
      <c r="U1887" s="1" t="s">
        <v>6453</v>
      </c>
      <c r="Z1887" s="1" t="s">
        <v>71</v>
      </c>
      <c r="AE1887" s="1" t="s">
        <v>6446</v>
      </c>
      <c r="AH1887" s="1" t="s">
        <v>73</v>
      </c>
      <c r="AK1887" s="1" t="s">
        <v>71</v>
      </c>
      <c r="AM1887" s="1" t="s">
        <v>71</v>
      </c>
      <c r="AN1887" s="1" t="s">
        <v>71</v>
      </c>
      <c r="AS1887" s="1" t="s">
        <v>71</v>
      </c>
      <c r="AX1887" s="1" t="s">
        <v>71</v>
      </c>
      <c r="AY1887" s="1" t="s">
        <v>59</v>
      </c>
      <c r="AZ1887" s="1" t="s">
        <v>74</v>
      </c>
      <c r="BH1887" s="1" t="s">
        <v>71</v>
      </c>
    </row>
    <row r="1888" customFormat="false" ht="15" hidden="false" customHeight="false" outlineLevel="0" collapsed="false">
      <c r="A1888" s="1" t="s">
        <v>6459</v>
      </c>
      <c r="B1888" s="1" t="s">
        <v>6460</v>
      </c>
      <c r="C1888" s="1" t="s">
        <v>188</v>
      </c>
      <c r="D1888" s="1" t="s">
        <v>189</v>
      </c>
      <c r="E1888" s="1" t="s">
        <v>65</v>
      </c>
      <c r="F1888" s="1" t="s">
        <v>119</v>
      </c>
      <c r="G1888" s="1" t="s">
        <v>65</v>
      </c>
      <c r="H1888" s="1" t="s">
        <v>64</v>
      </c>
      <c r="K1888" s="1" t="s">
        <v>229</v>
      </c>
      <c r="L1888" s="1" t="s">
        <v>6461</v>
      </c>
      <c r="M1888" s="1" t="s">
        <v>104</v>
      </c>
      <c r="N1888" s="1" t="s">
        <v>123</v>
      </c>
      <c r="O1888" s="1" t="s">
        <v>124</v>
      </c>
      <c r="P1888" s="1" t="s">
        <v>4161</v>
      </c>
      <c r="U1888" s="1" t="s">
        <v>6459</v>
      </c>
      <c r="Z1888" s="1" t="s">
        <v>71</v>
      </c>
      <c r="AE1888" s="1" t="s">
        <v>6446</v>
      </c>
      <c r="AH1888" s="1" t="s">
        <v>73</v>
      </c>
      <c r="AK1888" s="1" t="s">
        <v>71</v>
      </c>
      <c r="AM1888" s="1" t="s">
        <v>71</v>
      </c>
      <c r="AN1888" s="1" t="s">
        <v>71</v>
      </c>
      <c r="AS1888" s="1" t="s">
        <v>71</v>
      </c>
      <c r="AX1888" s="1" t="s">
        <v>71</v>
      </c>
      <c r="AY1888" s="1" t="s">
        <v>59</v>
      </c>
      <c r="AZ1888" s="1" t="s">
        <v>74</v>
      </c>
      <c r="BH1888" s="1" t="s">
        <v>71</v>
      </c>
    </row>
    <row r="1889" customFormat="false" ht="15" hidden="false" customHeight="false" outlineLevel="0" collapsed="false">
      <c r="A1889" s="1" t="s">
        <v>6462</v>
      </c>
      <c r="B1889" s="1" t="s">
        <v>6463</v>
      </c>
      <c r="C1889" s="1" t="s">
        <v>161</v>
      </c>
      <c r="D1889" s="1" t="s">
        <v>162</v>
      </c>
      <c r="E1889" s="1" t="s">
        <v>61</v>
      </c>
      <c r="F1889" s="1" t="s">
        <v>101</v>
      </c>
      <c r="G1889" s="1" t="s">
        <v>93</v>
      </c>
      <c r="H1889" s="1" t="s">
        <v>64</v>
      </c>
      <c r="K1889" s="1" t="s">
        <v>126</v>
      </c>
      <c r="L1889" s="1" t="s">
        <v>335</v>
      </c>
      <c r="M1889" s="1" t="s">
        <v>104</v>
      </c>
      <c r="N1889" s="1" t="s">
        <v>105</v>
      </c>
      <c r="O1889" s="1" t="s">
        <v>106</v>
      </c>
      <c r="P1889" s="1" t="s">
        <v>3539</v>
      </c>
      <c r="U1889" s="1" t="s">
        <v>6462</v>
      </c>
      <c r="Z1889" s="1" t="s">
        <v>71</v>
      </c>
      <c r="AE1889" s="1" t="s">
        <v>6464</v>
      </c>
      <c r="AH1889" s="1" t="s">
        <v>73</v>
      </c>
      <c r="AK1889" s="1" t="s">
        <v>71</v>
      </c>
      <c r="AM1889" s="1" t="s">
        <v>71</v>
      </c>
      <c r="AN1889" s="1" t="s">
        <v>71</v>
      </c>
      <c r="AS1889" s="1" t="s">
        <v>71</v>
      </c>
      <c r="AX1889" s="1" t="s">
        <v>71</v>
      </c>
      <c r="AY1889" s="1" t="s">
        <v>59</v>
      </c>
      <c r="AZ1889" s="1" t="s">
        <v>74</v>
      </c>
      <c r="BH1889" s="1" t="s">
        <v>71</v>
      </c>
    </row>
    <row r="1890" customFormat="false" ht="15" hidden="false" customHeight="false" outlineLevel="0" collapsed="false">
      <c r="A1890" s="1" t="s">
        <v>6465</v>
      </c>
      <c r="B1890" s="1" t="s">
        <v>6466</v>
      </c>
      <c r="C1890" s="1" t="s">
        <v>1636</v>
      </c>
      <c r="D1890" s="1" t="s">
        <v>6144</v>
      </c>
      <c r="E1890" s="1" t="s">
        <v>61</v>
      </c>
      <c r="F1890" s="1" t="s">
        <v>101</v>
      </c>
      <c r="G1890" s="1" t="s">
        <v>1772</v>
      </c>
      <c r="H1890" s="1" t="s">
        <v>6148</v>
      </c>
      <c r="K1890" s="1" t="s">
        <v>93</v>
      </c>
      <c r="L1890" s="1" t="s">
        <v>6467</v>
      </c>
      <c r="M1890" s="1" t="s">
        <v>242</v>
      </c>
      <c r="N1890" s="1" t="s">
        <v>6468</v>
      </c>
      <c r="O1890" s="1" t="s">
        <v>6469</v>
      </c>
      <c r="P1890" s="1" t="s">
        <v>6470</v>
      </c>
      <c r="U1890" s="1" t="s">
        <v>6465</v>
      </c>
      <c r="Z1890" s="1" t="s">
        <v>71</v>
      </c>
      <c r="AE1890" s="1" t="s">
        <v>6471</v>
      </c>
      <c r="AH1890" s="1" t="s">
        <v>73</v>
      </c>
      <c r="AK1890" s="1" t="s">
        <v>71</v>
      </c>
      <c r="AM1890" s="1" t="s">
        <v>71</v>
      </c>
      <c r="AN1890" s="1" t="s">
        <v>71</v>
      </c>
      <c r="AS1890" s="1" t="s">
        <v>71</v>
      </c>
      <c r="AX1890" s="1" t="s">
        <v>71</v>
      </c>
      <c r="AY1890" s="1" t="s">
        <v>59</v>
      </c>
      <c r="AZ1890" s="1" t="s">
        <v>74</v>
      </c>
      <c r="BH1890" s="1" t="s">
        <v>71</v>
      </c>
    </row>
    <row r="1891" customFormat="false" ht="15" hidden="false" customHeight="false" outlineLevel="0" collapsed="false">
      <c r="A1891" s="1" t="s">
        <v>6472</v>
      </c>
      <c r="B1891" s="1" t="s">
        <v>6473</v>
      </c>
      <c r="C1891" s="1" t="s">
        <v>1158</v>
      </c>
      <c r="D1891" s="1" t="s">
        <v>4456</v>
      </c>
      <c r="E1891" s="1" t="s">
        <v>82</v>
      </c>
      <c r="F1891" s="1" t="s">
        <v>391</v>
      </c>
      <c r="G1891" s="1" t="s">
        <v>213</v>
      </c>
      <c r="H1891" s="1" t="s">
        <v>477</v>
      </c>
      <c r="K1891" s="1" t="s">
        <v>478</v>
      </c>
      <c r="L1891" s="1" t="s">
        <v>479</v>
      </c>
      <c r="M1891" s="1" t="s">
        <v>496</v>
      </c>
      <c r="N1891" s="1" t="s">
        <v>2340</v>
      </c>
      <c r="O1891" s="1" t="s">
        <v>400</v>
      </c>
      <c r="P1891" s="1" t="s">
        <v>6474</v>
      </c>
      <c r="Z1891" s="1" t="s">
        <v>71</v>
      </c>
      <c r="AE1891" s="1" t="s">
        <v>6475</v>
      </c>
      <c r="AH1891" s="1" t="s">
        <v>73</v>
      </c>
      <c r="AK1891" s="1" t="s">
        <v>71</v>
      </c>
      <c r="AM1891" s="1" t="s">
        <v>71</v>
      </c>
      <c r="AN1891" s="1" t="s">
        <v>71</v>
      </c>
      <c r="AS1891" s="1" t="s">
        <v>71</v>
      </c>
      <c r="AX1891" s="1" t="s">
        <v>71</v>
      </c>
      <c r="BH1891" s="1" t="s">
        <v>71</v>
      </c>
    </row>
    <row r="1892" customFormat="false" ht="15" hidden="false" customHeight="false" outlineLevel="0" collapsed="false">
      <c r="A1892" s="1" t="s">
        <v>6476</v>
      </c>
      <c r="B1892" s="1" t="s">
        <v>6477</v>
      </c>
      <c r="C1892" s="1" t="s">
        <v>1412</v>
      </c>
      <c r="D1892" s="1" t="s">
        <v>1413</v>
      </c>
      <c r="E1892" s="1" t="s">
        <v>61</v>
      </c>
      <c r="F1892" s="1" t="s">
        <v>101</v>
      </c>
      <c r="G1892" s="1" t="s">
        <v>148</v>
      </c>
      <c r="H1892" s="1" t="s">
        <v>231</v>
      </c>
      <c r="K1892" s="1" t="s">
        <v>240</v>
      </c>
      <c r="L1892" s="1" t="s">
        <v>241</v>
      </c>
      <c r="M1892" s="1" t="s">
        <v>258</v>
      </c>
      <c r="N1892" s="1" t="s">
        <v>243</v>
      </c>
      <c r="O1892" s="1" t="s">
        <v>244</v>
      </c>
      <c r="P1892" s="1" t="s">
        <v>3503</v>
      </c>
      <c r="U1892" s="1" t="s">
        <v>6476</v>
      </c>
      <c r="Z1892" s="1" t="s">
        <v>71</v>
      </c>
      <c r="AE1892" s="1" t="s">
        <v>6475</v>
      </c>
      <c r="AH1892" s="1" t="s">
        <v>73</v>
      </c>
      <c r="AK1892" s="1" t="s">
        <v>71</v>
      </c>
      <c r="AM1892" s="1" t="s">
        <v>71</v>
      </c>
      <c r="AN1892" s="1" t="s">
        <v>71</v>
      </c>
      <c r="AS1892" s="1" t="s">
        <v>71</v>
      </c>
      <c r="AX1892" s="1" t="s">
        <v>71</v>
      </c>
      <c r="AY1892" s="1" t="s">
        <v>59</v>
      </c>
      <c r="AZ1892" s="1" t="s">
        <v>74</v>
      </c>
      <c r="BH1892" s="1" t="s">
        <v>71</v>
      </c>
    </row>
    <row r="1893" customFormat="false" ht="15" hidden="false" customHeight="false" outlineLevel="0" collapsed="false">
      <c r="A1893" s="1" t="s">
        <v>6478</v>
      </c>
      <c r="B1893" s="1" t="s">
        <v>6479</v>
      </c>
      <c r="C1893" s="1" t="s">
        <v>1412</v>
      </c>
      <c r="D1893" s="1" t="s">
        <v>1413</v>
      </c>
      <c r="E1893" s="1" t="s">
        <v>61</v>
      </c>
      <c r="F1893" s="1" t="s">
        <v>101</v>
      </c>
      <c r="G1893" s="1" t="s">
        <v>148</v>
      </c>
      <c r="H1893" s="1" t="s">
        <v>231</v>
      </c>
      <c r="K1893" s="1" t="s">
        <v>240</v>
      </c>
      <c r="L1893" s="1" t="s">
        <v>241</v>
      </c>
      <c r="M1893" s="1" t="s">
        <v>258</v>
      </c>
      <c r="N1893" s="1" t="s">
        <v>243</v>
      </c>
      <c r="O1893" s="1" t="s">
        <v>244</v>
      </c>
      <c r="P1893" s="1" t="s">
        <v>3503</v>
      </c>
      <c r="U1893" s="1" t="s">
        <v>6478</v>
      </c>
      <c r="Z1893" s="1" t="s">
        <v>71</v>
      </c>
      <c r="AE1893" s="1" t="s">
        <v>6475</v>
      </c>
      <c r="AH1893" s="1" t="s">
        <v>73</v>
      </c>
      <c r="AK1893" s="1" t="s">
        <v>71</v>
      </c>
      <c r="AM1893" s="1" t="s">
        <v>71</v>
      </c>
      <c r="AN1893" s="1" t="s">
        <v>71</v>
      </c>
      <c r="AS1893" s="1" t="s">
        <v>71</v>
      </c>
      <c r="AX1893" s="1" t="s">
        <v>71</v>
      </c>
      <c r="AY1893" s="1" t="s">
        <v>59</v>
      </c>
      <c r="AZ1893" s="1" t="s">
        <v>74</v>
      </c>
      <c r="BH1893" s="1" t="s">
        <v>71</v>
      </c>
    </row>
    <row r="1894" customFormat="false" ht="15" hidden="false" customHeight="false" outlineLevel="0" collapsed="false">
      <c r="A1894" s="1" t="s">
        <v>6480</v>
      </c>
      <c r="B1894" s="1" t="s">
        <v>6481</v>
      </c>
      <c r="C1894" s="1" t="s">
        <v>1412</v>
      </c>
      <c r="D1894" s="1" t="s">
        <v>1413</v>
      </c>
      <c r="E1894" s="1" t="s">
        <v>65</v>
      </c>
      <c r="F1894" s="1" t="s">
        <v>119</v>
      </c>
      <c r="G1894" s="1" t="s">
        <v>88</v>
      </c>
      <c r="H1894" s="1" t="s">
        <v>255</v>
      </c>
      <c r="K1894" s="1" t="s">
        <v>215</v>
      </c>
      <c r="L1894" s="1" t="s">
        <v>5567</v>
      </c>
      <c r="M1894" s="1" t="s">
        <v>242</v>
      </c>
      <c r="N1894" s="1" t="s">
        <v>259</v>
      </c>
      <c r="O1894" s="1" t="s">
        <v>260</v>
      </c>
      <c r="P1894" s="1" t="s">
        <v>3768</v>
      </c>
      <c r="U1894" s="1" t="s">
        <v>6480</v>
      </c>
      <c r="Z1894" s="1" t="s">
        <v>71</v>
      </c>
      <c r="AE1894" s="1" t="s">
        <v>6475</v>
      </c>
      <c r="AH1894" s="1" t="s">
        <v>73</v>
      </c>
      <c r="AK1894" s="1" t="s">
        <v>71</v>
      </c>
      <c r="AM1894" s="1" t="s">
        <v>71</v>
      </c>
      <c r="AN1894" s="1" t="s">
        <v>71</v>
      </c>
      <c r="AS1894" s="1" t="s">
        <v>71</v>
      </c>
      <c r="AX1894" s="1" t="s">
        <v>71</v>
      </c>
      <c r="AY1894" s="1" t="s">
        <v>59</v>
      </c>
      <c r="AZ1894" s="1" t="s">
        <v>74</v>
      </c>
      <c r="BH1894" s="1" t="s">
        <v>71</v>
      </c>
    </row>
    <row r="1895" customFormat="false" ht="15" hidden="false" customHeight="false" outlineLevel="0" collapsed="false">
      <c r="A1895" s="1" t="s">
        <v>6482</v>
      </c>
      <c r="B1895" s="1" t="s">
        <v>6483</v>
      </c>
      <c r="C1895" s="1" t="s">
        <v>1412</v>
      </c>
      <c r="D1895" s="1" t="s">
        <v>1413</v>
      </c>
      <c r="E1895" s="1" t="s">
        <v>61</v>
      </c>
      <c r="F1895" s="1" t="s">
        <v>101</v>
      </c>
      <c r="G1895" s="1" t="s">
        <v>148</v>
      </c>
      <c r="H1895" s="1" t="s">
        <v>231</v>
      </c>
      <c r="K1895" s="1" t="s">
        <v>493</v>
      </c>
      <c r="L1895" s="1" t="s">
        <v>6219</v>
      </c>
      <c r="M1895" s="1" t="s">
        <v>310</v>
      </c>
      <c r="N1895" s="1" t="s">
        <v>243</v>
      </c>
      <c r="O1895" s="1" t="s">
        <v>244</v>
      </c>
      <c r="P1895" s="1" t="s">
        <v>3503</v>
      </c>
      <c r="U1895" s="1" t="s">
        <v>6482</v>
      </c>
      <c r="Z1895" s="1" t="s">
        <v>71</v>
      </c>
      <c r="AE1895" s="1" t="s">
        <v>6475</v>
      </c>
      <c r="AH1895" s="1" t="s">
        <v>73</v>
      </c>
      <c r="AK1895" s="1" t="s">
        <v>71</v>
      </c>
      <c r="AM1895" s="1" t="s">
        <v>71</v>
      </c>
      <c r="AN1895" s="1" t="s">
        <v>71</v>
      </c>
      <c r="AS1895" s="1" t="s">
        <v>71</v>
      </c>
      <c r="AX1895" s="1" t="s">
        <v>71</v>
      </c>
      <c r="AY1895" s="1" t="s">
        <v>59</v>
      </c>
      <c r="AZ1895" s="1" t="s">
        <v>74</v>
      </c>
      <c r="BH1895" s="1" t="s">
        <v>71</v>
      </c>
    </row>
    <row r="1896" customFormat="false" ht="15" hidden="false" customHeight="false" outlineLevel="0" collapsed="false">
      <c r="A1896" s="1" t="s">
        <v>6484</v>
      </c>
      <c r="B1896" s="1" t="s">
        <v>6485</v>
      </c>
      <c r="C1896" s="1" t="s">
        <v>1412</v>
      </c>
      <c r="D1896" s="1" t="s">
        <v>1413</v>
      </c>
      <c r="E1896" s="1" t="s">
        <v>61</v>
      </c>
      <c r="F1896" s="1" t="s">
        <v>101</v>
      </c>
      <c r="G1896" s="1" t="s">
        <v>148</v>
      </c>
      <c r="H1896" s="1" t="s">
        <v>231</v>
      </c>
      <c r="K1896" s="1" t="s">
        <v>195</v>
      </c>
      <c r="L1896" s="1" t="s">
        <v>3502</v>
      </c>
      <c r="M1896" s="1" t="s">
        <v>258</v>
      </c>
      <c r="N1896" s="1" t="s">
        <v>243</v>
      </c>
      <c r="O1896" s="1" t="s">
        <v>244</v>
      </c>
      <c r="P1896" s="1" t="s">
        <v>3503</v>
      </c>
      <c r="U1896" s="1" t="s">
        <v>6484</v>
      </c>
      <c r="Z1896" s="1" t="s">
        <v>71</v>
      </c>
      <c r="AE1896" s="1" t="s">
        <v>6475</v>
      </c>
      <c r="AH1896" s="1" t="s">
        <v>73</v>
      </c>
      <c r="AK1896" s="1" t="s">
        <v>71</v>
      </c>
      <c r="AM1896" s="1" t="s">
        <v>71</v>
      </c>
      <c r="AN1896" s="1" t="s">
        <v>71</v>
      </c>
      <c r="AS1896" s="1" t="s">
        <v>71</v>
      </c>
      <c r="AX1896" s="1" t="s">
        <v>71</v>
      </c>
      <c r="AY1896" s="1" t="s">
        <v>59</v>
      </c>
      <c r="AZ1896" s="1" t="s">
        <v>74</v>
      </c>
      <c r="BH1896" s="1" t="s">
        <v>71</v>
      </c>
    </row>
    <row r="1897" customFormat="false" ht="15" hidden="false" customHeight="false" outlineLevel="0" collapsed="false">
      <c r="A1897" s="1" t="s">
        <v>6486</v>
      </c>
      <c r="B1897" s="1" t="s">
        <v>6487</v>
      </c>
      <c r="C1897" s="1" t="s">
        <v>1412</v>
      </c>
      <c r="D1897" s="1" t="s">
        <v>1413</v>
      </c>
      <c r="E1897" s="1" t="s">
        <v>65</v>
      </c>
      <c r="F1897" s="1" t="s">
        <v>119</v>
      </c>
      <c r="G1897" s="1" t="s">
        <v>88</v>
      </c>
      <c r="H1897" s="1" t="s">
        <v>255</v>
      </c>
      <c r="K1897" s="1" t="s">
        <v>215</v>
      </c>
      <c r="L1897" s="1" t="s">
        <v>5567</v>
      </c>
      <c r="M1897" s="1" t="s">
        <v>242</v>
      </c>
      <c r="N1897" s="1" t="s">
        <v>259</v>
      </c>
      <c r="O1897" s="1" t="s">
        <v>260</v>
      </c>
      <c r="P1897" s="1" t="s">
        <v>3768</v>
      </c>
      <c r="U1897" s="1" t="s">
        <v>6486</v>
      </c>
      <c r="Z1897" s="1" t="s">
        <v>71</v>
      </c>
      <c r="AE1897" s="1" t="s">
        <v>6475</v>
      </c>
      <c r="AH1897" s="1" t="s">
        <v>73</v>
      </c>
      <c r="AK1897" s="1" t="s">
        <v>71</v>
      </c>
      <c r="AM1897" s="1" t="s">
        <v>71</v>
      </c>
      <c r="AN1897" s="1" t="s">
        <v>71</v>
      </c>
      <c r="AS1897" s="1" t="s">
        <v>71</v>
      </c>
      <c r="AX1897" s="1" t="s">
        <v>71</v>
      </c>
      <c r="AY1897" s="1" t="s">
        <v>59</v>
      </c>
      <c r="AZ1897" s="1" t="s">
        <v>74</v>
      </c>
      <c r="BH1897" s="1" t="s">
        <v>71</v>
      </c>
    </row>
    <row r="1898" customFormat="false" ht="15" hidden="false" customHeight="false" outlineLevel="0" collapsed="false">
      <c r="A1898" s="1" t="s">
        <v>6488</v>
      </c>
      <c r="B1898" s="1" t="s">
        <v>6489</v>
      </c>
      <c r="C1898" s="1" t="s">
        <v>1158</v>
      </c>
      <c r="D1898" s="1" t="s">
        <v>4456</v>
      </c>
      <c r="E1898" s="1" t="s">
        <v>82</v>
      </c>
      <c r="F1898" s="1" t="s">
        <v>391</v>
      </c>
      <c r="G1898" s="1" t="s">
        <v>213</v>
      </c>
      <c r="H1898" s="1" t="s">
        <v>477</v>
      </c>
      <c r="K1898" s="1" t="s">
        <v>478</v>
      </c>
      <c r="L1898" s="1" t="s">
        <v>479</v>
      </c>
      <c r="M1898" s="1" t="s">
        <v>496</v>
      </c>
      <c r="N1898" s="1" t="s">
        <v>5299</v>
      </c>
      <c r="O1898" s="1" t="s">
        <v>5300</v>
      </c>
      <c r="P1898" s="1" t="s">
        <v>5301</v>
      </c>
      <c r="Z1898" s="1" t="s">
        <v>71</v>
      </c>
      <c r="AE1898" s="1" t="s">
        <v>6475</v>
      </c>
      <c r="AH1898" s="1" t="s">
        <v>73</v>
      </c>
      <c r="AK1898" s="1" t="s">
        <v>71</v>
      </c>
      <c r="AM1898" s="1" t="s">
        <v>71</v>
      </c>
      <c r="AN1898" s="1" t="s">
        <v>71</v>
      </c>
      <c r="AS1898" s="1" t="s">
        <v>71</v>
      </c>
      <c r="AX1898" s="1" t="s">
        <v>71</v>
      </c>
      <c r="BH1898" s="1" t="s">
        <v>71</v>
      </c>
    </row>
    <row r="1899" customFormat="false" ht="15" hidden="false" customHeight="false" outlineLevel="0" collapsed="false">
      <c r="A1899" s="1" t="s">
        <v>6490</v>
      </c>
      <c r="B1899" s="1" t="s">
        <v>6491</v>
      </c>
      <c r="C1899" s="1" t="s">
        <v>5487</v>
      </c>
      <c r="D1899" s="1" t="s">
        <v>5488</v>
      </c>
      <c r="E1899" s="1" t="s">
        <v>61</v>
      </c>
      <c r="F1899" s="1" t="s">
        <v>101</v>
      </c>
      <c r="G1899" s="1" t="s">
        <v>148</v>
      </c>
      <c r="H1899" s="1" t="s">
        <v>231</v>
      </c>
      <c r="K1899" s="1" t="s">
        <v>435</v>
      </c>
      <c r="L1899" s="1" t="s">
        <v>5331</v>
      </c>
      <c r="M1899" s="1" t="s">
        <v>310</v>
      </c>
      <c r="N1899" s="1" t="s">
        <v>243</v>
      </c>
      <c r="O1899" s="1" t="s">
        <v>244</v>
      </c>
      <c r="P1899" s="1" t="s">
        <v>3503</v>
      </c>
      <c r="U1899" s="1" t="s">
        <v>6490</v>
      </c>
      <c r="Z1899" s="1" t="s">
        <v>71</v>
      </c>
      <c r="AE1899" s="1" t="s">
        <v>6492</v>
      </c>
      <c r="AH1899" s="1" t="s">
        <v>73</v>
      </c>
      <c r="AK1899" s="1" t="s">
        <v>71</v>
      </c>
      <c r="AM1899" s="1" t="s">
        <v>71</v>
      </c>
      <c r="AN1899" s="1" t="s">
        <v>71</v>
      </c>
      <c r="AS1899" s="1" t="s">
        <v>71</v>
      </c>
      <c r="AX1899" s="1" t="s">
        <v>71</v>
      </c>
      <c r="AY1899" s="1" t="s">
        <v>59</v>
      </c>
      <c r="AZ1899" s="1" t="s">
        <v>74</v>
      </c>
      <c r="BH1899" s="1" t="s">
        <v>71</v>
      </c>
    </row>
    <row r="1900" customFormat="false" ht="15" hidden="false" customHeight="false" outlineLevel="0" collapsed="false">
      <c r="A1900" s="1" t="s">
        <v>6493</v>
      </c>
      <c r="B1900" s="1" t="s">
        <v>6494</v>
      </c>
      <c r="C1900" s="1" t="s">
        <v>5487</v>
      </c>
      <c r="D1900" s="1" t="s">
        <v>5488</v>
      </c>
      <c r="E1900" s="1" t="s">
        <v>61</v>
      </c>
      <c r="F1900" s="1" t="s">
        <v>101</v>
      </c>
      <c r="G1900" s="1" t="s">
        <v>148</v>
      </c>
      <c r="H1900" s="1" t="s">
        <v>231</v>
      </c>
      <c r="K1900" s="1" t="s">
        <v>573</v>
      </c>
      <c r="L1900" s="1" t="s">
        <v>1671</v>
      </c>
      <c r="M1900" s="1" t="s">
        <v>1672</v>
      </c>
      <c r="N1900" s="1" t="s">
        <v>243</v>
      </c>
      <c r="O1900" s="1" t="s">
        <v>244</v>
      </c>
      <c r="P1900" s="1" t="s">
        <v>3503</v>
      </c>
      <c r="U1900" s="1" t="s">
        <v>6493</v>
      </c>
      <c r="Z1900" s="1" t="s">
        <v>71</v>
      </c>
      <c r="AE1900" s="1" t="s">
        <v>6492</v>
      </c>
      <c r="AH1900" s="1" t="s">
        <v>73</v>
      </c>
      <c r="AK1900" s="1" t="s">
        <v>71</v>
      </c>
      <c r="AM1900" s="1" t="s">
        <v>71</v>
      </c>
      <c r="AN1900" s="1" t="s">
        <v>71</v>
      </c>
      <c r="AS1900" s="1" t="s">
        <v>71</v>
      </c>
      <c r="AX1900" s="1" t="s">
        <v>71</v>
      </c>
      <c r="AY1900" s="1" t="s">
        <v>59</v>
      </c>
      <c r="AZ1900" s="1" t="s">
        <v>74</v>
      </c>
      <c r="BH1900" s="1" t="s">
        <v>71</v>
      </c>
    </row>
    <row r="1901" customFormat="false" ht="15" hidden="false" customHeight="false" outlineLevel="0" collapsed="false">
      <c r="A1901" s="1" t="s">
        <v>6495</v>
      </c>
      <c r="B1901" s="1" t="s">
        <v>6496</v>
      </c>
      <c r="C1901" s="1" t="s">
        <v>1662</v>
      </c>
      <c r="D1901" s="1" t="s">
        <v>6191</v>
      </c>
      <c r="E1901" s="1" t="s">
        <v>61</v>
      </c>
      <c r="F1901" s="1" t="s">
        <v>101</v>
      </c>
      <c r="G1901" s="1" t="s">
        <v>115</v>
      </c>
      <c r="H1901" s="1" t="s">
        <v>5689</v>
      </c>
      <c r="K1901" s="1" t="s">
        <v>148</v>
      </c>
      <c r="L1901" s="1" t="s">
        <v>6497</v>
      </c>
      <c r="M1901" s="1" t="s">
        <v>310</v>
      </c>
      <c r="N1901" s="1" t="s">
        <v>5692</v>
      </c>
      <c r="O1901" s="1" t="s">
        <v>5693</v>
      </c>
      <c r="P1901" s="1" t="s">
        <v>5694</v>
      </c>
      <c r="U1901" s="1" t="s">
        <v>6495</v>
      </c>
      <c r="Z1901" s="1" t="s">
        <v>71</v>
      </c>
      <c r="AE1901" s="1" t="s">
        <v>6492</v>
      </c>
      <c r="AH1901" s="1" t="s">
        <v>73</v>
      </c>
      <c r="AK1901" s="1" t="s">
        <v>71</v>
      </c>
      <c r="AM1901" s="1" t="s">
        <v>71</v>
      </c>
      <c r="AN1901" s="1" t="s">
        <v>71</v>
      </c>
      <c r="AS1901" s="1" t="s">
        <v>71</v>
      </c>
      <c r="AX1901" s="1" t="s">
        <v>71</v>
      </c>
      <c r="AY1901" s="1" t="s">
        <v>59</v>
      </c>
      <c r="AZ1901" s="1" t="s">
        <v>74</v>
      </c>
      <c r="BH1901" s="1" t="s">
        <v>71</v>
      </c>
    </row>
    <row r="1902" customFormat="false" ht="15" hidden="false" customHeight="false" outlineLevel="0" collapsed="false">
      <c r="A1902" s="1" t="s">
        <v>6498</v>
      </c>
      <c r="B1902" s="1" t="s">
        <v>6499</v>
      </c>
      <c r="C1902" s="1" t="s">
        <v>1662</v>
      </c>
      <c r="D1902" s="1" t="s">
        <v>6191</v>
      </c>
      <c r="E1902" s="1" t="s">
        <v>61</v>
      </c>
      <c r="F1902" s="1" t="s">
        <v>101</v>
      </c>
      <c r="G1902" s="1" t="s">
        <v>115</v>
      </c>
      <c r="H1902" s="1" t="s">
        <v>5689</v>
      </c>
      <c r="K1902" s="1" t="s">
        <v>148</v>
      </c>
      <c r="L1902" s="1" t="s">
        <v>6497</v>
      </c>
      <c r="M1902" s="1" t="s">
        <v>310</v>
      </c>
      <c r="N1902" s="1" t="s">
        <v>5692</v>
      </c>
      <c r="O1902" s="1" t="s">
        <v>5693</v>
      </c>
      <c r="P1902" s="1" t="s">
        <v>5694</v>
      </c>
      <c r="U1902" s="1" t="s">
        <v>6498</v>
      </c>
      <c r="Z1902" s="1" t="s">
        <v>71</v>
      </c>
      <c r="AE1902" s="1" t="s">
        <v>6492</v>
      </c>
      <c r="AH1902" s="1" t="s">
        <v>73</v>
      </c>
      <c r="AK1902" s="1" t="s">
        <v>71</v>
      </c>
      <c r="AM1902" s="1" t="s">
        <v>71</v>
      </c>
      <c r="AN1902" s="1" t="s">
        <v>71</v>
      </c>
      <c r="AS1902" s="1" t="s">
        <v>71</v>
      </c>
      <c r="AX1902" s="1" t="s">
        <v>71</v>
      </c>
      <c r="AY1902" s="1" t="s">
        <v>59</v>
      </c>
      <c r="AZ1902" s="1" t="s">
        <v>74</v>
      </c>
      <c r="BH1902" s="1" t="s">
        <v>71</v>
      </c>
    </row>
    <row r="1903" customFormat="false" ht="15" hidden="false" customHeight="false" outlineLevel="0" collapsed="false">
      <c r="A1903" s="1" t="s">
        <v>6500</v>
      </c>
      <c r="B1903" s="1" t="s">
        <v>6501</v>
      </c>
      <c r="C1903" s="1" t="s">
        <v>161</v>
      </c>
      <c r="D1903" s="1" t="s">
        <v>162</v>
      </c>
      <c r="E1903" s="1" t="s">
        <v>61</v>
      </c>
      <c r="F1903" s="1" t="s">
        <v>101</v>
      </c>
      <c r="G1903" s="1" t="s">
        <v>130</v>
      </c>
      <c r="H1903" s="1" t="s">
        <v>5179</v>
      </c>
      <c r="K1903" s="1" t="s">
        <v>6035</v>
      </c>
      <c r="L1903" s="1" t="s">
        <v>6036</v>
      </c>
      <c r="M1903" s="1" t="s">
        <v>592</v>
      </c>
      <c r="N1903" s="1" t="s">
        <v>105</v>
      </c>
      <c r="O1903" s="1" t="s">
        <v>106</v>
      </c>
      <c r="P1903" s="1" t="s">
        <v>3539</v>
      </c>
      <c r="U1903" s="1" t="s">
        <v>6500</v>
      </c>
      <c r="Z1903" s="1" t="s">
        <v>71</v>
      </c>
      <c r="AE1903" s="1" t="s">
        <v>6502</v>
      </c>
      <c r="AH1903" s="1" t="s">
        <v>73</v>
      </c>
      <c r="AK1903" s="1" t="s">
        <v>71</v>
      </c>
      <c r="AM1903" s="1" t="s">
        <v>71</v>
      </c>
      <c r="AN1903" s="1" t="s">
        <v>71</v>
      </c>
      <c r="AS1903" s="1" t="s">
        <v>71</v>
      </c>
      <c r="AX1903" s="1" t="s">
        <v>71</v>
      </c>
      <c r="AY1903" s="1" t="s">
        <v>59</v>
      </c>
      <c r="AZ1903" s="1" t="s">
        <v>74</v>
      </c>
      <c r="BH1903" s="1" t="s">
        <v>71</v>
      </c>
    </row>
    <row r="1904" customFormat="false" ht="15" hidden="false" customHeight="false" outlineLevel="0" collapsed="false">
      <c r="A1904" s="1" t="s">
        <v>6503</v>
      </c>
      <c r="B1904" s="1" t="s">
        <v>6504</v>
      </c>
      <c r="C1904" s="1" t="s">
        <v>161</v>
      </c>
      <c r="D1904" s="1" t="s">
        <v>162</v>
      </c>
      <c r="E1904" s="1" t="s">
        <v>61</v>
      </c>
      <c r="F1904" s="1" t="s">
        <v>101</v>
      </c>
      <c r="G1904" s="1" t="s">
        <v>130</v>
      </c>
      <c r="H1904" s="1" t="s">
        <v>5179</v>
      </c>
      <c r="K1904" s="1" t="s">
        <v>6035</v>
      </c>
      <c r="L1904" s="1" t="s">
        <v>6036</v>
      </c>
      <c r="M1904" s="1" t="s">
        <v>1555</v>
      </c>
      <c r="N1904" s="1" t="s">
        <v>105</v>
      </c>
      <c r="O1904" s="1" t="s">
        <v>106</v>
      </c>
      <c r="P1904" s="1" t="s">
        <v>3539</v>
      </c>
      <c r="U1904" s="1" t="s">
        <v>6503</v>
      </c>
      <c r="Z1904" s="1" t="s">
        <v>71</v>
      </c>
      <c r="AE1904" s="1" t="s">
        <v>6502</v>
      </c>
      <c r="AH1904" s="1" t="s">
        <v>73</v>
      </c>
      <c r="AK1904" s="1" t="s">
        <v>71</v>
      </c>
      <c r="AM1904" s="1" t="s">
        <v>71</v>
      </c>
      <c r="AN1904" s="1" t="s">
        <v>71</v>
      </c>
      <c r="AS1904" s="1" t="s">
        <v>71</v>
      </c>
      <c r="AX1904" s="1" t="s">
        <v>71</v>
      </c>
      <c r="AY1904" s="1" t="s">
        <v>59</v>
      </c>
      <c r="AZ1904" s="1" t="s">
        <v>74</v>
      </c>
      <c r="BH1904" s="1" t="s">
        <v>71</v>
      </c>
    </row>
    <row r="1905" customFormat="false" ht="15" hidden="false" customHeight="false" outlineLevel="0" collapsed="false">
      <c r="A1905" s="1" t="s">
        <v>6505</v>
      </c>
      <c r="B1905" s="1" t="s">
        <v>6506</v>
      </c>
      <c r="C1905" s="1" t="s">
        <v>161</v>
      </c>
      <c r="D1905" s="1" t="s">
        <v>162</v>
      </c>
      <c r="E1905" s="1" t="s">
        <v>61</v>
      </c>
      <c r="F1905" s="1" t="s">
        <v>101</v>
      </c>
      <c r="G1905" s="1" t="s">
        <v>130</v>
      </c>
      <c r="H1905" s="1" t="s">
        <v>5179</v>
      </c>
      <c r="K1905" s="1" t="s">
        <v>6035</v>
      </c>
      <c r="L1905" s="1" t="s">
        <v>6036</v>
      </c>
      <c r="M1905" s="1" t="s">
        <v>104</v>
      </c>
      <c r="N1905" s="1" t="s">
        <v>105</v>
      </c>
      <c r="O1905" s="1" t="s">
        <v>106</v>
      </c>
      <c r="P1905" s="1" t="s">
        <v>3539</v>
      </c>
      <c r="U1905" s="1" t="s">
        <v>6505</v>
      </c>
      <c r="Z1905" s="1" t="s">
        <v>71</v>
      </c>
      <c r="AE1905" s="1" t="s">
        <v>6502</v>
      </c>
      <c r="AH1905" s="1" t="s">
        <v>73</v>
      </c>
      <c r="AK1905" s="1" t="s">
        <v>71</v>
      </c>
      <c r="AM1905" s="1" t="s">
        <v>71</v>
      </c>
      <c r="AN1905" s="1" t="s">
        <v>71</v>
      </c>
      <c r="AS1905" s="1" t="s">
        <v>71</v>
      </c>
      <c r="AX1905" s="1" t="s">
        <v>71</v>
      </c>
      <c r="AY1905" s="1" t="s">
        <v>59</v>
      </c>
      <c r="AZ1905" s="1" t="s">
        <v>74</v>
      </c>
      <c r="BH1905" s="1" t="s">
        <v>71</v>
      </c>
    </row>
    <row r="1906" customFormat="false" ht="15" hidden="false" customHeight="false" outlineLevel="0" collapsed="false">
      <c r="A1906" s="1" t="s">
        <v>6507</v>
      </c>
      <c r="B1906" s="1" t="s">
        <v>6508</v>
      </c>
      <c r="C1906" s="1" t="s">
        <v>161</v>
      </c>
      <c r="D1906" s="1" t="s">
        <v>162</v>
      </c>
      <c r="E1906" s="1" t="s">
        <v>61</v>
      </c>
      <c r="F1906" s="1" t="s">
        <v>101</v>
      </c>
      <c r="G1906" s="1" t="s">
        <v>130</v>
      </c>
      <c r="H1906" s="1" t="s">
        <v>5179</v>
      </c>
      <c r="K1906" s="1" t="s">
        <v>6035</v>
      </c>
      <c r="L1906" s="1" t="s">
        <v>6036</v>
      </c>
      <c r="M1906" s="1" t="s">
        <v>6037</v>
      </c>
      <c r="N1906" s="1" t="s">
        <v>105</v>
      </c>
      <c r="O1906" s="1" t="s">
        <v>106</v>
      </c>
      <c r="P1906" s="1" t="s">
        <v>3539</v>
      </c>
      <c r="U1906" s="1" t="s">
        <v>6507</v>
      </c>
      <c r="Z1906" s="1" t="s">
        <v>71</v>
      </c>
      <c r="AE1906" s="1" t="s">
        <v>6502</v>
      </c>
      <c r="AH1906" s="1" t="s">
        <v>73</v>
      </c>
      <c r="AK1906" s="1" t="s">
        <v>71</v>
      </c>
      <c r="AM1906" s="1" t="s">
        <v>71</v>
      </c>
      <c r="AN1906" s="1" t="s">
        <v>71</v>
      </c>
      <c r="AS1906" s="1" t="s">
        <v>71</v>
      </c>
      <c r="AX1906" s="1" t="s">
        <v>71</v>
      </c>
      <c r="AY1906" s="1" t="s">
        <v>59</v>
      </c>
      <c r="AZ1906" s="1" t="s">
        <v>74</v>
      </c>
      <c r="BH1906" s="1" t="s">
        <v>71</v>
      </c>
    </row>
    <row r="1907" customFormat="false" ht="15" hidden="false" customHeight="false" outlineLevel="0" collapsed="false">
      <c r="A1907" s="1" t="s">
        <v>6509</v>
      </c>
      <c r="B1907" s="1" t="s">
        <v>6510</v>
      </c>
      <c r="C1907" s="1" t="s">
        <v>161</v>
      </c>
      <c r="D1907" s="1" t="s">
        <v>162</v>
      </c>
      <c r="E1907" s="1" t="s">
        <v>61</v>
      </c>
      <c r="F1907" s="1" t="s">
        <v>101</v>
      </c>
      <c r="G1907" s="1" t="s">
        <v>130</v>
      </c>
      <c r="H1907" s="1" t="s">
        <v>5179</v>
      </c>
      <c r="K1907" s="1" t="s">
        <v>6035</v>
      </c>
      <c r="L1907" s="1" t="s">
        <v>6036</v>
      </c>
      <c r="M1907" s="1" t="s">
        <v>104</v>
      </c>
      <c r="N1907" s="1" t="s">
        <v>105</v>
      </c>
      <c r="O1907" s="1" t="s">
        <v>106</v>
      </c>
      <c r="P1907" s="1" t="s">
        <v>3539</v>
      </c>
      <c r="U1907" s="1" t="s">
        <v>6509</v>
      </c>
      <c r="Z1907" s="1" t="s">
        <v>71</v>
      </c>
      <c r="AE1907" s="1" t="s">
        <v>6502</v>
      </c>
      <c r="AH1907" s="1" t="s">
        <v>73</v>
      </c>
      <c r="AK1907" s="1" t="s">
        <v>71</v>
      </c>
      <c r="AM1907" s="1" t="s">
        <v>71</v>
      </c>
      <c r="AN1907" s="1" t="s">
        <v>71</v>
      </c>
      <c r="AS1907" s="1" t="s">
        <v>71</v>
      </c>
      <c r="AX1907" s="1" t="s">
        <v>71</v>
      </c>
      <c r="AY1907" s="1" t="s">
        <v>59</v>
      </c>
      <c r="AZ1907" s="1" t="s">
        <v>74</v>
      </c>
      <c r="BH1907" s="1" t="s">
        <v>71</v>
      </c>
    </row>
    <row r="1908" customFormat="false" ht="15" hidden="false" customHeight="false" outlineLevel="0" collapsed="false">
      <c r="A1908" s="1" t="s">
        <v>6511</v>
      </c>
      <c r="B1908" s="1" t="s">
        <v>6512</v>
      </c>
      <c r="C1908" s="1" t="s">
        <v>161</v>
      </c>
      <c r="D1908" s="1" t="s">
        <v>162</v>
      </c>
      <c r="E1908" s="1" t="s">
        <v>61</v>
      </c>
      <c r="F1908" s="1" t="s">
        <v>101</v>
      </c>
      <c r="G1908" s="1" t="s">
        <v>130</v>
      </c>
      <c r="H1908" s="1" t="s">
        <v>5179</v>
      </c>
      <c r="K1908" s="1" t="s">
        <v>6035</v>
      </c>
      <c r="L1908" s="1" t="s">
        <v>6036</v>
      </c>
      <c r="M1908" s="1" t="s">
        <v>1563</v>
      </c>
      <c r="N1908" s="1" t="s">
        <v>105</v>
      </c>
      <c r="O1908" s="1" t="s">
        <v>106</v>
      </c>
      <c r="P1908" s="1" t="s">
        <v>3539</v>
      </c>
      <c r="U1908" s="1" t="s">
        <v>6511</v>
      </c>
      <c r="Z1908" s="1" t="s">
        <v>71</v>
      </c>
      <c r="AE1908" s="1" t="s">
        <v>6502</v>
      </c>
      <c r="AH1908" s="1" t="s">
        <v>73</v>
      </c>
      <c r="AK1908" s="1" t="s">
        <v>71</v>
      </c>
      <c r="AM1908" s="1" t="s">
        <v>71</v>
      </c>
      <c r="AN1908" s="1" t="s">
        <v>71</v>
      </c>
      <c r="AS1908" s="1" t="s">
        <v>71</v>
      </c>
      <c r="AX1908" s="1" t="s">
        <v>71</v>
      </c>
      <c r="AY1908" s="1" t="s">
        <v>59</v>
      </c>
      <c r="AZ1908" s="1" t="s">
        <v>74</v>
      </c>
      <c r="BH1908" s="1" t="s">
        <v>71</v>
      </c>
    </row>
    <row r="1909" customFormat="false" ht="15" hidden="false" customHeight="false" outlineLevel="0" collapsed="false">
      <c r="A1909" s="1" t="s">
        <v>6513</v>
      </c>
      <c r="B1909" s="1" t="s">
        <v>6514</v>
      </c>
      <c r="C1909" s="1" t="s">
        <v>161</v>
      </c>
      <c r="D1909" s="1" t="s">
        <v>162</v>
      </c>
      <c r="E1909" s="1" t="s">
        <v>61</v>
      </c>
      <c r="F1909" s="1" t="s">
        <v>101</v>
      </c>
      <c r="G1909" s="1" t="s">
        <v>130</v>
      </c>
      <c r="H1909" s="1" t="s">
        <v>5179</v>
      </c>
      <c r="K1909" s="1" t="s">
        <v>6035</v>
      </c>
      <c r="L1909" s="1" t="s">
        <v>6036</v>
      </c>
      <c r="M1909" s="1" t="s">
        <v>310</v>
      </c>
      <c r="N1909" s="1" t="s">
        <v>105</v>
      </c>
      <c r="O1909" s="1" t="s">
        <v>106</v>
      </c>
      <c r="P1909" s="1" t="s">
        <v>3539</v>
      </c>
      <c r="U1909" s="1" t="s">
        <v>6513</v>
      </c>
      <c r="Z1909" s="1" t="s">
        <v>71</v>
      </c>
      <c r="AE1909" s="1" t="s">
        <v>6502</v>
      </c>
      <c r="AH1909" s="1" t="s">
        <v>73</v>
      </c>
      <c r="AK1909" s="1" t="s">
        <v>71</v>
      </c>
      <c r="AM1909" s="1" t="s">
        <v>71</v>
      </c>
      <c r="AN1909" s="1" t="s">
        <v>71</v>
      </c>
      <c r="AS1909" s="1" t="s">
        <v>71</v>
      </c>
      <c r="AX1909" s="1" t="s">
        <v>71</v>
      </c>
      <c r="AY1909" s="1" t="s">
        <v>59</v>
      </c>
      <c r="AZ1909" s="1" t="s">
        <v>74</v>
      </c>
      <c r="BH1909" s="1" t="s">
        <v>71</v>
      </c>
    </row>
    <row r="1910" customFormat="false" ht="15" hidden="false" customHeight="false" outlineLevel="0" collapsed="false">
      <c r="A1910" s="1" t="s">
        <v>6515</v>
      </c>
      <c r="B1910" s="1" t="s">
        <v>6516</v>
      </c>
      <c r="C1910" s="1" t="s">
        <v>5504</v>
      </c>
      <c r="D1910" s="1" t="s">
        <v>5505</v>
      </c>
      <c r="E1910" s="1" t="s">
        <v>61</v>
      </c>
      <c r="F1910" s="1" t="s">
        <v>101</v>
      </c>
      <c r="G1910" s="1" t="s">
        <v>275</v>
      </c>
      <c r="H1910" s="1" t="s">
        <v>276</v>
      </c>
      <c r="K1910" s="1" t="s">
        <v>130</v>
      </c>
      <c r="L1910" s="1" t="s">
        <v>5415</v>
      </c>
      <c r="M1910" s="1" t="s">
        <v>296</v>
      </c>
      <c r="N1910" s="1" t="s">
        <v>5892</v>
      </c>
      <c r="O1910" s="1" t="s">
        <v>5893</v>
      </c>
      <c r="P1910" s="1" t="s">
        <v>5894</v>
      </c>
      <c r="U1910" s="1" t="s">
        <v>6515</v>
      </c>
      <c r="Z1910" s="1" t="s">
        <v>71</v>
      </c>
      <c r="AE1910" s="1" t="s">
        <v>6517</v>
      </c>
      <c r="AH1910" s="1" t="s">
        <v>73</v>
      </c>
      <c r="AK1910" s="1" t="s">
        <v>71</v>
      </c>
      <c r="AM1910" s="1" t="s">
        <v>71</v>
      </c>
      <c r="AN1910" s="1" t="s">
        <v>71</v>
      </c>
      <c r="AS1910" s="1" t="s">
        <v>71</v>
      </c>
      <c r="AX1910" s="1" t="s">
        <v>71</v>
      </c>
      <c r="AY1910" s="1" t="s">
        <v>59</v>
      </c>
      <c r="AZ1910" s="1" t="s">
        <v>74</v>
      </c>
      <c r="BH1910" s="1" t="s">
        <v>71</v>
      </c>
    </row>
    <row r="1911" customFormat="false" ht="15" hidden="false" customHeight="false" outlineLevel="0" collapsed="false">
      <c r="A1911" s="1" t="s">
        <v>6518</v>
      </c>
      <c r="B1911" s="1" t="s">
        <v>6519</v>
      </c>
      <c r="C1911" s="1" t="s">
        <v>5504</v>
      </c>
      <c r="D1911" s="1" t="s">
        <v>5505</v>
      </c>
      <c r="E1911" s="1" t="s">
        <v>61</v>
      </c>
      <c r="F1911" s="1" t="s">
        <v>101</v>
      </c>
      <c r="G1911" s="1" t="s">
        <v>275</v>
      </c>
      <c r="H1911" s="1" t="s">
        <v>276</v>
      </c>
      <c r="K1911" s="1" t="s">
        <v>130</v>
      </c>
      <c r="L1911" s="1" t="s">
        <v>5415</v>
      </c>
      <c r="M1911" s="1" t="s">
        <v>296</v>
      </c>
      <c r="N1911" s="1" t="s">
        <v>5892</v>
      </c>
      <c r="O1911" s="1" t="s">
        <v>5893</v>
      </c>
      <c r="P1911" s="1" t="s">
        <v>5894</v>
      </c>
      <c r="U1911" s="1" t="s">
        <v>6518</v>
      </c>
      <c r="Z1911" s="1" t="s">
        <v>71</v>
      </c>
      <c r="AE1911" s="1" t="s">
        <v>6517</v>
      </c>
      <c r="AH1911" s="1" t="s">
        <v>73</v>
      </c>
      <c r="AK1911" s="1" t="s">
        <v>71</v>
      </c>
      <c r="AM1911" s="1" t="s">
        <v>71</v>
      </c>
      <c r="AN1911" s="1" t="s">
        <v>71</v>
      </c>
      <c r="AS1911" s="1" t="s">
        <v>71</v>
      </c>
      <c r="AX1911" s="1" t="s">
        <v>71</v>
      </c>
      <c r="AY1911" s="1" t="s">
        <v>59</v>
      </c>
      <c r="AZ1911" s="1" t="s">
        <v>74</v>
      </c>
      <c r="BH1911" s="1" t="s">
        <v>71</v>
      </c>
    </row>
    <row r="1912" customFormat="false" ht="15" hidden="false" customHeight="false" outlineLevel="0" collapsed="false">
      <c r="A1912" s="1" t="s">
        <v>6520</v>
      </c>
      <c r="B1912" s="1" t="s">
        <v>6521</v>
      </c>
      <c r="C1912" s="1" t="s">
        <v>6522</v>
      </c>
      <c r="D1912" s="1" t="s">
        <v>6523</v>
      </c>
      <c r="E1912" s="1" t="s">
        <v>61</v>
      </c>
      <c r="F1912" s="1" t="s">
        <v>101</v>
      </c>
      <c r="G1912" s="1" t="s">
        <v>1772</v>
      </c>
      <c r="H1912" s="1" t="s">
        <v>6148</v>
      </c>
      <c r="K1912" s="1" t="s">
        <v>148</v>
      </c>
      <c r="L1912" s="1" t="s">
        <v>6524</v>
      </c>
      <c r="M1912" s="1" t="s">
        <v>242</v>
      </c>
      <c r="N1912" s="1" t="s">
        <v>6525</v>
      </c>
      <c r="O1912" s="1" t="s">
        <v>6526</v>
      </c>
      <c r="P1912" s="1" t="s">
        <v>6527</v>
      </c>
      <c r="U1912" s="1" t="s">
        <v>6520</v>
      </c>
      <c r="Z1912" s="1" t="s">
        <v>71</v>
      </c>
      <c r="AE1912" s="1" t="s">
        <v>6517</v>
      </c>
      <c r="AH1912" s="1" t="s">
        <v>73</v>
      </c>
      <c r="AK1912" s="1" t="s">
        <v>71</v>
      </c>
      <c r="AM1912" s="1" t="s">
        <v>71</v>
      </c>
      <c r="AN1912" s="1" t="s">
        <v>71</v>
      </c>
      <c r="AS1912" s="1" t="s">
        <v>71</v>
      </c>
      <c r="AX1912" s="1" t="s">
        <v>71</v>
      </c>
      <c r="AY1912" s="1" t="s">
        <v>59</v>
      </c>
      <c r="AZ1912" s="1" t="s">
        <v>74</v>
      </c>
      <c r="BH1912" s="1" t="s">
        <v>71</v>
      </c>
    </row>
    <row r="1913" customFormat="false" ht="15" hidden="false" customHeight="false" outlineLevel="0" collapsed="false">
      <c r="A1913" s="1" t="s">
        <v>6528</v>
      </c>
      <c r="B1913" s="1" t="s">
        <v>6529</v>
      </c>
      <c r="C1913" s="1" t="s">
        <v>136</v>
      </c>
      <c r="D1913" s="1" t="s">
        <v>208</v>
      </c>
      <c r="E1913" s="1" t="s">
        <v>65</v>
      </c>
      <c r="F1913" s="1" t="s">
        <v>119</v>
      </c>
      <c r="G1913" s="1" t="s">
        <v>65</v>
      </c>
      <c r="H1913" s="1" t="s">
        <v>64</v>
      </c>
      <c r="K1913" s="1" t="s">
        <v>108</v>
      </c>
      <c r="L1913" s="1" t="s">
        <v>200</v>
      </c>
      <c r="M1913" s="1" t="s">
        <v>122</v>
      </c>
      <c r="N1913" s="1" t="s">
        <v>123</v>
      </c>
      <c r="O1913" s="1" t="s">
        <v>124</v>
      </c>
      <c r="P1913" s="1" t="s">
        <v>4161</v>
      </c>
      <c r="U1913" s="1" t="s">
        <v>6528</v>
      </c>
      <c r="Z1913" s="1" t="s">
        <v>71</v>
      </c>
      <c r="AE1913" s="1" t="s">
        <v>6530</v>
      </c>
      <c r="AH1913" s="1" t="s">
        <v>73</v>
      </c>
      <c r="AK1913" s="1" t="s">
        <v>71</v>
      </c>
      <c r="AM1913" s="1" t="s">
        <v>71</v>
      </c>
      <c r="AN1913" s="1" t="s">
        <v>71</v>
      </c>
      <c r="AS1913" s="1" t="s">
        <v>71</v>
      </c>
      <c r="AX1913" s="1" t="s">
        <v>71</v>
      </c>
      <c r="AY1913" s="1" t="s">
        <v>59</v>
      </c>
      <c r="AZ1913" s="1" t="s">
        <v>74</v>
      </c>
      <c r="BH1913" s="1" t="s">
        <v>71</v>
      </c>
    </row>
    <row r="1914" customFormat="false" ht="15" hidden="false" customHeight="false" outlineLevel="0" collapsed="false">
      <c r="A1914" s="1" t="s">
        <v>6531</v>
      </c>
      <c r="B1914" s="1" t="s">
        <v>6532</v>
      </c>
      <c r="C1914" s="1" t="s">
        <v>1811</v>
      </c>
      <c r="D1914" s="1" t="s">
        <v>6533</v>
      </c>
      <c r="E1914" s="1" t="s">
        <v>82</v>
      </c>
      <c r="F1914" s="1" t="s">
        <v>391</v>
      </c>
      <c r="G1914" s="1" t="s">
        <v>97</v>
      </c>
      <c r="H1914" s="1" t="s">
        <v>406</v>
      </c>
      <c r="K1914" s="1" t="s">
        <v>65</v>
      </c>
      <c r="L1914" s="1" t="s">
        <v>860</v>
      </c>
      <c r="M1914" s="1" t="s">
        <v>6534</v>
      </c>
      <c r="N1914" s="1" t="s">
        <v>6535</v>
      </c>
      <c r="O1914" s="1" t="s">
        <v>400</v>
      </c>
      <c r="P1914" s="1" t="s">
        <v>6536</v>
      </c>
      <c r="Z1914" s="1" t="s">
        <v>71</v>
      </c>
      <c r="AE1914" s="1" t="s">
        <v>6537</v>
      </c>
      <c r="AH1914" s="1" t="s">
        <v>73</v>
      </c>
      <c r="AK1914" s="1" t="s">
        <v>71</v>
      </c>
      <c r="AM1914" s="1" t="s">
        <v>71</v>
      </c>
      <c r="AN1914" s="1" t="s">
        <v>71</v>
      </c>
      <c r="AS1914" s="1" t="s">
        <v>71</v>
      </c>
      <c r="AX1914" s="1" t="s">
        <v>71</v>
      </c>
      <c r="BH1914" s="1" t="s">
        <v>71</v>
      </c>
    </row>
    <row r="1915" customFormat="false" ht="15" hidden="false" customHeight="false" outlineLevel="0" collapsed="false">
      <c r="A1915" s="1" t="s">
        <v>6538</v>
      </c>
      <c r="B1915" s="1" t="s">
        <v>6539</v>
      </c>
      <c r="C1915" s="1" t="s">
        <v>5487</v>
      </c>
      <c r="D1915" s="1" t="s">
        <v>5488</v>
      </c>
      <c r="E1915" s="1" t="s">
        <v>61</v>
      </c>
      <c r="F1915" s="1" t="s">
        <v>101</v>
      </c>
      <c r="G1915" s="1" t="s">
        <v>148</v>
      </c>
      <c r="H1915" s="1" t="s">
        <v>231</v>
      </c>
      <c r="K1915" s="1" t="s">
        <v>1335</v>
      </c>
      <c r="L1915" s="1" t="s">
        <v>1336</v>
      </c>
      <c r="M1915" s="1" t="s">
        <v>1512</v>
      </c>
      <c r="N1915" s="1" t="s">
        <v>1532</v>
      </c>
      <c r="O1915" s="1" t="s">
        <v>1533</v>
      </c>
      <c r="P1915" s="1" t="s">
        <v>5996</v>
      </c>
      <c r="U1915" s="1" t="s">
        <v>6538</v>
      </c>
      <c r="Z1915" s="1" t="s">
        <v>71</v>
      </c>
      <c r="AE1915" s="1" t="s">
        <v>6540</v>
      </c>
      <c r="AH1915" s="1" t="s">
        <v>73</v>
      </c>
      <c r="AK1915" s="1" t="s">
        <v>71</v>
      </c>
      <c r="AM1915" s="1" t="s">
        <v>71</v>
      </c>
      <c r="AN1915" s="1" t="s">
        <v>71</v>
      </c>
      <c r="AS1915" s="1" t="s">
        <v>71</v>
      </c>
      <c r="AX1915" s="1" t="s">
        <v>71</v>
      </c>
      <c r="AY1915" s="1" t="s">
        <v>59</v>
      </c>
      <c r="AZ1915" s="1" t="s">
        <v>74</v>
      </c>
      <c r="BH1915" s="1" t="s">
        <v>71</v>
      </c>
    </row>
    <row r="1916" customFormat="false" ht="15" hidden="false" customHeight="false" outlineLevel="0" collapsed="false">
      <c r="A1916" s="1" t="s">
        <v>6541</v>
      </c>
      <c r="B1916" s="1" t="s">
        <v>6542</v>
      </c>
      <c r="C1916" s="1" t="s">
        <v>1412</v>
      </c>
      <c r="D1916" s="1" t="s">
        <v>1413</v>
      </c>
      <c r="E1916" s="1" t="s">
        <v>61</v>
      </c>
      <c r="F1916" s="1" t="s">
        <v>101</v>
      </c>
      <c r="G1916" s="1" t="s">
        <v>148</v>
      </c>
      <c r="H1916" s="1" t="s">
        <v>231</v>
      </c>
      <c r="K1916" s="1" t="s">
        <v>493</v>
      </c>
      <c r="L1916" s="1" t="s">
        <v>6219</v>
      </c>
      <c r="M1916" s="1" t="s">
        <v>1555</v>
      </c>
      <c r="N1916" s="1" t="s">
        <v>243</v>
      </c>
      <c r="O1916" s="1" t="s">
        <v>244</v>
      </c>
      <c r="P1916" s="1" t="s">
        <v>3503</v>
      </c>
      <c r="U1916" s="1" t="s">
        <v>6541</v>
      </c>
      <c r="Z1916" s="1" t="s">
        <v>71</v>
      </c>
      <c r="AE1916" s="1" t="s">
        <v>6543</v>
      </c>
      <c r="AH1916" s="1" t="s">
        <v>73</v>
      </c>
      <c r="AK1916" s="1" t="s">
        <v>71</v>
      </c>
      <c r="AM1916" s="1" t="s">
        <v>71</v>
      </c>
      <c r="AN1916" s="1" t="s">
        <v>71</v>
      </c>
      <c r="AS1916" s="1" t="s">
        <v>71</v>
      </c>
      <c r="AX1916" s="1" t="s">
        <v>71</v>
      </c>
      <c r="AY1916" s="1" t="s">
        <v>59</v>
      </c>
      <c r="AZ1916" s="1" t="s">
        <v>74</v>
      </c>
      <c r="BH1916" s="1" t="s">
        <v>71</v>
      </c>
    </row>
    <row r="1917" customFormat="false" ht="15" hidden="false" customHeight="false" outlineLevel="0" collapsed="false">
      <c r="A1917" s="1" t="s">
        <v>6544</v>
      </c>
      <c r="B1917" s="1" t="s">
        <v>6545</v>
      </c>
      <c r="C1917" s="1" t="s">
        <v>163</v>
      </c>
      <c r="D1917" s="1" t="s">
        <v>267</v>
      </c>
      <c r="E1917" s="1" t="s">
        <v>61</v>
      </c>
      <c r="F1917" s="1" t="s">
        <v>101</v>
      </c>
      <c r="G1917" s="1" t="s">
        <v>1479</v>
      </c>
      <c r="H1917" s="1" t="s">
        <v>5583</v>
      </c>
      <c r="K1917" s="1" t="s">
        <v>275</v>
      </c>
      <c r="L1917" s="1" t="s">
        <v>5584</v>
      </c>
      <c r="M1917" s="1" t="s">
        <v>278</v>
      </c>
      <c r="N1917" s="1" t="s">
        <v>4854</v>
      </c>
      <c r="O1917" s="1" t="s">
        <v>4855</v>
      </c>
      <c r="P1917" s="1" t="s">
        <v>4856</v>
      </c>
      <c r="U1917" s="1" t="s">
        <v>6544</v>
      </c>
      <c r="Z1917" s="1" t="s">
        <v>71</v>
      </c>
      <c r="AE1917" s="1" t="s">
        <v>6546</v>
      </c>
      <c r="AH1917" s="1" t="s">
        <v>73</v>
      </c>
      <c r="AK1917" s="1" t="s">
        <v>71</v>
      </c>
      <c r="AM1917" s="1" t="s">
        <v>71</v>
      </c>
      <c r="AN1917" s="1" t="s">
        <v>71</v>
      </c>
      <c r="AS1917" s="1" t="s">
        <v>71</v>
      </c>
      <c r="AX1917" s="1" t="s">
        <v>71</v>
      </c>
      <c r="AY1917" s="1" t="s">
        <v>59</v>
      </c>
      <c r="AZ1917" s="1" t="s">
        <v>74</v>
      </c>
      <c r="BH1917" s="1" t="s">
        <v>71</v>
      </c>
    </row>
    <row r="1918" customFormat="false" ht="15" hidden="false" customHeight="false" outlineLevel="0" collapsed="false">
      <c r="A1918" s="1" t="s">
        <v>6547</v>
      </c>
      <c r="B1918" s="1" t="s">
        <v>6548</v>
      </c>
      <c r="C1918" s="1" t="s">
        <v>163</v>
      </c>
      <c r="D1918" s="1" t="s">
        <v>267</v>
      </c>
      <c r="E1918" s="1" t="s">
        <v>61</v>
      </c>
      <c r="F1918" s="1" t="s">
        <v>101</v>
      </c>
      <c r="G1918" s="1" t="s">
        <v>126</v>
      </c>
      <c r="H1918" s="1" t="s">
        <v>6116</v>
      </c>
      <c r="K1918" s="1" t="s">
        <v>65</v>
      </c>
      <c r="L1918" s="1" t="s">
        <v>268</v>
      </c>
      <c r="M1918" s="1" t="s">
        <v>5063</v>
      </c>
      <c r="N1918" s="1" t="s">
        <v>259</v>
      </c>
      <c r="O1918" s="1" t="s">
        <v>260</v>
      </c>
      <c r="P1918" s="1" t="s">
        <v>3768</v>
      </c>
      <c r="U1918" s="1" t="s">
        <v>6547</v>
      </c>
      <c r="Z1918" s="1" t="s">
        <v>71</v>
      </c>
      <c r="AE1918" s="1" t="s">
        <v>6546</v>
      </c>
      <c r="AH1918" s="1" t="s">
        <v>73</v>
      </c>
      <c r="AK1918" s="1" t="s">
        <v>71</v>
      </c>
      <c r="AM1918" s="1" t="s">
        <v>71</v>
      </c>
      <c r="AN1918" s="1" t="s">
        <v>71</v>
      </c>
      <c r="AS1918" s="1" t="s">
        <v>71</v>
      </c>
      <c r="AX1918" s="1" t="s">
        <v>71</v>
      </c>
      <c r="AY1918" s="1" t="s">
        <v>59</v>
      </c>
      <c r="AZ1918" s="1" t="s">
        <v>74</v>
      </c>
      <c r="BH1918" s="1" t="s">
        <v>71</v>
      </c>
    </row>
    <row r="1919" customFormat="false" ht="15" hidden="false" customHeight="false" outlineLevel="0" collapsed="false">
      <c r="A1919" s="1" t="s">
        <v>6549</v>
      </c>
      <c r="B1919" s="1" t="s">
        <v>6550</v>
      </c>
      <c r="C1919" s="1" t="s">
        <v>163</v>
      </c>
      <c r="D1919" s="1" t="s">
        <v>267</v>
      </c>
      <c r="E1919" s="1" t="s">
        <v>61</v>
      </c>
      <c r="F1919" s="1" t="s">
        <v>101</v>
      </c>
      <c r="G1919" s="1" t="s">
        <v>126</v>
      </c>
      <c r="H1919" s="1" t="s">
        <v>6116</v>
      </c>
      <c r="K1919" s="1" t="s">
        <v>61</v>
      </c>
      <c r="L1919" s="1" t="s">
        <v>5279</v>
      </c>
      <c r="M1919" s="1" t="s">
        <v>278</v>
      </c>
      <c r="N1919" s="1" t="s">
        <v>5646</v>
      </c>
      <c r="O1919" s="1" t="s">
        <v>5647</v>
      </c>
      <c r="P1919" s="1" t="s">
        <v>5648</v>
      </c>
      <c r="U1919" s="1" t="s">
        <v>6549</v>
      </c>
      <c r="Z1919" s="1" t="s">
        <v>71</v>
      </c>
      <c r="AE1919" s="1" t="s">
        <v>6546</v>
      </c>
      <c r="AH1919" s="1" t="s">
        <v>73</v>
      </c>
      <c r="AK1919" s="1" t="s">
        <v>71</v>
      </c>
      <c r="AM1919" s="1" t="s">
        <v>71</v>
      </c>
      <c r="AN1919" s="1" t="s">
        <v>71</v>
      </c>
      <c r="AS1919" s="1" t="s">
        <v>71</v>
      </c>
      <c r="AX1919" s="1" t="s">
        <v>71</v>
      </c>
      <c r="AY1919" s="1" t="s">
        <v>59</v>
      </c>
      <c r="AZ1919" s="1" t="s">
        <v>74</v>
      </c>
      <c r="BH1919" s="1" t="s">
        <v>71</v>
      </c>
    </row>
    <row r="1920" customFormat="false" ht="15" hidden="false" customHeight="false" outlineLevel="0" collapsed="false">
      <c r="A1920" s="1" t="s">
        <v>6551</v>
      </c>
      <c r="B1920" s="1" t="s">
        <v>6552</v>
      </c>
      <c r="C1920" s="1" t="s">
        <v>265</v>
      </c>
      <c r="D1920" s="1" t="s">
        <v>897</v>
      </c>
      <c r="E1920" s="1" t="s">
        <v>88</v>
      </c>
      <c r="F1920" s="1" t="s">
        <v>432</v>
      </c>
      <c r="G1920" s="1" t="s">
        <v>433</v>
      </c>
      <c r="H1920" s="1" t="s">
        <v>434</v>
      </c>
      <c r="K1920" s="1" t="s">
        <v>435</v>
      </c>
      <c r="L1920" s="1" t="s">
        <v>436</v>
      </c>
      <c r="M1920" s="1" t="s">
        <v>496</v>
      </c>
      <c r="N1920" s="1" t="s">
        <v>437</v>
      </c>
      <c r="O1920" s="1" t="s">
        <v>438</v>
      </c>
      <c r="P1920" s="1" t="s">
        <v>5449</v>
      </c>
      <c r="Z1920" s="1" t="s">
        <v>71</v>
      </c>
      <c r="AE1920" s="1" t="s">
        <v>6553</v>
      </c>
      <c r="AH1920" s="1" t="s">
        <v>73</v>
      </c>
      <c r="AK1920" s="1" t="s">
        <v>71</v>
      </c>
      <c r="AM1920" s="1" t="s">
        <v>71</v>
      </c>
      <c r="AN1920" s="1" t="s">
        <v>71</v>
      </c>
      <c r="AS1920" s="1" t="s">
        <v>71</v>
      </c>
      <c r="AX1920" s="1" t="s">
        <v>71</v>
      </c>
      <c r="BH1920" s="1" t="s">
        <v>71</v>
      </c>
    </row>
    <row r="1921" customFormat="false" ht="15" hidden="false" customHeight="false" outlineLevel="0" collapsed="false">
      <c r="A1921" s="1" t="s">
        <v>6554</v>
      </c>
      <c r="B1921" s="1" t="s">
        <v>6555</v>
      </c>
      <c r="C1921" s="1" t="s">
        <v>1636</v>
      </c>
      <c r="D1921" s="1" t="s">
        <v>6144</v>
      </c>
      <c r="E1921" s="1" t="s">
        <v>61</v>
      </c>
      <c r="F1921" s="1" t="s">
        <v>101</v>
      </c>
      <c r="G1921" s="1" t="s">
        <v>1479</v>
      </c>
      <c r="H1921" s="1" t="s">
        <v>5583</v>
      </c>
      <c r="K1921" s="1" t="s">
        <v>275</v>
      </c>
      <c r="L1921" s="1" t="s">
        <v>5584</v>
      </c>
      <c r="M1921" s="1" t="s">
        <v>258</v>
      </c>
      <c r="N1921" s="1" t="s">
        <v>4854</v>
      </c>
      <c r="O1921" s="1" t="s">
        <v>4855</v>
      </c>
      <c r="P1921" s="1" t="s">
        <v>4856</v>
      </c>
      <c r="U1921" s="1" t="s">
        <v>6554</v>
      </c>
      <c r="Z1921" s="1" t="s">
        <v>71</v>
      </c>
      <c r="AE1921" s="1" t="s">
        <v>6556</v>
      </c>
      <c r="AH1921" s="1" t="s">
        <v>73</v>
      </c>
      <c r="AK1921" s="1" t="s">
        <v>71</v>
      </c>
      <c r="AM1921" s="1" t="s">
        <v>71</v>
      </c>
      <c r="AN1921" s="1" t="s">
        <v>71</v>
      </c>
      <c r="AS1921" s="1" t="s">
        <v>71</v>
      </c>
      <c r="AX1921" s="1" t="s">
        <v>71</v>
      </c>
      <c r="AY1921" s="1" t="s">
        <v>59</v>
      </c>
      <c r="AZ1921" s="1" t="s">
        <v>74</v>
      </c>
      <c r="BH1921" s="1" t="s">
        <v>71</v>
      </c>
    </row>
    <row r="1922" customFormat="false" ht="15" hidden="false" customHeight="false" outlineLevel="0" collapsed="false">
      <c r="A1922" s="1" t="s">
        <v>6557</v>
      </c>
      <c r="B1922" s="1" t="s">
        <v>6558</v>
      </c>
      <c r="C1922" s="1" t="s">
        <v>1636</v>
      </c>
      <c r="D1922" s="1" t="s">
        <v>6144</v>
      </c>
      <c r="E1922" s="1" t="s">
        <v>61</v>
      </c>
      <c r="F1922" s="1" t="s">
        <v>101</v>
      </c>
      <c r="G1922" s="1" t="s">
        <v>1479</v>
      </c>
      <c r="H1922" s="1" t="s">
        <v>5583</v>
      </c>
      <c r="K1922" s="1" t="s">
        <v>275</v>
      </c>
      <c r="L1922" s="1" t="s">
        <v>5584</v>
      </c>
      <c r="M1922" s="1" t="s">
        <v>258</v>
      </c>
      <c r="N1922" s="1" t="s">
        <v>4854</v>
      </c>
      <c r="O1922" s="1" t="s">
        <v>4855</v>
      </c>
      <c r="P1922" s="1" t="s">
        <v>4856</v>
      </c>
      <c r="U1922" s="1" t="s">
        <v>6557</v>
      </c>
      <c r="Z1922" s="1" t="s">
        <v>71</v>
      </c>
      <c r="AE1922" s="1" t="s">
        <v>6556</v>
      </c>
      <c r="AH1922" s="1" t="s">
        <v>73</v>
      </c>
      <c r="AK1922" s="1" t="s">
        <v>71</v>
      </c>
      <c r="AM1922" s="1" t="s">
        <v>71</v>
      </c>
      <c r="AN1922" s="1" t="s">
        <v>71</v>
      </c>
      <c r="AS1922" s="1" t="s">
        <v>71</v>
      </c>
      <c r="AX1922" s="1" t="s">
        <v>71</v>
      </c>
      <c r="AY1922" s="1" t="s">
        <v>59</v>
      </c>
      <c r="AZ1922" s="1" t="s">
        <v>74</v>
      </c>
      <c r="BH1922" s="1" t="s">
        <v>71</v>
      </c>
    </row>
    <row r="1923" customFormat="false" ht="15" hidden="false" customHeight="false" outlineLevel="0" collapsed="false">
      <c r="A1923" s="1" t="s">
        <v>6559</v>
      </c>
      <c r="B1923" s="1" t="s">
        <v>6560</v>
      </c>
      <c r="C1923" s="1" t="s">
        <v>161</v>
      </c>
      <c r="D1923" s="1" t="s">
        <v>162</v>
      </c>
      <c r="E1923" s="1" t="s">
        <v>61</v>
      </c>
      <c r="F1923" s="1" t="s">
        <v>101</v>
      </c>
      <c r="G1923" s="1" t="s">
        <v>93</v>
      </c>
      <c r="H1923" s="1" t="s">
        <v>64</v>
      </c>
      <c r="K1923" s="1" t="s">
        <v>126</v>
      </c>
      <c r="L1923" s="1" t="s">
        <v>335</v>
      </c>
      <c r="M1923" s="1" t="s">
        <v>1555</v>
      </c>
      <c r="N1923" s="1" t="s">
        <v>105</v>
      </c>
      <c r="O1923" s="1" t="s">
        <v>106</v>
      </c>
      <c r="P1923" s="1" t="s">
        <v>3539</v>
      </c>
      <c r="U1923" s="1" t="s">
        <v>6559</v>
      </c>
      <c r="Z1923" s="1" t="s">
        <v>71</v>
      </c>
      <c r="AE1923" s="1" t="s">
        <v>6561</v>
      </c>
      <c r="AH1923" s="1" t="s">
        <v>73</v>
      </c>
      <c r="AK1923" s="1" t="s">
        <v>71</v>
      </c>
      <c r="AM1923" s="1" t="s">
        <v>71</v>
      </c>
      <c r="AN1923" s="1" t="s">
        <v>71</v>
      </c>
      <c r="AS1923" s="1" t="s">
        <v>71</v>
      </c>
      <c r="AX1923" s="1" t="s">
        <v>71</v>
      </c>
      <c r="AY1923" s="1" t="s">
        <v>59</v>
      </c>
      <c r="AZ1923" s="1" t="s">
        <v>74</v>
      </c>
      <c r="BH1923" s="1" t="s">
        <v>71</v>
      </c>
    </row>
    <row r="1924" customFormat="false" ht="15" hidden="false" customHeight="false" outlineLevel="0" collapsed="false">
      <c r="A1924" s="1" t="s">
        <v>6562</v>
      </c>
      <c r="B1924" s="1" t="s">
        <v>6563</v>
      </c>
      <c r="C1924" s="1" t="s">
        <v>2154</v>
      </c>
      <c r="D1924" s="1" t="s">
        <v>100</v>
      </c>
      <c r="E1924" s="1" t="s">
        <v>65</v>
      </c>
      <c r="F1924" s="1" t="s">
        <v>119</v>
      </c>
      <c r="G1924" s="1" t="s">
        <v>65</v>
      </c>
      <c r="H1924" s="1" t="s">
        <v>64</v>
      </c>
      <c r="K1924" s="1" t="s">
        <v>170</v>
      </c>
      <c r="L1924" s="1" t="s">
        <v>171</v>
      </c>
      <c r="M1924" s="1" t="s">
        <v>104</v>
      </c>
      <c r="N1924" s="1" t="s">
        <v>123</v>
      </c>
      <c r="O1924" s="1" t="s">
        <v>124</v>
      </c>
      <c r="P1924" s="1" t="s">
        <v>4161</v>
      </c>
      <c r="U1924" s="1" t="s">
        <v>6562</v>
      </c>
      <c r="Z1924" s="1" t="s">
        <v>71</v>
      </c>
      <c r="AE1924" s="1" t="s">
        <v>6564</v>
      </c>
      <c r="AH1924" s="1" t="s">
        <v>73</v>
      </c>
      <c r="AK1924" s="1" t="s">
        <v>71</v>
      </c>
      <c r="AM1924" s="1" t="s">
        <v>71</v>
      </c>
      <c r="AN1924" s="1" t="s">
        <v>71</v>
      </c>
      <c r="AS1924" s="1" t="s">
        <v>71</v>
      </c>
      <c r="AX1924" s="1" t="s">
        <v>71</v>
      </c>
      <c r="AY1924" s="1" t="s">
        <v>59</v>
      </c>
      <c r="AZ1924" s="1" t="s">
        <v>74</v>
      </c>
      <c r="BH1924" s="1" t="s">
        <v>71</v>
      </c>
    </row>
    <row r="1925" customFormat="false" ht="15" hidden="false" customHeight="false" outlineLevel="0" collapsed="false">
      <c r="A1925" s="1" t="s">
        <v>6565</v>
      </c>
      <c r="B1925" s="1" t="s">
        <v>6566</v>
      </c>
      <c r="C1925" s="1" t="s">
        <v>163</v>
      </c>
      <c r="D1925" s="1" t="s">
        <v>267</v>
      </c>
      <c r="E1925" s="1" t="s">
        <v>61</v>
      </c>
      <c r="F1925" s="1" t="s">
        <v>101</v>
      </c>
      <c r="G1925" s="1" t="s">
        <v>126</v>
      </c>
      <c r="H1925" s="1" t="s">
        <v>6116</v>
      </c>
      <c r="K1925" s="1" t="s">
        <v>65</v>
      </c>
      <c r="L1925" s="1" t="s">
        <v>268</v>
      </c>
      <c r="M1925" s="1" t="s">
        <v>278</v>
      </c>
      <c r="N1925" s="1" t="s">
        <v>259</v>
      </c>
      <c r="O1925" s="1" t="s">
        <v>260</v>
      </c>
      <c r="P1925" s="1" t="s">
        <v>3768</v>
      </c>
      <c r="U1925" s="1" t="s">
        <v>6565</v>
      </c>
      <c r="Z1925" s="1" t="s">
        <v>71</v>
      </c>
      <c r="AE1925" s="1" t="s">
        <v>6567</v>
      </c>
      <c r="AH1925" s="1" t="s">
        <v>73</v>
      </c>
      <c r="AK1925" s="1" t="s">
        <v>71</v>
      </c>
      <c r="AM1925" s="1" t="s">
        <v>71</v>
      </c>
      <c r="AN1925" s="1" t="s">
        <v>71</v>
      </c>
      <c r="AS1925" s="1" t="s">
        <v>71</v>
      </c>
      <c r="AX1925" s="1" t="s">
        <v>71</v>
      </c>
      <c r="AY1925" s="1" t="s">
        <v>59</v>
      </c>
      <c r="AZ1925" s="1" t="s">
        <v>74</v>
      </c>
      <c r="BH1925" s="1" t="s">
        <v>71</v>
      </c>
    </row>
    <row r="1926" customFormat="false" ht="15" hidden="false" customHeight="false" outlineLevel="0" collapsed="false">
      <c r="A1926" s="1" t="s">
        <v>6568</v>
      </c>
      <c r="B1926" s="1" t="s">
        <v>6569</v>
      </c>
      <c r="C1926" s="1" t="s">
        <v>1795</v>
      </c>
      <c r="D1926" s="1" t="s">
        <v>6570</v>
      </c>
      <c r="E1926" s="1" t="s">
        <v>82</v>
      </c>
      <c r="F1926" s="1" t="s">
        <v>391</v>
      </c>
      <c r="G1926" s="1" t="s">
        <v>97</v>
      </c>
      <c r="H1926" s="1" t="s">
        <v>406</v>
      </c>
      <c r="K1926" s="1" t="s">
        <v>836</v>
      </c>
      <c r="L1926" s="1" t="s">
        <v>837</v>
      </c>
      <c r="M1926" s="1" t="s">
        <v>496</v>
      </c>
      <c r="N1926" s="1" t="s">
        <v>3906</v>
      </c>
      <c r="O1926" s="1" t="s">
        <v>447</v>
      </c>
      <c r="P1926" s="1" t="s">
        <v>3907</v>
      </c>
      <c r="Z1926" s="1" t="s">
        <v>71</v>
      </c>
      <c r="AE1926" s="1" t="s">
        <v>6571</v>
      </c>
      <c r="AH1926" s="1" t="s">
        <v>73</v>
      </c>
      <c r="AK1926" s="1" t="s">
        <v>71</v>
      </c>
      <c r="AM1926" s="1" t="s">
        <v>71</v>
      </c>
      <c r="AN1926" s="1" t="s">
        <v>71</v>
      </c>
      <c r="AS1926" s="1" t="s">
        <v>71</v>
      </c>
      <c r="AX1926" s="1" t="s">
        <v>71</v>
      </c>
      <c r="BH1926" s="1" t="s">
        <v>71</v>
      </c>
    </row>
    <row r="1927" customFormat="false" ht="15" hidden="false" customHeight="false" outlineLevel="0" collapsed="false">
      <c r="A1927" s="1" t="s">
        <v>6572</v>
      </c>
      <c r="B1927" s="1" t="s">
        <v>6573</v>
      </c>
      <c r="C1927" s="1" t="s">
        <v>163</v>
      </c>
      <c r="D1927" s="1" t="s">
        <v>267</v>
      </c>
      <c r="E1927" s="1" t="s">
        <v>61</v>
      </c>
      <c r="F1927" s="1" t="s">
        <v>101</v>
      </c>
      <c r="G1927" s="1" t="s">
        <v>177</v>
      </c>
      <c r="H1927" s="1" t="s">
        <v>255</v>
      </c>
      <c r="K1927" s="1" t="s">
        <v>173</v>
      </c>
      <c r="L1927" s="1" t="s">
        <v>299</v>
      </c>
      <c r="M1927" s="1" t="s">
        <v>5063</v>
      </c>
      <c r="N1927" s="1" t="s">
        <v>259</v>
      </c>
      <c r="O1927" s="1" t="s">
        <v>260</v>
      </c>
      <c r="P1927" s="1" t="s">
        <v>3768</v>
      </c>
      <c r="U1927" s="1" t="s">
        <v>6572</v>
      </c>
      <c r="Z1927" s="1" t="s">
        <v>71</v>
      </c>
      <c r="AE1927" s="1" t="s">
        <v>6574</v>
      </c>
      <c r="AH1927" s="1" t="s">
        <v>73</v>
      </c>
      <c r="AK1927" s="1" t="s">
        <v>71</v>
      </c>
      <c r="AM1927" s="1" t="s">
        <v>71</v>
      </c>
      <c r="AN1927" s="1" t="s">
        <v>71</v>
      </c>
      <c r="AS1927" s="1" t="s">
        <v>71</v>
      </c>
      <c r="AX1927" s="1" t="s">
        <v>71</v>
      </c>
      <c r="AY1927" s="1" t="s">
        <v>59</v>
      </c>
      <c r="AZ1927" s="1" t="s">
        <v>74</v>
      </c>
      <c r="BH1927" s="1" t="s">
        <v>71</v>
      </c>
    </row>
    <row r="1928" customFormat="false" ht="15" hidden="false" customHeight="false" outlineLevel="0" collapsed="false">
      <c r="A1928" s="1" t="s">
        <v>6575</v>
      </c>
      <c r="B1928" s="1" t="s">
        <v>6576</v>
      </c>
      <c r="C1928" s="1" t="s">
        <v>163</v>
      </c>
      <c r="D1928" s="1" t="s">
        <v>267</v>
      </c>
      <c r="E1928" s="1" t="s">
        <v>61</v>
      </c>
      <c r="F1928" s="1" t="s">
        <v>101</v>
      </c>
      <c r="G1928" s="1" t="s">
        <v>126</v>
      </c>
      <c r="H1928" s="1" t="s">
        <v>6116</v>
      </c>
      <c r="K1928" s="1" t="s">
        <v>65</v>
      </c>
      <c r="L1928" s="1" t="s">
        <v>268</v>
      </c>
      <c r="M1928" s="1" t="s">
        <v>278</v>
      </c>
      <c r="N1928" s="1" t="s">
        <v>259</v>
      </c>
      <c r="O1928" s="1" t="s">
        <v>260</v>
      </c>
      <c r="P1928" s="1" t="s">
        <v>3768</v>
      </c>
      <c r="U1928" s="1" t="s">
        <v>6575</v>
      </c>
      <c r="Z1928" s="1" t="s">
        <v>71</v>
      </c>
      <c r="AE1928" s="1" t="s">
        <v>6574</v>
      </c>
      <c r="AH1928" s="1" t="s">
        <v>73</v>
      </c>
      <c r="AK1928" s="1" t="s">
        <v>71</v>
      </c>
      <c r="AM1928" s="1" t="s">
        <v>71</v>
      </c>
      <c r="AN1928" s="1" t="s">
        <v>71</v>
      </c>
      <c r="AS1928" s="1" t="s">
        <v>71</v>
      </c>
      <c r="AX1928" s="1" t="s">
        <v>71</v>
      </c>
      <c r="AY1928" s="1" t="s">
        <v>59</v>
      </c>
      <c r="AZ1928" s="1" t="s">
        <v>74</v>
      </c>
      <c r="BH1928" s="1" t="s">
        <v>71</v>
      </c>
    </row>
    <row r="1929" customFormat="false" ht="15" hidden="false" customHeight="false" outlineLevel="0" collapsed="false">
      <c r="A1929" s="1" t="s">
        <v>6577</v>
      </c>
      <c r="B1929" s="1" t="s">
        <v>6578</v>
      </c>
      <c r="C1929" s="1" t="s">
        <v>163</v>
      </c>
      <c r="D1929" s="1" t="s">
        <v>267</v>
      </c>
      <c r="E1929" s="1" t="s">
        <v>61</v>
      </c>
      <c r="F1929" s="1" t="s">
        <v>101</v>
      </c>
      <c r="G1929" s="1" t="s">
        <v>275</v>
      </c>
      <c r="H1929" s="1" t="s">
        <v>276</v>
      </c>
      <c r="K1929" s="1" t="s">
        <v>256</v>
      </c>
      <c r="L1929" s="1" t="s">
        <v>6281</v>
      </c>
      <c r="M1929" s="1" t="s">
        <v>1655</v>
      </c>
      <c r="N1929" s="1" t="s">
        <v>6579</v>
      </c>
      <c r="O1929" s="1" t="s">
        <v>6580</v>
      </c>
      <c r="P1929" s="1" t="s">
        <v>6581</v>
      </c>
      <c r="U1929" s="1" t="s">
        <v>6577</v>
      </c>
      <c r="Z1929" s="1" t="s">
        <v>71</v>
      </c>
      <c r="AE1929" s="1" t="s">
        <v>6574</v>
      </c>
      <c r="AH1929" s="1" t="s">
        <v>73</v>
      </c>
      <c r="AK1929" s="1" t="s">
        <v>71</v>
      </c>
      <c r="AM1929" s="1" t="s">
        <v>71</v>
      </c>
      <c r="AN1929" s="1" t="s">
        <v>71</v>
      </c>
      <c r="AS1929" s="1" t="s">
        <v>71</v>
      </c>
      <c r="AX1929" s="1" t="s">
        <v>71</v>
      </c>
      <c r="AY1929" s="1" t="s">
        <v>59</v>
      </c>
      <c r="AZ1929" s="1" t="s">
        <v>74</v>
      </c>
      <c r="BH1929" s="1" t="s">
        <v>71</v>
      </c>
    </row>
    <row r="1930" customFormat="false" ht="15" hidden="false" customHeight="false" outlineLevel="0" collapsed="false">
      <c r="A1930" s="1" t="s">
        <v>6582</v>
      </c>
      <c r="B1930" s="1" t="s">
        <v>6583</v>
      </c>
      <c r="C1930" s="1" t="s">
        <v>1734</v>
      </c>
      <c r="D1930" s="1" t="s">
        <v>6340</v>
      </c>
      <c r="E1930" s="1" t="s">
        <v>61</v>
      </c>
      <c r="F1930" s="1" t="s">
        <v>101</v>
      </c>
      <c r="G1930" s="1" t="s">
        <v>1479</v>
      </c>
      <c r="H1930" s="1" t="s">
        <v>5583</v>
      </c>
      <c r="K1930" s="1" t="s">
        <v>148</v>
      </c>
      <c r="L1930" s="1" t="s">
        <v>6584</v>
      </c>
      <c r="M1930" s="1" t="s">
        <v>1589</v>
      </c>
      <c r="N1930" s="1" t="s">
        <v>6357</v>
      </c>
      <c r="O1930" s="1" t="s">
        <v>6358</v>
      </c>
      <c r="P1930" s="1" t="s">
        <v>6359</v>
      </c>
      <c r="U1930" s="1" t="s">
        <v>6582</v>
      </c>
      <c r="Z1930" s="1" t="s">
        <v>71</v>
      </c>
      <c r="AE1930" s="1" t="s">
        <v>6585</v>
      </c>
      <c r="AH1930" s="1" t="s">
        <v>73</v>
      </c>
      <c r="AK1930" s="1" t="s">
        <v>71</v>
      </c>
      <c r="AM1930" s="1" t="s">
        <v>71</v>
      </c>
      <c r="AN1930" s="1" t="s">
        <v>71</v>
      </c>
      <c r="AS1930" s="1" t="s">
        <v>71</v>
      </c>
      <c r="AX1930" s="1" t="s">
        <v>71</v>
      </c>
      <c r="AY1930" s="1" t="s">
        <v>59</v>
      </c>
      <c r="AZ1930" s="1" t="s">
        <v>74</v>
      </c>
      <c r="BH1930" s="1" t="s">
        <v>71</v>
      </c>
    </row>
    <row r="1931" customFormat="false" ht="15" hidden="false" customHeight="false" outlineLevel="0" collapsed="false">
      <c r="A1931" s="1" t="s">
        <v>6586</v>
      </c>
      <c r="B1931" s="1" t="s">
        <v>6587</v>
      </c>
      <c r="C1931" s="1" t="s">
        <v>1740</v>
      </c>
      <c r="D1931" s="1" t="s">
        <v>4959</v>
      </c>
      <c r="E1931" s="1" t="s">
        <v>61</v>
      </c>
      <c r="F1931" s="1" t="s">
        <v>101</v>
      </c>
      <c r="G1931" s="1" t="s">
        <v>93</v>
      </c>
      <c r="H1931" s="1" t="s">
        <v>64</v>
      </c>
      <c r="K1931" s="1" t="s">
        <v>224</v>
      </c>
      <c r="L1931" s="1" t="s">
        <v>225</v>
      </c>
      <c r="M1931" s="1" t="s">
        <v>6037</v>
      </c>
      <c r="N1931" s="1" t="s">
        <v>105</v>
      </c>
      <c r="O1931" s="1" t="s">
        <v>106</v>
      </c>
      <c r="P1931" s="1" t="s">
        <v>3539</v>
      </c>
      <c r="U1931" s="1" t="s">
        <v>6586</v>
      </c>
      <c r="Z1931" s="1" t="s">
        <v>71</v>
      </c>
      <c r="AE1931" s="1" t="s">
        <v>6588</v>
      </c>
      <c r="AH1931" s="1" t="s">
        <v>73</v>
      </c>
      <c r="AK1931" s="1" t="s">
        <v>71</v>
      </c>
      <c r="AM1931" s="1" t="s">
        <v>71</v>
      </c>
      <c r="AN1931" s="1" t="s">
        <v>71</v>
      </c>
      <c r="AS1931" s="1" t="s">
        <v>71</v>
      </c>
      <c r="AX1931" s="1" t="s">
        <v>71</v>
      </c>
      <c r="AY1931" s="1" t="s">
        <v>59</v>
      </c>
      <c r="AZ1931" s="1" t="s">
        <v>74</v>
      </c>
      <c r="BH1931" s="1" t="s">
        <v>71</v>
      </c>
    </row>
    <row r="1932" customFormat="false" ht="15" hidden="false" customHeight="false" outlineLevel="0" collapsed="false">
      <c r="A1932" s="1" t="s">
        <v>6589</v>
      </c>
      <c r="B1932" s="1" t="s">
        <v>6590</v>
      </c>
      <c r="C1932" s="1" t="s">
        <v>1742</v>
      </c>
      <c r="D1932" s="1" t="s">
        <v>6399</v>
      </c>
      <c r="E1932" s="1" t="s">
        <v>61</v>
      </c>
      <c r="F1932" s="1" t="s">
        <v>101</v>
      </c>
      <c r="G1932" s="1" t="s">
        <v>1479</v>
      </c>
      <c r="H1932" s="1" t="s">
        <v>5583</v>
      </c>
      <c r="K1932" s="1" t="s">
        <v>275</v>
      </c>
      <c r="L1932" s="1" t="s">
        <v>5584</v>
      </c>
      <c r="M1932" s="1" t="s">
        <v>278</v>
      </c>
      <c r="N1932" s="1" t="s">
        <v>4854</v>
      </c>
      <c r="O1932" s="1" t="s">
        <v>4855</v>
      </c>
      <c r="P1932" s="1" t="s">
        <v>4856</v>
      </c>
      <c r="U1932" s="1" t="s">
        <v>6589</v>
      </c>
      <c r="Z1932" s="1" t="s">
        <v>71</v>
      </c>
      <c r="AE1932" s="1" t="s">
        <v>6588</v>
      </c>
      <c r="AH1932" s="1" t="s">
        <v>73</v>
      </c>
      <c r="AK1932" s="1" t="s">
        <v>71</v>
      </c>
      <c r="AM1932" s="1" t="s">
        <v>71</v>
      </c>
      <c r="AN1932" s="1" t="s">
        <v>71</v>
      </c>
      <c r="AS1932" s="1" t="s">
        <v>71</v>
      </c>
      <c r="AX1932" s="1" t="s">
        <v>71</v>
      </c>
      <c r="AY1932" s="1" t="s">
        <v>59</v>
      </c>
      <c r="AZ1932" s="1" t="s">
        <v>74</v>
      </c>
      <c r="BH1932" s="1" t="s">
        <v>71</v>
      </c>
    </row>
    <row r="1933" customFormat="false" ht="15" hidden="false" customHeight="false" outlineLevel="0" collapsed="false">
      <c r="A1933" s="1" t="s">
        <v>6591</v>
      </c>
      <c r="B1933" s="1" t="s">
        <v>6592</v>
      </c>
      <c r="C1933" s="1" t="s">
        <v>5543</v>
      </c>
      <c r="D1933" s="1" t="s">
        <v>5544</v>
      </c>
      <c r="E1933" s="1" t="s">
        <v>61</v>
      </c>
      <c r="F1933" s="1" t="s">
        <v>101</v>
      </c>
      <c r="G1933" s="1" t="s">
        <v>93</v>
      </c>
      <c r="H1933" s="1" t="s">
        <v>64</v>
      </c>
      <c r="K1933" s="1" t="s">
        <v>5548</v>
      </c>
      <c r="L1933" s="1" t="s">
        <v>5549</v>
      </c>
      <c r="M1933" s="1" t="s">
        <v>278</v>
      </c>
      <c r="N1933" s="1" t="s">
        <v>105</v>
      </c>
      <c r="O1933" s="1" t="s">
        <v>106</v>
      </c>
      <c r="P1933" s="1" t="s">
        <v>3539</v>
      </c>
      <c r="U1933" s="1" t="s">
        <v>6591</v>
      </c>
      <c r="Z1933" s="1" t="s">
        <v>71</v>
      </c>
      <c r="AE1933" s="1" t="s">
        <v>6593</v>
      </c>
      <c r="AH1933" s="1" t="s">
        <v>73</v>
      </c>
      <c r="AK1933" s="1" t="s">
        <v>71</v>
      </c>
      <c r="AM1933" s="1" t="s">
        <v>71</v>
      </c>
      <c r="AN1933" s="1" t="s">
        <v>71</v>
      </c>
      <c r="AS1933" s="1" t="s">
        <v>71</v>
      </c>
      <c r="AX1933" s="1" t="s">
        <v>71</v>
      </c>
      <c r="AY1933" s="1" t="s">
        <v>59</v>
      </c>
      <c r="AZ1933" s="1" t="s">
        <v>74</v>
      </c>
      <c r="BH1933" s="1" t="s">
        <v>71</v>
      </c>
    </row>
    <row r="1934" customFormat="false" ht="15" hidden="false" customHeight="false" outlineLevel="0" collapsed="false">
      <c r="A1934" s="1" t="s">
        <v>6594</v>
      </c>
      <c r="B1934" s="1" t="s">
        <v>6595</v>
      </c>
      <c r="C1934" s="1" t="s">
        <v>5543</v>
      </c>
      <c r="D1934" s="1" t="s">
        <v>5544</v>
      </c>
      <c r="E1934" s="1" t="s">
        <v>61</v>
      </c>
      <c r="F1934" s="1" t="s">
        <v>101</v>
      </c>
      <c r="G1934" s="1" t="s">
        <v>93</v>
      </c>
      <c r="H1934" s="1" t="s">
        <v>64</v>
      </c>
      <c r="K1934" s="1" t="s">
        <v>988</v>
      </c>
      <c r="L1934" s="1" t="s">
        <v>5707</v>
      </c>
      <c r="M1934" s="1" t="s">
        <v>5708</v>
      </c>
      <c r="N1934" s="1" t="s">
        <v>5709</v>
      </c>
      <c r="O1934" s="1" t="s">
        <v>5710</v>
      </c>
      <c r="P1934" s="1" t="s">
        <v>5711</v>
      </c>
      <c r="U1934" s="1" t="s">
        <v>6594</v>
      </c>
      <c r="Z1934" s="1" t="s">
        <v>71</v>
      </c>
      <c r="AE1934" s="1" t="s">
        <v>6593</v>
      </c>
      <c r="AH1934" s="1" t="s">
        <v>73</v>
      </c>
      <c r="AK1934" s="1" t="s">
        <v>71</v>
      </c>
      <c r="AM1934" s="1" t="s">
        <v>71</v>
      </c>
      <c r="AN1934" s="1" t="s">
        <v>71</v>
      </c>
      <c r="AS1934" s="1" t="s">
        <v>71</v>
      </c>
      <c r="AX1934" s="1" t="s">
        <v>71</v>
      </c>
      <c r="AY1934" s="1" t="s">
        <v>59</v>
      </c>
      <c r="AZ1934" s="1" t="s">
        <v>74</v>
      </c>
      <c r="BH1934" s="1" t="s">
        <v>71</v>
      </c>
    </row>
    <row r="1935" customFormat="false" ht="15" hidden="false" customHeight="false" outlineLevel="0" collapsed="false">
      <c r="A1935" s="1" t="s">
        <v>6596</v>
      </c>
      <c r="B1935" s="1" t="s">
        <v>6597</v>
      </c>
      <c r="C1935" s="1" t="s">
        <v>6598</v>
      </c>
      <c r="D1935" s="1" t="s">
        <v>208</v>
      </c>
      <c r="E1935" s="1" t="s">
        <v>61</v>
      </c>
      <c r="F1935" s="1" t="s">
        <v>101</v>
      </c>
      <c r="G1935" s="1" t="s">
        <v>93</v>
      </c>
      <c r="H1935" s="1" t="s">
        <v>64</v>
      </c>
      <c r="K1935" s="1" t="s">
        <v>302</v>
      </c>
      <c r="L1935" s="1" t="s">
        <v>303</v>
      </c>
      <c r="M1935" s="1" t="s">
        <v>1555</v>
      </c>
      <c r="N1935" s="1" t="s">
        <v>123</v>
      </c>
      <c r="O1935" s="1" t="s">
        <v>124</v>
      </c>
      <c r="P1935" s="1" t="s">
        <v>4161</v>
      </c>
      <c r="U1935" s="1" t="s">
        <v>6596</v>
      </c>
      <c r="Z1935" s="1" t="s">
        <v>71</v>
      </c>
      <c r="AE1935" s="1" t="s">
        <v>6593</v>
      </c>
      <c r="AH1935" s="1" t="s">
        <v>73</v>
      </c>
      <c r="AK1935" s="1" t="s">
        <v>71</v>
      </c>
      <c r="AM1935" s="1" t="s">
        <v>71</v>
      </c>
      <c r="AN1935" s="1" t="s">
        <v>71</v>
      </c>
      <c r="AS1935" s="1" t="s">
        <v>71</v>
      </c>
      <c r="AX1935" s="1" t="s">
        <v>71</v>
      </c>
      <c r="AY1935" s="1" t="s">
        <v>59</v>
      </c>
      <c r="AZ1935" s="1" t="s">
        <v>74</v>
      </c>
      <c r="BH1935" s="1" t="s">
        <v>71</v>
      </c>
    </row>
    <row r="1936" customFormat="false" ht="15" hidden="false" customHeight="false" outlineLevel="0" collapsed="false">
      <c r="A1936" s="1" t="s">
        <v>6599</v>
      </c>
      <c r="B1936" s="1" t="s">
        <v>6600</v>
      </c>
      <c r="C1936" s="1" t="s">
        <v>5487</v>
      </c>
      <c r="D1936" s="1" t="s">
        <v>5488</v>
      </c>
      <c r="E1936" s="1" t="s">
        <v>61</v>
      </c>
      <c r="F1936" s="1" t="s">
        <v>101</v>
      </c>
      <c r="G1936" s="1" t="s">
        <v>148</v>
      </c>
      <c r="H1936" s="1" t="s">
        <v>231</v>
      </c>
      <c r="K1936" s="1" t="s">
        <v>232</v>
      </c>
      <c r="L1936" s="1" t="s">
        <v>233</v>
      </c>
      <c r="M1936" s="1" t="s">
        <v>1672</v>
      </c>
      <c r="N1936" s="1" t="s">
        <v>234</v>
      </c>
      <c r="O1936" s="1" t="s">
        <v>235</v>
      </c>
      <c r="P1936" s="1" t="s">
        <v>5284</v>
      </c>
      <c r="U1936" s="1" t="s">
        <v>6599</v>
      </c>
      <c r="Z1936" s="1" t="s">
        <v>71</v>
      </c>
      <c r="AE1936" s="1" t="s">
        <v>6601</v>
      </c>
      <c r="AH1936" s="1" t="s">
        <v>73</v>
      </c>
      <c r="AK1936" s="1" t="s">
        <v>71</v>
      </c>
      <c r="AM1936" s="1" t="s">
        <v>71</v>
      </c>
      <c r="AN1936" s="1" t="s">
        <v>71</v>
      </c>
      <c r="AS1936" s="1" t="s">
        <v>71</v>
      </c>
      <c r="AX1936" s="1" t="s">
        <v>71</v>
      </c>
      <c r="AY1936" s="1" t="s">
        <v>59</v>
      </c>
      <c r="AZ1936" s="1" t="s">
        <v>74</v>
      </c>
      <c r="BH1936" s="1" t="s">
        <v>71</v>
      </c>
    </row>
    <row r="1937" customFormat="false" ht="15" hidden="false" customHeight="false" outlineLevel="0" collapsed="false">
      <c r="A1937" s="1" t="s">
        <v>6602</v>
      </c>
      <c r="B1937" s="1" t="s">
        <v>6603</v>
      </c>
      <c r="C1937" s="1" t="s">
        <v>5487</v>
      </c>
      <c r="D1937" s="1" t="s">
        <v>5488</v>
      </c>
      <c r="E1937" s="1" t="s">
        <v>61</v>
      </c>
      <c r="F1937" s="1" t="s">
        <v>101</v>
      </c>
      <c r="G1937" s="1" t="s">
        <v>148</v>
      </c>
      <c r="H1937" s="1" t="s">
        <v>231</v>
      </c>
      <c r="K1937" s="1" t="s">
        <v>1356</v>
      </c>
      <c r="L1937" s="1" t="s">
        <v>5443</v>
      </c>
      <c r="M1937" s="1" t="s">
        <v>310</v>
      </c>
      <c r="N1937" s="1" t="s">
        <v>243</v>
      </c>
      <c r="O1937" s="1" t="s">
        <v>244</v>
      </c>
      <c r="P1937" s="1" t="s">
        <v>3503</v>
      </c>
      <c r="U1937" s="1" t="s">
        <v>6602</v>
      </c>
      <c r="Z1937" s="1" t="s">
        <v>71</v>
      </c>
      <c r="AE1937" s="1" t="s">
        <v>6601</v>
      </c>
      <c r="AH1937" s="1" t="s">
        <v>73</v>
      </c>
      <c r="AK1937" s="1" t="s">
        <v>71</v>
      </c>
      <c r="AM1937" s="1" t="s">
        <v>71</v>
      </c>
      <c r="AN1937" s="1" t="s">
        <v>71</v>
      </c>
      <c r="AS1937" s="1" t="s">
        <v>71</v>
      </c>
      <c r="AX1937" s="1" t="s">
        <v>71</v>
      </c>
      <c r="AY1937" s="1" t="s">
        <v>59</v>
      </c>
      <c r="AZ1937" s="1" t="s">
        <v>74</v>
      </c>
      <c r="BH1937" s="1" t="s">
        <v>71</v>
      </c>
    </row>
    <row r="1938" customFormat="false" ht="15" hidden="false" customHeight="false" outlineLevel="0" collapsed="false">
      <c r="A1938" s="1" t="s">
        <v>6604</v>
      </c>
      <c r="B1938" s="1" t="s">
        <v>6605</v>
      </c>
      <c r="C1938" s="1" t="s">
        <v>1833</v>
      </c>
      <c r="D1938" s="1" t="s">
        <v>6606</v>
      </c>
      <c r="E1938" s="1" t="s">
        <v>61</v>
      </c>
      <c r="F1938" s="1" t="s">
        <v>101</v>
      </c>
      <c r="G1938" s="1" t="s">
        <v>1772</v>
      </c>
      <c r="H1938" s="1" t="s">
        <v>6148</v>
      </c>
      <c r="K1938" s="1" t="s">
        <v>61</v>
      </c>
      <c r="L1938" s="1" t="s">
        <v>6383</v>
      </c>
      <c r="M1938" s="1" t="s">
        <v>104</v>
      </c>
      <c r="N1938" s="1" t="s">
        <v>6384</v>
      </c>
      <c r="O1938" s="1" t="s">
        <v>6385</v>
      </c>
      <c r="P1938" s="1" t="s">
        <v>6386</v>
      </c>
      <c r="S1938" s="1" t="s">
        <v>229</v>
      </c>
      <c r="U1938" s="1" t="s">
        <v>6604</v>
      </c>
      <c r="Z1938" s="1" t="s">
        <v>71</v>
      </c>
      <c r="AE1938" s="1" t="s">
        <v>6601</v>
      </c>
      <c r="AH1938" s="1" t="s">
        <v>73</v>
      </c>
      <c r="AK1938" s="1" t="s">
        <v>71</v>
      </c>
      <c r="AM1938" s="1" t="s">
        <v>71</v>
      </c>
      <c r="AN1938" s="1" t="s">
        <v>71</v>
      </c>
      <c r="AS1938" s="1" t="s">
        <v>71</v>
      </c>
      <c r="AX1938" s="1" t="s">
        <v>71</v>
      </c>
      <c r="AY1938" s="1" t="s">
        <v>59</v>
      </c>
      <c r="AZ1938" s="1" t="s">
        <v>74</v>
      </c>
      <c r="BH1938" s="1" t="s">
        <v>71</v>
      </c>
    </row>
    <row r="1939" customFormat="false" ht="15" hidden="false" customHeight="false" outlineLevel="0" collapsed="false">
      <c r="A1939" s="1" t="s">
        <v>6607</v>
      </c>
      <c r="B1939" s="1" t="s">
        <v>6608</v>
      </c>
      <c r="C1939" s="1" t="s">
        <v>1833</v>
      </c>
      <c r="D1939" s="1" t="s">
        <v>6606</v>
      </c>
      <c r="E1939" s="1" t="s">
        <v>61</v>
      </c>
      <c r="F1939" s="1" t="s">
        <v>101</v>
      </c>
      <c r="G1939" s="1" t="s">
        <v>1772</v>
      </c>
      <c r="H1939" s="1" t="s">
        <v>6148</v>
      </c>
      <c r="K1939" s="1" t="s">
        <v>61</v>
      </c>
      <c r="L1939" s="1" t="s">
        <v>6383</v>
      </c>
      <c r="M1939" s="1" t="s">
        <v>104</v>
      </c>
      <c r="N1939" s="1" t="s">
        <v>6384</v>
      </c>
      <c r="O1939" s="1" t="s">
        <v>6385</v>
      </c>
      <c r="P1939" s="1" t="s">
        <v>6386</v>
      </c>
      <c r="S1939" s="1" t="s">
        <v>229</v>
      </c>
      <c r="U1939" s="1" t="s">
        <v>6607</v>
      </c>
      <c r="Z1939" s="1" t="s">
        <v>71</v>
      </c>
      <c r="AE1939" s="1" t="s">
        <v>6601</v>
      </c>
      <c r="AH1939" s="1" t="s">
        <v>73</v>
      </c>
      <c r="AK1939" s="1" t="s">
        <v>71</v>
      </c>
      <c r="AM1939" s="1" t="s">
        <v>71</v>
      </c>
      <c r="AN1939" s="1" t="s">
        <v>71</v>
      </c>
      <c r="AS1939" s="1" t="s">
        <v>71</v>
      </c>
      <c r="AX1939" s="1" t="s">
        <v>71</v>
      </c>
      <c r="AY1939" s="1" t="s">
        <v>59</v>
      </c>
      <c r="AZ1939" s="1" t="s">
        <v>74</v>
      </c>
      <c r="BH1939" s="1" t="s">
        <v>71</v>
      </c>
    </row>
    <row r="1940" customFormat="false" ht="15" hidden="false" customHeight="false" outlineLevel="0" collapsed="false">
      <c r="A1940" s="1" t="s">
        <v>6609</v>
      </c>
      <c r="B1940" s="1" t="s">
        <v>6610</v>
      </c>
      <c r="C1940" s="1" t="s">
        <v>1821</v>
      </c>
      <c r="D1940" s="1" t="s">
        <v>6611</v>
      </c>
      <c r="E1940" s="1" t="s">
        <v>59</v>
      </c>
      <c r="F1940" s="1" t="s">
        <v>63</v>
      </c>
      <c r="G1940" s="1" t="s">
        <v>59</v>
      </c>
      <c r="H1940" s="1" t="s">
        <v>64</v>
      </c>
      <c r="K1940" s="1" t="s">
        <v>88</v>
      </c>
      <c r="L1940" s="1" t="s">
        <v>89</v>
      </c>
      <c r="M1940" s="1" t="s">
        <v>1330</v>
      </c>
      <c r="N1940" s="1" t="s">
        <v>85</v>
      </c>
      <c r="O1940" s="1" t="s">
        <v>86</v>
      </c>
      <c r="P1940" s="1" t="s">
        <v>6612</v>
      </c>
      <c r="U1940" s="1" t="s">
        <v>6609</v>
      </c>
      <c r="Z1940" s="1" t="s">
        <v>71</v>
      </c>
      <c r="AE1940" s="1" t="s">
        <v>6613</v>
      </c>
      <c r="AH1940" s="1" t="s">
        <v>73</v>
      </c>
      <c r="AK1940" s="1" t="s">
        <v>71</v>
      </c>
      <c r="AM1940" s="1" t="s">
        <v>71</v>
      </c>
      <c r="AN1940" s="1" t="s">
        <v>71</v>
      </c>
      <c r="AS1940" s="1" t="s">
        <v>71</v>
      </c>
      <c r="AX1940" s="1" t="s">
        <v>71</v>
      </c>
      <c r="AY1940" s="1" t="s">
        <v>59</v>
      </c>
      <c r="AZ1940" s="1" t="s">
        <v>74</v>
      </c>
      <c r="BH1940" s="1" t="s">
        <v>71</v>
      </c>
    </row>
    <row r="1941" customFormat="false" ht="15" hidden="false" customHeight="false" outlineLevel="0" collapsed="false">
      <c r="A1941" s="1" t="s">
        <v>6614</v>
      </c>
      <c r="B1941" s="1" t="s">
        <v>6615</v>
      </c>
      <c r="C1941" s="1" t="s">
        <v>1821</v>
      </c>
      <c r="D1941" s="1" t="s">
        <v>6611</v>
      </c>
      <c r="E1941" s="1" t="s">
        <v>59</v>
      </c>
      <c r="F1941" s="1" t="s">
        <v>63</v>
      </c>
      <c r="G1941" s="1" t="s">
        <v>59</v>
      </c>
      <c r="H1941" s="1" t="s">
        <v>64</v>
      </c>
      <c r="K1941" s="1" t="s">
        <v>93</v>
      </c>
      <c r="L1941" s="1" t="s">
        <v>95</v>
      </c>
      <c r="M1941" s="1" t="s">
        <v>6616</v>
      </c>
      <c r="N1941" s="1" t="s">
        <v>79</v>
      </c>
      <c r="O1941" s="1" t="s">
        <v>80</v>
      </c>
      <c r="P1941" s="1" t="s">
        <v>6617</v>
      </c>
      <c r="U1941" s="1" t="s">
        <v>6614</v>
      </c>
      <c r="Z1941" s="1" t="s">
        <v>71</v>
      </c>
      <c r="AE1941" s="1" t="s">
        <v>6613</v>
      </c>
      <c r="AH1941" s="1" t="s">
        <v>73</v>
      </c>
      <c r="AK1941" s="1" t="s">
        <v>71</v>
      </c>
      <c r="AM1941" s="1" t="s">
        <v>71</v>
      </c>
      <c r="AN1941" s="1" t="s">
        <v>71</v>
      </c>
      <c r="AS1941" s="1" t="s">
        <v>71</v>
      </c>
      <c r="AX1941" s="1" t="s">
        <v>71</v>
      </c>
      <c r="AY1941" s="1" t="s">
        <v>59</v>
      </c>
      <c r="AZ1941" s="1" t="s">
        <v>74</v>
      </c>
      <c r="BH1941" s="1" t="s">
        <v>71</v>
      </c>
    </row>
    <row r="1942" customFormat="false" ht="15" hidden="false" customHeight="false" outlineLevel="0" collapsed="false">
      <c r="A1942" s="1" t="s">
        <v>6618</v>
      </c>
      <c r="B1942" s="1" t="s">
        <v>6619</v>
      </c>
      <c r="C1942" s="1" t="s">
        <v>1795</v>
      </c>
      <c r="D1942" s="1" t="s">
        <v>6570</v>
      </c>
      <c r="E1942" s="1" t="s">
        <v>82</v>
      </c>
      <c r="F1942" s="1" t="s">
        <v>391</v>
      </c>
      <c r="G1942" s="1" t="s">
        <v>97</v>
      </c>
      <c r="H1942" s="1" t="s">
        <v>406</v>
      </c>
      <c r="K1942" s="1" t="s">
        <v>407</v>
      </c>
      <c r="L1942" s="1" t="s">
        <v>408</v>
      </c>
      <c r="M1942" s="1" t="s">
        <v>496</v>
      </c>
      <c r="N1942" s="1" t="s">
        <v>861</v>
      </c>
      <c r="O1942" s="1" t="s">
        <v>862</v>
      </c>
      <c r="P1942" s="1" t="s">
        <v>4122</v>
      </c>
      <c r="Z1942" s="1" t="s">
        <v>71</v>
      </c>
      <c r="AE1942" s="1" t="s">
        <v>6620</v>
      </c>
      <c r="AH1942" s="1" t="s">
        <v>73</v>
      </c>
      <c r="AK1942" s="1" t="s">
        <v>71</v>
      </c>
      <c r="AM1942" s="1" t="s">
        <v>71</v>
      </c>
      <c r="AN1942" s="1" t="s">
        <v>71</v>
      </c>
      <c r="AS1942" s="1" t="s">
        <v>71</v>
      </c>
      <c r="AX1942" s="1" t="s">
        <v>71</v>
      </c>
      <c r="BH1942" s="1" t="s">
        <v>71</v>
      </c>
    </row>
    <row r="1943" customFormat="false" ht="15" hidden="false" customHeight="false" outlineLevel="0" collapsed="false">
      <c r="A1943" s="1" t="s">
        <v>6621</v>
      </c>
      <c r="B1943" s="1" t="s">
        <v>6622</v>
      </c>
      <c r="C1943" s="1" t="s">
        <v>142</v>
      </c>
      <c r="D1943" s="1" t="s">
        <v>1102</v>
      </c>
      <c r="E1943" s="1" t="s">
        <v>82</v>
      </c>
      <c r="F1943" s="1" t="s">
        <v>391</v>
      </c>
      <c r="G1943" s="1" t="s">
        <v>1356</v>
      </c>
      <c r="H1943" s="1" t="s">
        <v>1825</v>
      </c>
      <c r="K1943" s="1" t="s">
        <v>251</v>
      </c>
      <c r="L1943" s="1" t="s">
        <v>3580</v>
      </c>
      <c r="M1943" s="1" t="s">
        <v>496</v>
      </c>
      <c r="N1943" s="1" t="s">
        <v>2248</v>
      </c>
      <c r="O1943" s="1" t="s">
        <v>400</v>
      </c>
      <c r="P1943" s="1" t="s">
        <v>6311</v>
      </c>
      <c r="Z1943" s="1" t="s">
        <v>71</v>
      </c>
      <c r="AE1943" s="1" t="s">
        <v>6623</v>
      </c>
      <c r="AH1943" s="1" t="s">
        <v>73</v>
      </c>
      <c r="AK1943" s="1" t="s">
        <v>71</v>
      </c>
      <c r="AM1943" s="1" t="s">
        <v>71</v>
      </c>
      <c r="AN1943" s="1" t="s">
        <v>71</v>
      </c>
      <c r="AS1943" s="1" t="s">
        <v>71</v>
      </c>
      <c r="AX1943" s="1" t="s">
        <v>71</v>
      </c>
      <c r="BH1943" s="1" t="s">
        <v>71</v>
      </c>
    </row>
    <row r="1944" customFormat="false" ht="15" hidden="false" customHeight="false" outlineLevel="0" collapsed="false">
      <c r="A1944" s="1" t="s">
        <v>6624</v>
      </c>
      <c r="B1944" s="1" t="s">
        <v>6625</v>
      </c>
      <c r="C1944" s="1" t="s">
        <v>161</v>
      </c>
      <c r="D1944" s="1" t="s">
        <v>162</v>
      </c>
      <c r="E1944" s="1" t="s">
        <v>61</v>
      </c>
      <c r="F1944" s="1" t="s">
        <v>101</v>
      </c>
      <c r="G1944" s="1" t="s">
        <v>130</v>
      </c>
      <c r="H1944" s="1" t="s">
        <v>5179</v>
      </c>
      <c r="K1944" s="1" t="s">
        <v>6035</v>
      </c>
      <c r="L1944" s="1" t="s">
        <v>6036</v>
      </c>
      <c r="M1944" s="1" t="s">
        <v>104</v>
      </c>
      <c r="N1944" s="1" t="s">
        <v>105</v>
      </c>
      <c r="O1944" s="1" t="s">
        <v>106</v>
      </c>
      <c r="P1944" s="1" t="s">
        <v>3539</v>
      </c>
      <c r="U1944" s="1" t="s">
        <v>6624</v>
      </c>
      <c r="Z1944" s="1" t="s">
        <v>71</v>
      </c>
      <c r="AE1944" s="1" t="s">
        <v>6626</v>
      </c>
      <c r="AH1944" s="1" t="s">
        <v>73</v>
      </c>
      <c r="AK1944" s="1" t="s">
        <v>71</v>
      </c>
      <c r="AM1944" s="1" t="s">
        <v>71</v>
      </c>
      <c r="AN1944" s="1" t="s">
        <v>71</v>
      </c>
      <c r="AS1944" s="1" t="s">
        <v>71</v>
      </c>
      <c r="AX1944" s="1" t="s">
        <v>71</v>
      </c>
      <c r="AY1944" s="1" t="s">
        <v>59</v>
      </c>
      <c r="AZ1944" s="1" t="s">
        <v>74</v>
      </c>
      <c r="BH1944" s="1" t="s">
        <v>71</v>
      </c>
    </row>
    <row r="1945" customFormat="false" ht="15" hidden="false" customHeight="false" outlineLevel="0" collapsed="false">
      <c r="A1945" s="1" t="s">
        <v>6627</v>
      </c>
      <c r="B1945" s="1" t="s">
        <v>6628</v>
      </c>
      <c r="C1945" s="1" t="s">
        <v>161</v>
      </c>
      <c r="D1945" s="1" t="s">
        <v>162</v>
      </c>
      <c r="E1945" s="1" t="s">
        <v>61</v>
      </c>
      <c r="F1945" s="1" t="s">
        <v>101</v>
      </c>
      <c r="G1945" s="1" t="s">
        <v>130</v>
      </c>
      <c r="H1945" s="1" t="s">
        <v>5179</v>
      </c>
      <c r="K1945" s="1" t="s">
        <v>6035</v>
      </c>
      <c r="L1945" s="1" t="s">
        <v>6036</v>
      </c>
      <c r="M1945" s="1" t="s">
        <v>104</v>
      </c>
      <c r="N1945" s="1" t="s">
        <v>105</v>
      </c>
      <c r="O1945" s="1" t="s">
        <v>106</v>
      </c>
      <c r="P1945" s="1" t="s">
        <v>3539</v>
      </c>
      <c r="U1945" s="1" t="s">
        <v>6627</v>
      </c>
      <c r="Z1945" s="1" t="s">
        <v>71</v>
      </c>
      <c r="AE1945" s="1" t="s">
        <v>6626</v>
      </c>
      <c r="AH1945" s="1" t="s">
        <v>73</v>
      </c>
      <c r="AK1945" s="1" t="s">
        <v>71</v>
      </c>
      <c r="AM1945" s="1" t="s">
        <v>71</v>
      </c>
      <c r="AN1945" s="1" t="s">
        <v>71</v>
      </c>
      <c r="AS1945" s="1" t="s">
        <v>71</v>
      </c>
      <c r="AX1945" s="1" t="s">
        <v>71</v>
      </c>
      <c r="AY1945" s="1" t="s">
        <v>59</v>
      </c>
      <c r="AZ1945" s="1" t="s">
        <v>74</v>
      </c>
      <c r="BH1945" s="1" t="s">
        <v>71</v>
      </c>
    </row>
    <row r="1946" customFormat="false" ht="15" hidden="false" customHeight="false" outlineLevel="0" collapsed="false">
      <c r="A1946" s="1" t="s">
        <v>6629</v>
      </c>
      <c r="B1946" s="1" t="s">
        <v>6630</v>
      </c>
      <c r="C1946" s="1" t="s">
        <v>161</v>
      </c>
      <c r="D1946" s="1" t="s">
        <v>162</v>
      </c>
      <c r="E1946" s="1" t="s">
        <v>61</v>
      </c>
      <c r="F1946" s="1" t="s">
        <v>101</v>
      </c>
      <c r="G1946" s="1" t="s">
        <v>130</v>
      </c>
      <c r="H1946" s="1" t="s">
        <v>5179</v>
      </c>
      <c r="K1946" s="1" t="s">
        <v>6035</v>
      </c>
      <c r="L1946" s="1" t="s">
        <v>6036</v>
      </c>
      <c r="M1946" s="1" t="s">
        <v>104</v>
      </c>
      <c r="N1946" s="1" t="s">
        <v>105</v>
      </c>
      <c r="O1946" s="1" t="s">
        <v>106</v>
      </c>
      <c r="P1946" s="1" t="s">
        <v>3539</v>
      </c>
      <c r="U1946" s="1" t="s">
        <v>6629</v>
      </c>
      <c r="Z1946" s="1" t="s">
        <v>71</v>
      </c>
      <c r="AE1946" s="1" t="s">
        <v>6626</v>
      </c>
      <c r="AH1946" s="1" t="s">
        <v>73</v>
      </c>
      <c r="AK1946" s="1" t="s">
        <v>71</v>
      </c>
      <c r="AM1946" s="1" t="s">
        <v>71</v>
      </c>
      <c r="AN1946" s="1" t="s">
        <v>71</v>
      </c>
      <c r="AS1946" s="1" t="s">
        <v>71</v>
      </c>
      <c r="AX1946" s="1" t="s">
        <v>71</v>
      </c>
      <c r="AY1946" s="1" t="s">
        <v>59</v>
      </c>
      <c r="AZ1946" s="1" t="s">
        <v>74</v>
      </c>
      <c r="BH1946" s="1" t="s">
        <v>71</v>
      </c>
    </row>
    <row r="1947" customFormat="false" ht="15" hidden="false" customHeight="false" outlineLevel="0" collapsed="false">
      <c r="A1947" s="1" t="s">
        <v>6631</v>
      </c>
      <c r="B1947" s="1" t="s">
        <v>6632</v>
      </c>
      <c r="C1947" s="1" t="s">
        <v>161</v>
      </c>
      <c r="D1947" s="1" t="s">
        <v>162</v>
      </c>
      <c r="E1947" s="1" t="s">
        <v>61</v>
      </c>
      <c r="F1947" s="1" t="s">
        <v>101</v>
      </c>
      <c r="G1947" s="1" t="s">
        <v>130</v>
      </c>
      <c r="H1947" s="1" t="s">
        <v>5179</v>
      </c>
      <c r="K1947" s="1" t="s">
        <v>5180</v>
      </c>
      <c r="L1947" s="1" t="s">
        <v>5181</v>
      </c>
      <c r="M1947" s="1" t="s">
        <v>104</v>
      </c>
      <c r="N1947" s="1" t="s">
        <v>105</v>
      </c>
      <c r="O1947" s="1" t="s">
        <v>106</v>
      </c>
      <c r="P1947" s="1" t="s">
        <v>3539</v>
      </c>
      <c r="U1947" s="1" t="s">
        <v>6631</v>
      </c>
      <c r="Z1947" s="1" t="s">
        <v>71</v>
      </c>
      <c r="AE1947" s="1" t="s">
        <v>6633</v>
      </c>
      <c r="AH1947" s="1" t="s">
        <v>73</v>
      </c>
      <c r="AK1947" s="1" t="s">
        <v>71</v>
      </c>
      <c r="AM1947" s="1" t="s">
        <v>71</v>
      </c>
      <c r="AN1947" s="1" t="s">
        <v>71</v>
      </c>
      <c r="AS1947" s="1" t="s">
        <v>71</v>
      </c>
      <c r="AX1947" s="1" t="s">
        <v>71</v>
      </c>
      <c r="AY1947" s="1" t="s">
        <v>59</v>
      </c>
      <c r="AZ1947" s="1" t="s">
        <v>74</v>
      </c>
      <c r="BH1947" s="1" t="s">
        <v>71</v>
      </c>
    </row>
    <row r="1948" customFormat="false" ht="15" hidden="false" customHeight="false" outlineLevel="0" collapsed="false">
      <c r="A1948" s="1" t="s">
        <v>6634</v>
      </c>
      <c r="B1948" s="1" t="s">
        <v>6635</v>
      </c>
      <c r="C1948" s="1" t="s">
        <v>161</v>
      </c>
      <c r="D1948" s="1" t="s">
        <v>162</v>
      </c>
      <c r="E1948" s="1" t="s">
        <v>61</v>
      </c>
      <c r="F1948" s="1" t="s">
        <v>101</v>
      </c>
      <c r="G1948" s="1" t="s">
        <v>130</v>
      </c>
      <c r="H1948" s="1" t="s">
        <v>5179</v>
      </c>
      <c r="K1948" s="1" t="s">
        <v>5180</v>
      </c>
      <c r="L1948" s="1" t="s">
        <v>5181</v>
      </c>
      <c r="M1948" s="1" t="s">
        <v>104</v>
      </c>
      <c r="N1948" s="1" t="s">
        <v>105</v>
      </c>
      <c r="O1948" s="1" t="s">
        <v>106</v>
      </c>
      <c r="P1948" s="1" t="s">
        <v>3539</v>
      </c>
      <c r="U1948" s="1" t="s">
        <v>6634</v>
      </c>
      <c r="Z1948" s="1" t="s">
        <v>71</v>
      </c>
      <c r="AE1948" s="1" t="s">
        <v>6633</v>
      </c>
      <c r="AH1948" s="1" t="s">
        <v>73</v>
      </c>
      <c r="AK1948" s="1" t="s">
        <v>71</v>
      </c>
      <c r="AM1948" s="1" t="s">
        <v>71</v>
      </c>
      <c r="AN1948" s="1" t="s">
        <v>71</v>
      </c>
      <c r="AS1948" s="1" t="s">
        <v>71</v>
      </c>
      <c r="AX1948" s="1" t="s">
        <v>71</v>
      </c>
      <c r="AY1948" s="1" t="s">
        <v>59</v>
      </c>
      <c r="AZ1948" s="1" t="s">
        <v>74</v>
      </c>
      <c r="BH1948" s="1" t="s">
        <v>71</v>
      </c>
    </row>
    <row r="1949" customFormat="false" ht="15" hidden="false" customHeight="false" outlineLevel="0" collapsed="false">
      <c r="A1949" s="1" t="s">
        <v>6636</v>
      </c>
      <c r="B1949" s="1" t="s">
        <v>6637</v>
      </c>
      <c r="C1949" s="1" t="s">
        <v>161</v>
      </c>
      <c r="D1949" s="1" t="s">
        <v>162</v>
      </c>
      <c r="E1949" s="1" t="s">
        <v>61</v>
      </c>
      <c r="F1949" s="1" t="s">
        <v>101</v>
      </c>
      <c r="G1949" s="1" t="s">
        <v>130</v>
      </c>
      <c r="H1949" s="1" t="s">
        <v>5179</v>
      </c>
      <c r="K1949" s="1" t="s">
        <v>5180</v>
      </c>
      <c r="L1949" s="1" t="s">
        <v>5181</v>
      </c>
      <c r="M1949" s="1" t="s">
        <v>104</v>
      </c>
      <c r="N1949" s="1" t="s">
        <v>105</v>
      </c>
      <c r="O1949" s="1" t="s">
        <v>106</v>
      </c>
      <c r="P1949" s="1" t="s">
        <v>3539</v>
      </c>
      <c r="U1949" s="1" t="s">
        <v>6636</v>
      </c>
      <c r="Z1949" s="1" t="s">
        <v>71</v>
      </c>
      <c r="AE1949" s="1" t="s">
        <v>6633</v>
      </c>
      <c r="AH1949" s="1" t="s">
        <v>73</v>
      </c>
      <c r="AK1949" s="1" t="s">
        <v>71</v>
      </c>
      <c r="AM1949" s="1" t="s">
        <v>71</v>
      </c>
      <c r="AN1949" s="1" t="s">
        <v>71</v>
      </c>
      <c r="AS1949" s="1" t="s">
        <v>71</v>
      </c>
      <c r="AX1949" s="1" t="s">
        <v>71</v>
      </c>
      <c r="AY1949" s="1" t="s">
        <v>59</v>
      </c>
      <c r="AZ1949" s="1" t="s">
        <v>74</v>
      </c>
      <c r="BH1949" s="1" t="s">
        <v>71</v>
      </c>
    </row>
    <row r="1950" customFormat="false" ht="15" hidden="false" customHeight="false" outlineLevel="0" collapsed="false">
      <c r="A1950" s="1" t="s">
        <v>6638</v>
      </c>
      <c r="B1950" s="1" t="s">
        <v>6639</v>
      </c>
      <c r="C1950" s="1" t="s">
        <v>161</v>
      </c>
      <c r="D1950" s="1" t="s">
        <v>162</v>
      </c>
      <c r="E1950" s="1" t="s">
        <v>61</v>
      </c>
      <c r="F1950" s="1" t="s">
        <v>101</v>
      </c>
      <c r="G1950" s="1" t="s">
        <v>130</v>
      </c>
      <c r="H1950" s="1" t="s">
        <v>5179</v>
      </c>
      <c r="K1950" s="1" t="s">
        <v>5180</v>
      </c>
      <c r="L1950" s="1" t="s">
        <v>5181</v>
      </c>
      <c r="M1950" s="1" t="s">
        <v>1555</v>
      </c>
      <c r="N1950" s="1" t="s">
        <v>105</v>
      </c>
      <c r="O1950" s="1" t="s">
        <v>106</v>
      </c>
      <c r="P1950" s="1" t="s">
        <v>3539</v>
      </c>
      <c r="U1950" s="1" t="s">
        <v>6638</v>
      </c>
      <c r="Z1950" s="1" t="s">
        <v>71</v>
      </c>
      <c r="AE1950" s="1" t="s">
        <v>6633</v>
      </c>
      <c r="AH1950" s="1" t="s">
        <v>73</v>
      </c>
      <c r="AK1950" s="1" t="s">
        <v>71</v>
      </c>
      <c r="AM1950" s="1" t="s">
        <v>71</v>
      </c>
      <c r="AN1950" s="1" t="s">
        <v>71</v>
      </c>
      <c r="AS1950" s="1" t="s">
        <v>71</v>
      </c>
      <c r="AX1950" s="1" t="s">
        <v>71</v>
      </c>
      <c r="AY1950" s="1" t="s">
        <v>59</v>
      </c>
      <c r="AZ1950" s="1" t="s">
        <v>74</v>
      </c>
      <c r="BH1950" s="1" t="s">
        <v>71</v>
      </c>
    </row>
    <row r="1951" customFormat="false" ht="15" hidden="false" customHeight="false" outlineLevel="0" collapsed="false">
      <c r="A1951" s="1" t="s">
        <v>6640</v>
      </c>
      <c r="B1951" s="1" t="s">
        <v>6641</v>
      </c>
      <c r="C1951" s="1" t="s">
        <v>163</v>
      </c>
      <c r="D1951" s="1" t="s">
        <v>267</v>
      </c>
      <c r="E1951" s="1" t="s">
        <v>65</v>
      </c>
      <c r="F1951" s="1" t="s">
        <v>119</v>
      </c>
      <c r="G1951" s="1" t="s">
        <v>88</v>
      </c>
      <c r="H1951" s="1" t="s">
        <v>255</v>
      </c>
      <c r="K1951" s="1" t="s">
        <v>1596</v>
      </c>
      <c r="L1951" s="1" t="s">
        <v>1597</v>
      </c>
      <c r="M1951" s="1" t="s">
        <v>5214</v>
      </c>
      <c r="N1951" s="1" t="s">
        <v>1599</v>
      </c>
      <c r="O1951" s="1" t="s">
        <v>1600</v>
      </c>
      <c r="P1951" s="1" t="s">
        <v>5215</v>
      </c>
      <c r="U1951" s="1" t="s">
        <v>6640</v>
      </c>
      <c r="Z1951" s="1" t="s">
        <v>71</v>
      </c>
      <c r="AE1951" s="1" t="s">
        <v>6642</v>
      </c>
      <c r="AH1951" s="1" t="s">
        <v>73</v>
      </c>
      <c r="AK1951" s="1" t="s">
        <v>71</v>
      </c>
      <c r="AM1951" s="1" t="s">
        <v>71</v>
      </c>
      <c r="AN1951" s="1" t="s">
        <v>71</v>
      </c>
      <c r="AS1951" s="1" t="s">
        <v>71</v>
      </c>
      <c r="AX1951" s="1" t="s">
        <v>71</v>
      </c>
      <c r="AY1951" s="1" t="s">
        <v>59</v>
      </c>
      <c r="AZ1951" s="1" t="s">
        <v>74</v>
      </c>
      <c r="BH1951" s="1" t="s">
        <v>71</v>
      </c>
    </row>
    <row r="1952" customFormat="false" ht="15" hidden="false" customHeight="false" outlineLevel="0" collapsed="false">
      <c r="A1952" s="1" t="s">
        <v>6643</v>
      </c>
      <c r="B1952" s="1" t="s">
        <v>6644</v>
      </c>
      <c r="C1952" s="1" t="s">
        <v>150</v>
      </c>
      <c r="D1952" s="1" t="s">
        <v>405</v>
      </c>
      <c r="E1952" s="1" t="s">
        <v>82</v>
      </c>
      <c r="F1952" s="1" t="s">
        <v>391</v>
      </c>
      <c r="G1952" s="1" t="s">
        <v>97</v>
      </c>
      <c r="H1952" s="1" t="s">
        <v>406</v>
      </c>
      <c r="K1952" s="1" t="s">
        <v>407</v>
      </c>
      <c r="L1952" s="1" t="s">
        <v>408</v>
      </c>
      <c r="M1952" s="1" t="s">
        <v>496</v>
      </c>
      <c r="N1952" s="1" t="s">
        <v>861</v>
      </c>
      <c r="O1952" s="1" t="s">
        <v>862</v>
      </c>
      <c r="P1952" s="1" t="s">
        <v>4122</v>
      </c>
      <c r="Z1952" s="1" t="s">
        <v>71</v>
      </c>
      <c r="AE1952" s="1" t="s">
        <v>6645</v>
      </c>
      <c r="AH1952" s="1" t="s">
        <v>73</v>
      </c>
      <c r="AK1952" s="1" t="s">
        <v>71</v>
      </c>
      <c r="AM1952" s="1" t="s">
        <v>71</v>
      </c>
      <c r="AN1952" s="1" t="s">
        <v>71</v>
      </c>
      <c r="AS1952" s="1" t="s">
        <v>71</v>
      </c>
      <c r="AX1952" s="1" t="s">
        <v>71</v>
      </c>
      <c r="BH1952" s="1" t="s">
        <v>71</v>
      </c>
    </row>
    <row r="1953" customFormat="false" ht="15" hidden="false" customHeight="false" outlineLevel="0" collapsed="false">
      <c r="A1953" s="1" t="s">
        <v>6646</v>
      </c>
      <c r="B1953" s="1" t="s">
        <v>6647</v>
      </c>
      <c r="C1953" s="1" t="s">
        <v>161</v>
      </c>
      <c r="D1953" s="1" t="s">
        <v>162</v>
      </c>
      <c r="E1953" s="1" t="s">
        <v>61</v>
      </c>
      <c r="F1953" s="1" t="s">
        <v>101</v>
      </c>
      <c r="G1953" s="1" t="s">
        <v>130</v>
      </c>
      <c r="H1953" s="1" t="s">
        <v>5179</v>
      </c>
      <c r="K1953" s="1" t="s">
        <v>5180</v>
      </c>
      <c r="L1953" s="1" t="s">
        <v>5181</v>
      </c>
      <c r="M1953" s="1" t="s">
        <v>104</v>
      </c>
      <c r="N1953" s="1" t="s">
        <v>105</v>
      </c>
      <c r="O1953" s="1" t="s">
        <v>106</v>
      </c>
      <c r="P1953" s="1" t="s">
        <v>3539</v>
      </c>
      <c r="U1953" s="1" t="s">
        <v>6646</v>
      </c>
      <c r="Z1953" s="1" t="s">
        <v>71</v>
      </c>
      <c r="AE1953" s="1" t="s">
        <v>6648</v>
      </c>
      <c r="AH1953" s="1" t="s">
        <v>73</v>
      </c>
      <c r="AK1953" s="1" t="s">
        <v>71</v>
      </c>
      <c r="AM1953" s="1" t="s">
        <v>71</v>
      </c>
      <c r="AN1953" s="1" t="s">
        <v>71</v>
      </c>
      <c r="AS1953" s="1" t="s">
        <v>71</v>
      </c>
      <c r="AX1953" s="1" t="s">
        <v>71</v>
      </c>
      <c r="AY1953" s="1" t="s">
        <v>59</v>
      </c>
      <c r="AZ1953" s="1" t="s">
        <v>74</v>
      </c>
      <c r="BH1953" s="1" t="s">
        <v>71</v>
      </c>
    </row>
    <row r="1954" customFormat="false" ht="15" hidden="false" customHeight="false" outlineLevel="0" collapsed="false">
      <c r="A1954" s="1" t="s">
        <v>6649</v>
      </c>
      <c r="B1954" s="1" t="s">
        <v>6650</v>
      </c>
      <c r="C1954" s="1" t="s">
        <v>1855</v>
      </c>
      <c r="D1954" s="1" t="s">
        <v>6651</v>
      </c>
      <c r="E1954" s="1" t="s">
        <v>61</v>
      </c>
      <c r="F1954" s="1" t="s">
        <v>101</v>
      </c>
      <c r="G1954" s="1" t="s">
        <v>1772</v>
      </c>
      <c r="H1954" s="1" t="s">
        <v>6148</v>
      </c>
      <c r="K1954" s="1" t="s">
        <v>275</v>
      </c>
      <c r="L1954" s="1" t="s">
        <v>6652</v>
      </c>
      <c r="M1954" s="1" t="s">
        <v>258</v>
      </c>
      <c r="N1954" s="1" t="s">
        <v>6653</v>
      </c>
      <c r="O1954" s="1" t="s">
        <v>6654</v>
      </c>
      <c r="P1954" s="1" t="s">
        <v>6655</v>
      </c>
      <c r="U1954" s="1" t="s">
        <v>6649</v>
      </c>
      <c r="Z1954" s="1" t="s">
        <v>71</v>
      </c>
      <c r="AE1954" s="1" t="s">
        <v>6656</v>
      </c>
      <c r="AH1954" s="1" t="s">
        <v>73</v>
      </c>
      <c r="AK1954" s="1" t="s">
        <v>71</v>
      </c>
      <c r="AM1954" s="1" t="s">
        <v>71</v>
      </c>
      <c r="AN1954" s="1" t="s">
        <v>71</v>
      </c>
      <c r="AS1954" s="1" t="s">
        <v>71</v>
      </c>
      <c r="AX1954" s="1" t="s">
        <v>71</v>
      </c>
      <c r="AY1954" s="1" t="s">
        <v>59</v>
      </c>
      <c r="AZ1954" s="1" t="s">
        <v>74</v>
      </c>
      <c r="BH1954" s="1" t="s">
        <v>71</v>
      </c>
    </row>
    <row r="1955" customFormat="false" ht="15" hidden="false" customHeight="false" outlineLevel="0" collapsed="false">
      <c r="A1955" s="1" t="s">
        <v>6657</v>
      </c>
      <c r="B1955" s="1" t="s">
        <v>6658</v>
      </c>
      <c r="C1955" s="1" t="s">
        <v>1855</v>
      </c>
      <c r="D1955" s="1" t="s">
        <v>6651</v>
      </c>
      <c r="E1955" s="1" t="s">
        <v>61</v>
      </c>
      <c r="F1955" s="1" t="s">
        <v>101</v>
      </c>
      <c r="G1955" s="1" t="s">
        <v>1772</v>
      </c>
      <c r="H1955" s="1" t="s">
        <v>6148</v>
      </c>
      <c r="K1955" s="1" t="s">
        <v>275</v>
      </c>
      <c r="L1955" s="1" t="s">
        <v>6652</v>
      </c>
      <c r="M1955" s="1" t="s">
        <v>258</v>
      </c>
      <c r="N1955" s="1" t="s">
        <v>6659</v>
      </c>
      <c r="O1955" s="1" t="s">
        <v>6660</v>
      </c>
      <c r="P1955" s="1" t="s">
        <v>6661</v>
      </c>
      <c r="U1955" s="1" t="s">
        <v>6657</v>
      </c>
      <c r="Z1955" s="1" t="s">
        <v>71</v>
      </c>
      <c r="AE1955" s="1" t="s">
        <v>6656</v>
      </c>
      <c r="AH1955" s="1" t="s">
        <v>73</v>
      </c>
      <c r="AK1955" s="1" t="s">
        <v>71</v>
      </c>
      <c r="AM1955" s="1" t="s">
        <v>71</v>
      </c>
      <c r="AN1955" s="1" t="s">
        <v>71</v>
      </c>
      <c r="AS1955" s="1" t="s">
        <v>71</v>
      </c>
      <c r="AX1955" s="1" t="s">
        <v>71</v>
      </c>
      <c r="AY1955" s="1" t="s">
        <v>59</v>
      </c>
      <c r="AZ1955" s="1" t="s">
        <v>74</v>
      </c>
      <c r="BH1955" s="1" t="s">
        <v>71</v>
      </c>
    </row>
    <row r="1956" customFormat="false" ht="15" hidden="false" customHeight="false" outlineLevel="0" collapsed="false">
      <c r="A1956" s="1" t="s">
        <v>6662</v>
      </c>
      <c r="B1956" s="1" t="s">
        <v>6663</v>
      </c>
      <c r="C1956" s="1" t="s">
        <v>1855</v>
      </c>
      <c r="D1956" s="1" t="s">
        <v>6651</v>
      </c>
      <c r="E1956" s="1" t="s">
        <v>61</v>
      </c>
      <c r="F1956" s="1" t="s">
        <v>101</v>
      </c>
      <c r="G1956" s="1" t="s">
        <v>1772</v>
      </c>
      <c r="H1956" s="1" t="s">
        <v>6148</v>
      </c>
      <c r="K1956" s="1" t="s">
        <v>275</v>
      </c>
      <c r="L1956" s="1" t="s">
        <v>6652</v>
      </c>
      <c r="M1956" s="1" t="s">
        <v>258</v>
      </c>
      <c r="N1956" s="1" t="s">
        <v>6659</v>
      </c>
      <c r="O1956" s="1" t="s">
        <v>6660</v>
      </c>
      <c r="P1956" s="1" t="s">
        <v>6661</v>
      </c>
      <c r="U1956" s="1" t="s">
        <v>6662</v>
      </c>
      <c r="Z1956" s="1" t="s">
        <v>71</v>
      </c>
      <c r="AE1956" s="1" t="s">
        <v>6656</v>
      </c>
      <c r="AH1956" s="1" t="s">
        <v>73</v>
      </c>
      <c r="AK1956" s="1" t="s">
        <v>71</v>
      </c>
      <c r="AM1956" s="1" t="s">
        <v>71</v>
      </c>
      <c r="AN1956" s="1" t="s">
        <v>71</v>
      </c>
      <c r="AS1956" s="1" t="s">
        <v>71</v>
      </c>
      <c r="AX1956" s="1" t="s">
        <v>71</v>
      </c>
      <c r="AY1956" s="1" t="s">
        <v>59</v>
      </c>
      <c r="AZ1956" s="1" t="s">
        <v>74</v>
      </c>
      <c r="BH1956" s="1" t="s">
        <v>71</v>
      </c>
    </row>
    <row r="1957" customFormat="false" ht="15" hidden="false" customHeight="false" outlineLevel="0" collapsed="false">
      <c r="A1957" s="1" t="s">
        <v>6664</v>
      </c>
      <c r="B1957" s="1" t="s">
        <v>6665</v>
      </c>
      <c r="C1957" s="1" t="s">
        <v>1855</v>
      </c>
      <c r="D1957" s="1" t="s">
        <v>6651</v>
      </c>
      <c r="E1957" s="1" t="s">
        <v>61</v>
      </c>
      <c r="F1957" s="1" t="s">
        <v>101</v>
      </c>
      <c r="G1957" s="1" t="s">
        <v>1772</v>
      </c>
      <c r="H1957" s="1" t="s">
        <v>6148</v>
      </c>
      <c r="K1957" s="1" t="s">
        <v>275</v>
      </c>
      <c r="L1957" s="1" t="s">
        <v>6652</v>
      </c>
      <c r="M1957" s="1" t="s">
        <v>258</v>
      </c>
      <c r="N1957" s="1" t="s">
        <v>6666</v>
      </c>
      <c r="O1957" s="1" t="s">
        <v>6667</v>
      </c>
      <c r="P1957" s="1" t="s">
        <v>6668</v>
      </c>
      <c r="U1957" s="1" t="s">
        <v>6664</v>
      </c>
      <c r="Z1957" s="1" t="s">
        <v>71</v>
      </c>
      <c r="AE1957" s="1" t="s">
        <v>6656</v>
      </c>
      <c r="AH1957" s="1" t="s">
        <v>73</v>
      </c>
      <c r="AK1957" s="1" t="s">
        <v>71</v>
      </c>
      <c r="AM1957" s="1" t="s">
        <v>71</v>
      </c>
      <c r="AN1957" s="1" t="s">
        <v>71</v>
      </c>
      <c r="AS1957" s="1" t="s">
        <v>71</v>
      </c>
      <c r="AX1957" s="1" t="s">
        <v>71</v>
      </c>
      <c r="AY1957" s="1" t="s">
        <v>59</v>
      </c>
      <c r="AZ1957" s="1" t="s">
        <v>74</v>
      </c>
      <c r="BH1957" s="1" t="s">
        <v>71</v>
      </c>
    </row>
    <row r="1958" customFormat="false" ht="15" hidden="false" customHeight="false" outlineLevel="0" collapsed="false">
      <c r="A1958" s="1" t="s">
        <v>6669</v>
      </c>
      <c r="B1958" s="1" t="s">
        <v>6670</v>
      </c>
      <c r="C1958" s="1" t="s">
        <v>1855</v>
      </c>
      <c r="D1958" s="1" t="s">
        <v>6651</v>
      </c>
      <c r="E1958" s="1" t="s">
        <v>61</v>
      </c>
      <c r="F1958" s="1" t="s">
        <v>101</v>
      </c>
      <c r="G1958" s="1" t="s">
        <v>1772</v>
      </c>
      <c r="H1958" s="1" t="s">
        <v>6148</v>
      </c>
      <c r="K1958" s="1" t="s">
        <v>275</v>
      </c>
      <c r="L1958" s="1" t="s">
        <v>6652</v>
      </c>
      <c r="M1958" s="1" t="s">
        <v>258</v>
      </c>
      <c r="N1958" s="1" t="s">
        <v>6671</v>
      </c>
      <c r="O1958" s="1" t="s">
        <v>6672</v>
      </c>
      <c r="P1958" s="1" t="s">
        <v>6673</v>
      </c>
      <c r="U1958" s="1" t="s">
        <v>6669</v>
      </c>
      <c r="Z1958" s="1" t="s">
        <v>71</v>
      </c>
      <c r="AE1958" s="1" t="s">
        <v>6656</v>
      </c>
      <c r="AH1958" s="1" t="s">
        <v>73</v>
      </c>
      <c r="AK1958" s="1" t="s">
        <v>71</v>
      </c>
      <c r="AM1958" s="1" t="s">
        <v>71</v>
      </c>
      <c r="AN1958" s="1" t="s">
        <v>71</v>
      </c>
      <c r="AS1958" s="1" t="s">
        <v>71</v>
      </c>
      <c r="AX1958" s="1" t="s">
        <v>71</v>
      </c>
      <c r="AY1958" s="1" t="s">
        <v>59</v>
      </c>
      <c r="AZ1958" s="1" t="s">
        <v>74</v>
      </c>
      <c r="BH1958" s="1" t="s">
        <v>71</v>
      </c>
    </row>
    <row r="1959" customFormat="false" ht="15" hidden="false" customHeight="false" outlineLevel="0" collapsed="false">
      <c r="A1959" s="1" t="s">
        <v>6674</v>
      </c>
      <c r="B1959" s="1" t="s">
        <v>6675</v>
      </c>
      <c r="C1959" s="1" t="s">
        <v>1855</v>
      </c>
      <c r="D1959" s="1" t="s">
        <v>6651</v>
      </c>
      <c r="E1959" s="1" t="s">
        <v>61</v>
      </c>
      <c r="F1959" s="1" t="s">
        <v>101</v>
      </c>
      <c r="G1959" s="1" t="s">
        <v>1772</v>
      </c>
      <c r="H1959" s="1" t="s">
        <v>6148</v>
      </c>
      <c r="K1959" s="1" t="s">
        <v>275</v>
      </c>
      <c r="L1959" s="1" t="s">
        <v>6652</v>
      </c>
      <c r="M1959" s="1" t="s">
        <v>258</v>
      </c>
      <c r="N1959" s="1" t="s">
        <v>6676</v>
      </c>
      <c r="O1959" s="1" t="s">
        <v>6677</v>
      </c>
      <c r="P1959" s="1" t="s">
        <v>6678</v>
      </c>
      <c r="U1959" s="1" t="s">
        <v>6674</v>
      </c>
      <c r="Z1959" s="1" t="s">
        <v>71</v>
      </c>
      <c r="AE1959" s="1" t="s">
        <v>6656</v>
      </c>
      <c r="AH1959" s="1" t="s">
        <v>73</v>
      </c>
      <c r="AK1959" s="1" t="s">
        <v>71</v>
      </c>
      <c r="AM1959" s="1" t="s">
        <v>71</v>
      </c>
      <c r="AN1959" s="1" t="s">
        <v>71</v>
      </c>
      <c r="AS1959" s="1" t="s">
        <v>71</v>
      </c>
      <c r="AX1959" s="1" t="s">
        <v>71</v>
      </c>
      <c r="AY1959" s="1" t="s">
        <v>59</v>
      </c>
      <c r="AZ1959" s="1" t="s">
        <v>74</v>
      </c>
      <c r="BH1959" s="1" t="s">
        <v>71</v>
      </c>
    </row>
    <row r="1960" customFormat="false" ht="15" hidden="false" customHeight="false" outlineLevel="0" collapsed="false">
      <c r="A1960" s="1" t="s">
        <v>6679</v>
      </c>
      <c r="B1960" s="1" t="s">
        <v>6680</v>
      </c>
      <c r="C1960" s="1" t="s">
        <v>182</v>
      </c>
      <c r="D1960" s="1" t="s">
        <v>239</v>
      </c>
      <c r="E1960" s="1" t="s">
        <v>61</v>
      </c>
      <c r="F1960" s="1" t="s">
        <v>101</v>
      </c>
      <c r="G1960" s="1" t="s">
        <v>177</v>
      </c>
      <c r="H1960" s="1" t="s">
        <v>255</v>
      </c>
      <c r="K1960" s="1" t="s">
        <v>5187</v>
      </c>
      <c r="L1960" s="1" t="s">
        <v>6681</v>
      </c>
      <c r="M1960" s="1" t="s">
        <v>6682</v>
      </c>
      <c r="N1960" s="1" t="s">
        <v>259</v>
      </c>
      <c r="O1960" s="1" t="s">
        <v>260</v>
      </c>
      <c r="P1960" s="1" t="s">
        <v>3768</v>
      </c>
      <c r="U1960" s="1" t="s">
        <v>6683</v>
      </c>
      <c r="Z1960" s="1" t="s">
        <v>71</v>
      </c>
      <c r="AE1960" s="1" t="s">
        <v>6684</v>
      </c>
      <c r="AH1960" s="1" t="s">
        <v>73</v>
      </c>
      <c r="AK1960" s="1" t="s">
        <v>71</v>
      </c>
      <c r="AM1960" s="1" t="s">
        <v>71</v>
      </c>
      <c r="AN1960" s="1" t="s">
        <v>71</v>
      </c>
      <c r="AS1960" s="1" t="s">
        <v>71</v>
      </c>
      <c r="AX1960" s="1" t="s">
        <v>71</v>
      </c>
      <c r="AY1960" s="1" t="s">
        <v>59</v>
      </c>
      <c r="AZ1960" s="1" t="s">
        <v>74</v>
      </c>
      <c r="BH1960" s="1" t="s">
        <v>71</v>
      </c>
    </row>
    <row r="1961" customFormat="false" ht="15" hidden="false" customHeight="false" outlineLevel="0" collapsed="false">
      <c r="A1961" s="1" t="s">
        <v>6685</v>
      </c>
      <c r="B1961" s="1" t="s">
        <v>6686</v>
      </c>
      <c r="C1961" s="1" t="s">
        <v>1861</v>
      </c>
      <c r="D1961" s="1" t="s">
        <v>6687</v>
      </c>
      <c r="E1961" s="1" t="s">
        <v>61</v>
      </c>
      <c r="F1961" s="1" t="s">
        <v>101</v>
      </c>
      <c r="G1961" s="1" t="s">
        <v>93</v>
      </c>
      <c r="H1961" s="1" t="s">
        <v>64</v>
      </c>
      <c r="K1961" s="1" t="s">
        <v>229</v>
      </c>
      <c r="L1961" s="1" t="s">
        <v>605</v>
      </c>
      <c r="M1961" s="1" t="s">
        <v>6688</v>
      </c>
      <c r="N1961" s="1" t="s">
        <v>105</v>
      </c>
      <c r="O1961" s="1" t="s">
        <v>106</v>
      </c>
      <c r="P1961" s="1" t="s">
        <v>3539</v>
      </c>
      <c r="U1961" s="1" t="s">
        <v>6685</v>
      </c>
      <c r="Z1961" s="1" t="s">
        <v>71</v>
      </c>
      <c r="AE1961" s="1" t="s">
        <v>6689</v>
      </c>
      <c r="AH1961" s="1" t="s">
        <v>73</v>
      </c>
      <c r="AK1961" s="1" t="s">
        <v>71</v>
      </c>
      <c r="AM1961" s="1" t="s">
        <v>71</v>
      </c>
      <c r="AN1961" s="1" t="s">
        <v>71</v>
      </c>
      <c r="AS1961" s="1" t="s">
        <v>71</v>
      </c>
      <c r="AX1961" s="1" t="s">
        <v>71</v>
      </c>
      <c r="AY1961" s="1" t="s">
        <v>59</v>
      </c>
      <c r="AZ1961" s="1" t="s">
        <v>74</v>
      </c>
      <c r="BH1961" s="1" t="s">
        <v>71</v>
      </c>
    </row>
    <row r="1962" customFormat="false" ht="15" hidden="false" customHeight="false" outlineLevel="0" collapsed="false">
      <c r="A1962" s="1" t="s">
        <v>6690</v>
      </c>
      <c r="B1962" s="1" t="s">
        <v>6691</v>
      </c>
      <c r="C1962" s="1" t="s">
        <v>182</v>
      </c>
      <c r="D1962" s="1" t="s">
        <v>239</v>
      </c>
      <c r="E1962" s="1" t="s">
        <v>61</v>
      </c>
      <c r="F1962" s="1" t="s">
        <v>101</v>
      </c>
      <c r="G1962" s="1" t="s">
        <v>148</v>
      </c>
      <c r="H1962" s="1" t="s">
        <v>231</v>
      </c>
      <c r="K1962" s="1" t="s">
        <v>240</v>
      </c>
      <c r="L1962" s="1" t="s">
        <v>241</v>
      </c>
      <c r="M1962" s="1" t="s">
        <v>828</v>
      </c>
      <c r="N1962" s="1" t="s">
        <v>243</v>
      </c>
      <c r="O1962" s="1" t="s">
        <v>244</v>
      </c>
      <c r="P1962" s="1" t="s">
        <v>3503</v>
      </c>
      <c r="U1962" s="1" t="s">
        <v>245</v>
      </c>
      <c r="Z1962" s="1" t="s">
        <v>71</v>
      </c>
      <c r="AE1962" s="1" t="s">
        <v>6689</v>
      </c>
      <c r="AH1962" s="1" t="s">
        <v>73</v>
      </c>
      <c r="AK1962" s="1" t="s">
        <v>71</v>
      </c>
      <c r="AM1962" s="1" t="s">
        <v>71</v>
      </c>
      <c r="AN1962" s="1" t="s">
        <v>71</v>
      </c>
      <c r="AS1962" s="1" t="s">
        <v>71</v>
      </c>
      <c r="AX1962" s="1" t="s">
        <v>71</v>
      </c>
      <c r="AY1962" s="1" t="s">
        <v>59</v>
      </c>
      <c r="AZ1962" s="1" t="s">
        <v>74</v>
      </c>
      <c r="BH1962" s="1" t="s">
        <v>71</v>
      </c>
    </row>
    <row r="1963" customFormat="false" ht="15" hidden="false" customHeight="false" outlineLevel="0" collapsed="false">
      <c r="A1963" s="1" t="s">
        <v>6692</v>
      </c>
      <c r="B1963" s="1" t="s">
        <v>6693</v>
      </c>
      <c r="C1963" s="1" t="s">
        <v>161</v>
      </c>
      <c r="D1963" s="1" t="s">
        <v>162</v>
      </c>
      <c r="E1963" s="1" t="s">
        <v>61</v>
      </c>
      <c r="F1963" s="1" t="s">
        <v>101</v>
      </c>
      <c r="G1963" s="1" t="s">
        <v>93</v>
      </c>
      <c r="H1963" s="1" t="s">
        <v>64</v>
      </c>
      <c r="K1963" s="1" t="s">
        <v>211</v>
      </c>
      <c r="L1963" s="1" t="s">
        <v>1661</v>
      </c>
      <c r="M1963" s="1" t="s">
        <v>122</v>
      </c>
      <c r="N1963" s="1" t="s">
        <v>105</v>
      </c>
      <c r="O1963" s="1" t="s">
        <v>106</v>
      </c>
      <c r="P1963" s="1" t="s">
        <v>3539</v>
      </c>
      <c r="U1963" s="1" t="s">
        <v>6692</v>
      </c>
      <c r="Z1963" s="1" t="s">
        <v>71</v>
      </c>
      <c r="AE1963" s="1" t="s">
        <v>6689</v>
      </c>
      <c r="AH1963" s="1" t="s">
        <v>73</v>
      </c>
      <c r="AK1963" s="1" t="s">
        <v>71</v>
      </c>
      <c r="AM1963" s="1" t="s">
        <v>71</v>
      </c>
      <c r="AN1963" s="1" t="s">
        <v>71</v>
      </c>
      <c r="AS1963" s="1" t="s">
        <v>71</v>
      </c>
      <c r="AX1963" s="1" t="s">
        <v>71</v>
      </c>
      <c r="AY1963" s="1" t="s">
        <v>59</v>
      </c>
      <c r="AZ1963" s="1" t="s">
        <v>74</v>
      </c>
      <c r="BH1963" s="1" t="s">
        <v>71</v>
      </c>
    </row>
    <row r="1964" customFormat="false" ht="15" hidden="false" customHeight="false" outlineLevel="0" collapsed="false">
      <c r="A1964" s="1" t="s">
        <v>6694</v>
      </c>
      <c r="B1964" s="1" t="s">
        <v>6695</v>
      </c>
      <c r="C1964" s="1" t="s">
        <v>288</v>
      </c>
      <c r="D1964" s="1" t="s">
        <v>289</v>
      </c>
      <c r="E1964" s="1" t="s">
        <v>61</v>
      </c>
      <c r="F1964" s="1" t="s">
        <v>101</v>
      </c>
      <c r="G1964" s="1" t="s">
        <v>134</v>
      </c>
      <c r="H1964" s="1" t="s">
        <v>4875</v>
      </c>
      <c r="K1964" s="1" t="s">
        <v>5096</v>
      </c>
      <c r="L1964" s="1" t="s">
        <v>5097</v>
      </c>
      <c r="M1964" s="1" t="s">
        <v>1555</v>
      </c>
      <c r="N1964" s="1" t="s">
        <v>105</v>
      </c>
      <c r="O1964" s="1" t="s">
        <v>106</v>
      </c>
      <c r="P1964" s="1" t="s">
        <v>3539</v>
      </c>
      <c r="U1964" s="1" t="s">
        <v>6694</v>
      </c>
      <c r="Z1964" s="1" t="s">
        <v>71</v>
      </c>
      <c r="AE1964" s="1" t="s">
        <v>6696</v>
      </c>
      <c r="AH1964" s="1" t="s">
        <v>73</v>
      </c>
      <c r="AK1964" s="1" t="s">
        <v>71</v>
      </c>
      <c r="AM1964" s="1" t="s">
        <v>71</v>
      </c>
      <c r="AN1964" s="1" t="s">
        <v>71</v>
      </c>
      <c r="AS1964" s="1" t="s">
        <v>71</v>
      </c>
      <c r="AX1964" s="1" t="s">
        <v>71</v>
      </c>
      <c r="AY1964" s="1" t="s">
        <v>59</v>
      </c>
      <c r="AZ1964" s="1" t="s">
        <v>74</v>
      </c>
      <c r="BH1964" s="1" t="s">
        <v>71</v>
      </c>
    </row>
    <row r="1965" customFormat="false" ht="15" hidden="false" customHeight="false" outlineLevel="0" collapsed="false">
      <c r="A1965" s="1" t="s">
        <v>6697</v>
      </c>
      <c r="B1965" s="1" t="s">
        <v>6698</v>
      </c>
      <c r="C1965" s="1" t="s">
        <v>1870</v>
      </c>
      <c r="D1965" s="1" t="s">
        <v>6699</v>
      </c>
      <c r="E1965" s="1" t="s">
        <v>61</v>
      </c>
      <c r="F1965" s="1" t="s">
        <v>101</v>
      </c>
      <c r="G1965" s="1" t="s">
        <v>275</v>
      </c>
      <c r="H1965" s="1" t="s">
        <v>276</v>
      </c>
      <c r="K1965" s="1" t="s">
        <v>526</v>
      </c>
      <c r="L1965" s="1" t="s">
        <v>5362</v>
      </c>
      <c r="M1965" s="1" t="s">
        <v>296</v>
      </c>
      <c r="N1965" s="1" t="s">
        <v>5189</v>
      </c>
      <c r="O1965" s="1" t="s">
        <v>5190</v>
      </c>
      <c r="P1965" s="1" t="s">
        <v>5191</v>
      </c>
      <c r="U1965" s="1" t="s">
        <v>6697</v>
      </c>
      <c r="Z1965" s="1" t="s">
        <v>71</v>
      </c>
      <c r="AE1965" s="1" t="s">
        <v>6700</v>
      </c>
      <c r="AH1965" s="1" t="s">
        <v>73</v>
      </c>
      <c r="AK1965" s="1" t="s">
        <v>71</v>
      </c>
      <c r="AM1965" s="1" t="s">
        <v>71</v>
      </c>
      <c r="AN1965" s="1" t="s">
        <v>71</v>
      </c>
      <c r="AS1965" s="1" t="s">
        <v>71</v>
      </c>
      <c r="AX1965" s="1" t="s">
        <v>71</v>
      </c>
      <c r="AY1965" s="1" t="s">
        <v>59</v>
      </c>
      <c r="AZ1965" s="1" t="s">
        <v>74</v>
      </c>
      <c r="BH1965" s="1" t="s">
        <v>71</v>
      </c>
    </row>
    <row r="1966" customFormat="false" ht="15" hidden="false" customHeight="false" outlineLevel="0" collapsed="false">
      <c r="A1966" s="1" t="s">
        <v>6701</v>
      </c>
      <c r="B1966" s="1" t="s">
        <v>6702</v>
      </c>
      <c r="C1966" s="1" t="s">
        <v>1870</v>
      </c>
      <c r="D1966" s="1" t="s">
        <v>6699</v>
      </c>
      <c r="E1966" s="1" t="s">
        <v>61</v>
      </c>
      <c r="F1966" s="1" t="s">
        <v>101</v>
      </c>
      <c r="G1966" s="1" t="s">
        <v>177</v>
      </c>
      <c r="H1966" s="1" t="s">
        <v>255</v>
      </c>
      <c r="K1966" s="1" t="s">
        <v>136</v>
      </c>
      <c r="L1966" s="1" t="s">
        <v>6018</v>
      </c>
      <c r="M1966" s="1" t="s">
        <v>296</v>
      </c>
      <c r="N1966" s="1" t="s">
        <v>5189</v>
      </c>
      <c r="O1966" s="1" t="s">
        <v>5190</v>
      </c>
      <c r="P1966" s="1" t="s">
        <v>5191</v>
      </c>
      <c r="U1966" s="1" t="s">
        <v>6701</v>
      </c>
      <c r="Z1966" s="1" t="s">
        <v>71</v>
      </c>
      <c r="AE1966" s="1" t="s">
        <v>6700</v>
      </c>
      <c r="AH1966" s="1" t="s">
        <v>73</v>
      </c>
      <c r="AK1966" s="1" t="s">
        <v>71</v>
      </c>
      <c r="AM1966" s="1" t="s">
        <v>71</v>
      </c>
      <c r="AN1966" s="1" t="s">
        <v>71</v>
      </c>
      <c r="AS1966" s="1" t="s">
        <v>71</v>
      </c>
      <c r="AX1966" s="1" t="s">
        <v>71</v>
      </c>
      <c r="AY1966" s="1" t="s">
        <v>59</v>
      </c>
      <c r="AZ1966" s="1" t="s">
        <v>74</v>
      </c>
      <c r="BH1966" s="1" t="s">
        <v>71</v>
      </c>
    </row>
    <row r="1967" customFormat="false" ht="15" hidden="false" customHeight="false" outlineLevel="0" collapsed="false">
      <c r="A1967" s="1" t="s">
        <v>6703</v>
      </c>
      <c r="B1967" s="1" t="s">
        <v>6704</v>
      </c>
      <c r="C1967" s="1" t="s">
        <v>1870</v>
      </c>
      <c r="D1967" s="1" t="s">
        <v>6699</v>
      </c>
      <c r="E1967" s="1" t="s">
        <v>61</v>
      </c>
      <c r="F1967" s="1" t="s">
        <v>101</v>
      </c>
      <c r="G1967" s="1" t="s">
        <v>177</v>
      </c>
      <c r="H1967" s="1" t="s">
        <v>255</v>
      </c>
      <c r="K1967" s="1" t="s">
        <v>175</v>
      </c>
      <c r="L1967" s="1" t="s">
        <v>6705</v>
      </c>
      <c r="M1967" s="1" t="s">
        <v>296</v>
      </c>
      <c r="N1967" s="1" t="s">
        <v>5189</v>
      </c>
      <c r="O1967" s="1" t="s">
        <v>5190</v>
      </c>
      <c r="P1967" s="1" t="s">
        <v>5191</v>
      </c>
      <c r="U1967" s="1" t="s">
        <v>6703</v>
      </c>
      <c r="Z1967" s="1" t="s">
        <v>71</v>
      </c>
      <c r="AE1967" s="1" t="s">
        <v>6700</v>
      </c>
      <c r="AH1967" s="1" t="s">
        <v>73</v>
      </c>
      <c r="AK1967" s="1" t="s">
        <v>71</v>
      </c>
      <c r="AM1967" s="1" t="s">
        <v>71</v>
      </c>
      <c r="AN1967" s="1" t="s">
        <v>71</v>
      </c>
      <c r="AS1967" s="1" t="s">
        <v>71</v>
      </c>
      <c r="AX1967" s="1" t="s">
        <v>71</v>
      </c>
      <c r="AY1967" s="1" t="s">
        <v>59</v>
      </c>
      <c r="AZ1967" s="1" t="s">
        <v>74</v>
      </c>
      <c r="BH1967" s="1" t="s">
        <v>71</v>
      </c>
    </row>
    <row r="1968" customFormat="false" ht="15" hidden="false" customHeight="false" outlineLevel="0" collapsed="false">
      <c r="A1968" s="1" t="s">
        <v>6706</v>
      </c>
      <c r="B1968" s="1" t="s">
        <v>6707</v>
      </c>
      <c r="C1968" s="1" t="s">
        <v>182</v>
      </c>
      <c r="D1968" s="1" t="s">
        <v>239</v>
      </c>
      <c r="E1968" s="1" t="s">
        <v>65</v>
      </c>
      <c r="F1968" s="1" t="s">
        <v>119</v>
      </c>
      <c r="G1968" s="1" t="s">
        <v>88</v>
      </c>
      <c r="H1968" s="1" t="s">
        <v>255</v>
      </c>
      <c r="K1968" s="1" t="s">
        <v>256</v>
      </c>
      <c r="L1968" s="1" t="s">
        <v>257</v>
      </c>
      <c r="M1968" s="1" t="s">
        <v>1655</v>
      </c>
      <c r="N1968" s="1" t="s">
        <v>259</v>
      </c>
      <c r="O1968" s="1" t="s">
        <v>260</v>
      </c>
      <c r="P1968" s="1" t="s">
        <v>3768</v>
      </c>
      <c r="U1968" s="1" t="s">
        <v>263</v>
      </c>
      <c r="Z1968" s="1" t="s">
        <v>71</v>
      </c>
      <c r="AE1968" s="1" t="s">
        <v>6708</v>
      </c>
      <c r="AH1968" s="1" t="s">
        <v>73</v>
      </c>
      <c r="AK1968" s="1" t="s">
        <v>71</v>
      </c>
      <c r="AM1968" s="1" t="s">
        <v>71</v>
      </c>
      <c r="AN1968" s="1" t="s">
        <v>71</v>
      </c>
      <c r="AS1968" s="1" t="s">
        <v>71</v>
      </c>
      <c r="AX1968" s="1" t="s">
        <v>71</v>
      </c>
      <c r="AY1968" s="1" t="s">
        <v>59</v>
      </c>
      <c r="AZ1968" s="1" t="s">
        <v>74</v>
      </c>
      <c r="BH1968" s="1" t="s">
        <v>71</v>
      </c>
    </row>
    <row r="1969" customFormat="false" ht="15" hidden="false" customHeight="false" outlineLevel="0" collapsed="false">
      <c r="A1969" s="1" t="s">
        <v>6709</v>
      </c>
      <c r="B1969" s="1" t="s">
        <v>6710</v>
      </c>
      <c r="C1969" s="1" t="s">
        <v>182</v>
      </c>
      <c r="D1969" s="1" t="s">
        <v>239</v>
      </c>
      <c r="E1969" s="1" t="s">
        <v>61</v>
      </c>
      <c r="F1969" s="1" t="s">
        <v>101</v>
      </c>
      <c r="G1969" s="1" t="s">
        <v>148</v>
      </c>
      <c r="H1969" s="1" t="s">
        <v>231</v>
      </c>
      <c r="K1969" s="1" t="s">
        <v>1419</v>
      </c>
      <c r="L1969" s="1" t="s">
        <v>1420</v>
      </c>
      <c r="M1969" s="1" t="s">
        <v>6711</v>
      </c>
      <c r="N1969" s="1" t="s">
        <v>243</v>
      </c>
      <c r="O1969" s="1" t="s">
        <v>244</v>
      </c>
      <c r="P1969" s="1" t="s">
        <v>3503</v>
      </c>
      <c r="U1969" s="1" t="s">
        <v>245</v>
      </c>
      <c r="Z1969" s="1" t="s">
        <v>71</v>
      </c>
      <c r="AE1969" s="1" t="s">
        <v>6708</v>
      </c>
      <c r="AH1969" s="1" t="s">
        <v>73</v>
      </c>
      <c r="AK1969" s="1" t="s">
        <v>71</v>
      </c>
      <c r="AM1969" s="1" t="s">
        <v>71</v>
      </c>
      <c r="AN1969" s="1" t="s">
        <v>71</v>
      </c>
      <c r="AS1969" s="1" t="s">
        <v>71</v>
      </c>
      <c r="AX1969" s="1" t="s">
        <v>71</v>
      </c>
      <c r="AY1969" s="1" t="s">
        <v>59</v>
      </c>
      <c r="AZ1969" s="1" t="s">
        <v>74</v>
      </c>
      <c r="BH1969" s="1" t="s">
        <v>71</v>
      </c>
    </row>
    <row r="1970" customFormat="false" ht="15" hidden="false" customHeight="false" outlineLevel="0" collapsed="false">
      <c r="A1970" s="1" t="s">
        <v>6712</v>
      </c>
      <c r="B1970" s="1" t="s">
        <v>6713</v>
      </c>
      <c r="C1970" s="1" t="s">
        <v>182</v>
      </c>
      <c r="D1970" s="1" t="s">
        <v>239</v>
      </c>
      <c r="E1970" s="1" t="s">
        <v>65</v>
      </c>
      <c r="F1970" s="1" t="s">
        <v>119</v>
      </c>
      <c r="G1970" s="1" t="s">
        <v>88</v>
      </c>
      <c r="H1970" s="1" t="s">
        <v>255</v>
      </c>
      <c r="K1970" s="1" t="s">
        <v>1596</v>
      </c>
      <c r="L1970" s="1" t="s">
        <v>1597</v>
      </c>
      <c r="M1970" s="1" t="s">
        <v>258</v>
      </c>
      <c r="N1970" s="1" t="s">
        <v>5423</v>
      </c>
      <c r="O1970" s="1" t="s">
        <v>5424</v>
      </c>
      <c r="P1970" s="1" t="s">
        <v>5425</v>
      </c>
      <c r="U1970" s="1" t="s">
        <v>245</v>
      </c>
      <c r="Z1970" s="1" t="s">
        <v>71</v>
      </c>
      <c r="AE1970" s="1" t="s">
        <v>6714</v>
      </c>
      <c r="AH1970" s="1" t="s">
        <v>73</v>
      </c>
      <c r="AK1970" s="1" t="s">
        <v>71</v>
      </c>
      <c r="AM1970" s="1" t="s">
        <v>71</v>
      </c>
      <c r="AN1970" s="1" t="s">
        <v>71</v>
      </c>
      <c r="AS1970" s="1" t="s">
        <v>71</v>
      </c>
      <c r="AX1970" s="1" t="s">
        <v>71</v>
      </c>
      <c r="AY1970" s="1" t="s">
        <v>59</v>
      </c>
      <c r="AZ1970" s="1" t="s">
        <v>74</v>
      </c>
      <c r="BH1970" s="1" t="s">
        <v>71</v>
      </c>
    </row>
    <row r="1971" customFormat="false" ht="15" hidden="false" customHeight="false" outlineLevel="0" collapsed="false">
      <c r="A1971" s="1" t="s">
        <v>6715</v>
      </c>
      <c r="B1971" s="1" t="s">
        <v>6716</v>
      </c>
      <c r="C1971" s="1" t="s">
        <v>5543</v>
      </c>
      <c r="D1971" s="1" t="s">
        <v>5544</v>
      </c>
      <c r="E1971" s="1" t="s">
        <v>65</v>
      </c>
      <c r="F1971" s="1" t="s">
        <v>119</v>
      </c>
      <c r="G1971" s="1" t="s">
        <v>65</v>
      </c>
      <c r="H1971" s="1" t="s">
        <v>64</v>
      </c>
      <c r="K1971" s="1" t="s">
        <v>120</v>
      </c>
      <c r="L1971" s="1" t="s">
        <v>121</v>
      </c>
      <c r="M1971" s="1" t="s">
        <v>1555</v>
      </c>
      <c r="N1971" s="1" t="s">
        <v>123</v>
      </c>
      <c r="O1971" s="1" t="s">
        <v>124</v>
      </c>
      <c r="P1971" s="1" t="s">
        <v>4161</v>
      </c>
      <c r="U1971" s="1" t="s">
        <v>6715</v>
      </c>
      <c r="Z1971" s="1" t="s">
        <v>71</v>
      </c>
      <c r="AE1971" s="1" t="s">
        <v>6714</v>
      </c>
      <c r="AH1971" s="1" t="s">
        <v>73</v>
      </c>
      <c r="AK1971" s="1" t="s">
        <v>71</v>
      </c>
      <c r="AM1971" s="1" t="s">
        <v>71</v>
      </c>
      <c r="AN1971" s="1" t="s">
        <v>71</v>
      </c>
      <c r="AS1971" s="1" t="s">
        <v>71</v>
      </c>
      <c r="AX1971" s="1" t="s">
        <v>71</v>
      </c>
      <c r="AY1971" s="1" t="s">
        <v>59</v>
      </c>
      <c r="AZ1971" s="1" t="s">
        <v>74</v>
      </c>
      <c r="BH1971" s="1" t="s">
        <v>71</v>
      </c>
    </row>
    <row r="1972" customFormat="false" ht="15" hidden="false" customHeight="false" outlineLevel="0" collapsed="false">
      <c r="A1972" s="1" t="s">
        <v>6717</v>
      </c>
      <c r="B1972" s="1" t="s">
        <v>6718</v>
      </c>
      <c r="C1972" s="1" t="s">
        <v>5543</v>
      </c>
      <c r="D1972" s="1" t="s">
        <v>5544</v>
      </c>
      <c r="E1972" s="1" t="s">
        <v>65</v>
      </c>
      <c r="F1972" s="1" t="s">
        <v>119</v>
      </c>
      <c r="G1972" s="1" t="s">
        <v>65</v>
      </c>
      <c r="H1972" s="1" t="s">
        <v>64</v>
      </c>
      <c r="K1972" s="1" t="s">
        <v>215</v>
      </c>
      <c r="L1972" s="1" t="s">
        <v>6719</v>
      </c>
      <c r="M1972" s="1" t="s">
        <v>104</v>
      </c>
      <c r="N1972" s="1" t="s">
        <v>123</v>
      </c>
      <c r="O1972" s="1" t="s">
        <v>124</v>
      </c>
      <c r="P1972" s="1" t="s">
        <v>4161</v>
      </c>
      <c r="U1972" s="1" t="s">
        <v>6717</v>
      </c>
      <c r="Z1972" s="1" t="s">
        <v>71</v>
      </c>
      <c r="AE1972" s="1" t="s">
        <v>6714</v>
      </c>
      <c r="AH1972" s="1" t="s">
        <v>73</v>
      </c>
      <c r="AK1972" s="1" t="s">
        <v>71</v>
      </c>
      <c r="AM1972" s="1" t="s">
        <v>71</v>
      </c>
      <c r="AN1972" s="1" t="s">
        <v>71</v>
      </c>
      <c r="AS1972" s="1" t="s">
        <v>71</v>
      </c>
      <c r="AX1972" s="1" t="s">
        <v>71</v>
      </c>
      <c r="AY1972" s="1" t="s">
        <v>59</v>
      </c>
      <c r="AZ1972" s="1" t="s">
        <v>74</v>
      </c>
      <c r="BH1972" s="1" t="s">
        <v>71</v>
      </c>
    </row>
    <row r="1973" customFormat="false" ht="15" hidden="false" customHeight="false" outlineLevel="0" collapsed="false">
      <c r="A1973" s="1" t="s">
        <v>6720</v>
      </c>
      <c r="B1973" s="1" t="s">
        <v>6721</v>
      </c>
      <c r="C1973" s="1" t="s">
        <v>1875</v>
      </c>
      <c r="D1973" s="1" t="s">
        <v>6722</v>
      </c>
      <c r="E1973" s="1" t="s">
        <v>61</v>
      </c>
      <c r="F1973" s="1" t="s">
        <v>101</v>
      </c>
      <c r="G1973" s="1" t="s">
        <v>93</v>
      </c>
      <c r="H1973" s="1" t="s">
        <v>64</v>
      </c>
      <c r="K1973" s="1" t="s">
        <v>126</v>
      </c>
      <c r="L1973" s="1" t="s">
        <v>335</v>
      </c>
      <c r="M1973" s="1" t="s">
        <v>1555</v>
      </c>
      <c r="N1973" s="1" t="s">
        <v>105</v>
      </c>
      <c r="O1973" s="1" t="s">
        <v>106</v>
      </c>
      <c r="P1973" s="1" t="s">
        <v>3539</v>
      </c>
      <c r="U1973" s="1" t="s">
        <v>6720</v>
      </c>
      <c r="Z1973" s="1" t="s">
        <v>71</v>
      </c>
      <c r="AE1973" s="1" t="s">
        <v>6714</v>
      </c>
      <c r="AH1973" s="1" t="s">
        <v>73</v>
      </c>
      <c r="AK1973" s="1" t="s">
        <v>71</v>
      </c>
      <c r="AM1973" s="1" t="s">
        <v>71</v>
      </c>
      <c r="AN1973" s="1" t="s">
        <v>71</v>
      </c>
      <c r="AS1973" s="1" t="s">
        <v>71</v>
      </c>
      <c r="AX1973" s="1" t="s">
        <v>71</v>
      </c>
      <c r="AY1973" s="1" t="s">
        <v>59</v>
      </c>
      <c r="AZ1973" s="1" t="s">
        <v>74</v>
      </c>
      <c r="BH1973" s="1" t="s">
        <v>71</v>
      </c>
    </row>
    <row r="1974" customFormat="false" ht="15" hidden="false" customHeight="false" outlineLevel="0" collapsed="false">
      <c r="A1974" s="1" t="s">
        <v>6723</v>
      </c>
      <c r="B1974" s="1" t="s">
        <v>6724</v>
      </c>
      <c r="C1974" s="1" t="s">
        <v>188</v>
      </c>
      <c r="D1974" s="1" t="s">
        <v>189</v>
      </c>
      <c r="E1974" s="1" t="s">
        <v>61</v>
      </c>
      <c r="F1974" s="1" t="s">
        <v>101</v>
      </c>
      <c r="G1974" s="1" t="s">
        <v>93</v>
      </c>
      <c r="H1974" s="1" t="s">
        <v>64</v>
      </c>
      <c r="K1974" s="1" t="s">
        <v>146</v>
      </c>
      <c r="L1974" s="1" t="s">
        <v>6725</v>
      </c>
      <c r="M1974" s="1" t="s">
        <v>5580</v>
      </c>
      <c r="N1974" s="1" t="s">
        <v>4605</v>
      </c>
      <c r="O1974" s="1" t="s">
        <v>4606</v>
      </c>
      <c r="P1974" s="1" t="s">
        <v>4607</v>
      </c>
      <c r="U1974" s="1" t="s">
        <v>6723</v>
      </c>
      <c r="Z1974" s="1" t="s">
        <v>71</v>
      </c>
      <c r="AE1974" s="1" t="s">
        <v>6726</v>
      </c>
      <c r="AH1974" s="1" t="s">
        <v>73</v>
      </c>
      <c r="AK1974" s="1" t="s">
        <v>71</v>
      </c>
      <c r="AM1974" s="1" t="s">
        <v>71</v>
      </c>
      <c r="AN1974" s="1" t="s">
        <v>71</v>
      </c>
      <c r="AS1974" s="1" t="s">
        <v>71</v>
      </c>
      <c r="AX1974" s="1" t="s">
        <v>71</v>
      </c>
      <c r="AY1974" s="1" t="s">
        <v>59</v>
      </c>
      <c r="AZ1974" s="1" t="s">
        <v>74</v>
      </c>
      <c r="BH1974" s="1" t="s">
        <v>71</v>
      </c>
    </row>
    <row r="1975" customFormat="false" ht="15" hidden="false" customHeight="false" outlineLevel="0" collapsed="false">
      <c r="A1975" s="1" t="s">
        <v>6727</v>
      </c>
      <c r="B1975" s="1" t="s">
        <v>6728</v>
      </c>
      <c r="C1975" s="1" t="s">
        <v>1636</v>
      </c>
      <c r="D1975" s="1" t="s">
        <v>6144</v>
      </c>
      <c r="E1975" s="1" t="s">
        <v>61</v>
      </c>
      <c r="F1975" s="1" t="s">
        <v>101</v>
      </c>
      <c r="G1975" s="1" t="s">
        <v>1479</v>
      </c>
      <c r="H1975" s="1" t="s">
        <v>5583</v>
      </c>
      <c r="K1975" s="1" t="s">
        <v>82</v>
      </c>
      <c r="L1975" s="1" t="s">
        <v>6368</v>
      </c>
      <c r="M1975" s="1" t="s">
        <v>242</v>
      </c>
      <c r="N1975" s="1" t="s">
        <v>6357</v>
      </c>
      <c r="O1975" s="1" t="s">
        <v>6358</v>
      </c>
      <c r="P1975" s="1" t="s">
        <v>6359</v>
      </c>
      <c r="U1975" s="1" t="s">
        <v>6727</v>
      </c>
      <c r="Z1975" s="1" t="s">
        <v>71</v>
      </c>
      <c r="AE1975" s="1" t="s">
        <v>6726</v>
      </c>
      <c r="AH1975" s="1" t="s">
        <v>73</v>
      </c>
      <c r="AK1975" s="1" t="s">
        <v>71</v>
      </c>
      <c r="AM1975" s="1" t="s">
        <v>71</v>
      </c>
      <c r="AN1975" s="1" t="s">
        <v>71</v>
      </c>
      <c r="AS1975" s="1" t="s">
        <v>71</v>
      </c>
      <c r="AX1975" s="1" t="s">
        <v>71</v>
      </c>
      <c r="AY1975" s="1" t="s">
        <v>59</v>
      </c>
      <c r="AZ1975" s="1" t="s">
        <v>74</v>
      </c>
      <c r="BH1975" s="1" t="s">
        <v>71</v>
      </c>
    </row>
    <row r="1976" customFormat="false" ht="15" hidden="false" customHeight="false" outlineLevel="0" collapsed="false">
      <c r="A1976" s="1" t="s">
        <v>6729</v>
      </c>
      <c r="B1976" s="1" t="s">
        <v>6730</v>
      </c>
      <c r="C1976" s="1" t="s">
        <v>163</v>
      </c>
      <c r="D1976" s="1" t="s">
        <v>267</v>
      </c>
      <c r="E1976" s="1" t="s">
        <v>61</v>
      </c>
      <c r="F1976" s="1" t="s">
        <v>101</v>
      </c>
      <c r="G1976" s="1" t="s">
        <v>1479</v>
      </c>
      <c r="H1976" s="1" t="s">
        <v>5583</v>
      </c>
      <c r="K1976" s="1" t="s">
        <v>275</v>
      </c>
      <c r="L1976" s="1" t="s">
        <v>5584</v>
      </c>
      <c r="M1976" s="1" t="s">
        <v>6731</v>
      </c>
      <c r="N1976" s="1" t="s">
        <v>4854</v>
      </c>
      <c r="O1976" s="1" t="s">
        <v>4855</v>
      </c>
      <c r="P1976" s="1" t="s">
        <v>4856</v>
      </c>
      <c r="U1976" s="1" t="s">
        <v>6729</v>
      </c>
      <c r="Z1976" s="1" t="s">
        <v>71</v>
      </c>
      <c r="AE1976" s="1" t="s">
        <v>6732</v>
      </c>
      <c r="AH1976" s="1" t="s">
        <v>73</v>
      </c>
      <c r="AK1976" s="1" t="s">
        <v>71</v>
      </c>
      <c r="AM1976" s="1" t="s">
        <v>71</v>
      </c>
      <c r="AN1976" s="1" t="s">
        <v>71</v>
      </c>
      <c r="AS1976" s="1" t="s">
        <v>71</v>
      </c>
      <c r="AX1976" s="1" t="s">
        <v>71</v>
      </c>
      <c r="AY1976" s="1" t="s">
        <v>59</v>
      </c>
      <c r="AZ1976" s="1" t="s">
        <v>74</v>
      </c>
      <c r="BH1976" s="1" t="s">
        <v>71</v>
      </c>
    </row>
    <row r="1977" customFormat="false" ht="15" hidden="false" customHeight="false" outlineLevel="0" collapsed="false">
      <c r="A1977" s="1" t="s">
        <v>6733</v>
      </c>
      <c r="B1977" s="1" t="s">
        <v>6734</v>
      </c>
      <c r="C1977" s="1" t="s">
        <v>1662</v>
      </c>
      <c r="D1977" s="1" t="s">
        <v>6191</v>
      </c>
      <c r="E1977" s="1" t="s">
        <v>61</v>
      </c>
      <c r="F1977" s="1" t="s">
        <v>101</v>
      </c>
      <c r="G1977" s="1" t="s">
        <v>115</v>
      </c>
      <c r="H1977" s="1" t="s">
        <v>5689</v>
      </c>
      <c r="K1977" s="1" t="s">
        <v>148</v>
      </c>
      <c r="L1977" s="1" t="s">
        <v>6497</v>
      </c>
      <c r="M1977" s="1" t="s">
        <v>310</v>
      </c>
      <c r="N1977" s="1" t="s">
        <v>5692</v>
      </c>
      <c r="O1977" s="1" t="s">
        <v>5693</v>
      </c>
      <c r="P1977" s="1" t="s">
        <v>5694</v>
      </c>
      <c r="U1977" s="1" t="s">
        <v>6733</v>
      </c>
      <c r="Z1977" s="1" t="s">
        <v>71</v>
      </c>
      <c r="AE1977" s="1" t="s">
        <v>6732</v>
      </c>
      <c r="AH1977" s="1" t="s">
        <v>73</v>
      </c>
      <c r="AK1977" s="1" t="s">
        <v>71</v>
      </c>
      <c r="AM1977" s="1" t="s">
        <v>71</v>
      </c>
      <c r="AN1977" s="1" t="s">
        <v>71</v>
      </c>
      <c r="AS1977" s="1" t="s">
        <v>71</v>
      </c>
      <c r="AX1977" s="1" t="s">
        <v>71</v>
      </c>
      <c r="AY1977" s="1" t="s">
        <v>59</v>
      </c>
      <c r="AZ1977" s="1" t="s">
        <v>74</v>
      </c>
      <c r="BH1977" s="1" t="s">
        <v>71</v>
      </c>
    </row>
    <row r="1978" customFormat="false" ht="15" hidden="false" customHeight="false" outlineLevel="0" collapsed="false">
      <c r="A1978" s="1" t="s">
        <v>6735</v>
      </c>
      <c r="B1978" s="1" t="s">
        <v>6736</v>
      </c>
      <c r="C1978" s="1" t="s">
        <v>1885</v>
      </c>
      <c r="D1978" s="1" t="s">
        <v>1651</v>
      </c>
      <c r="E1978" s="1" t="s">
        <v>82</v>
      </c>
      <c r="F1978" s="1" t="s">
        <v>391</v>
      </c>
      <c r="G1978" s="1" t="s">
        <v>97</v>
      </c>
      <c r="H1978" s="1" t="s">
        <v>406</v>
      </c>
      <c r="K1978" s="1" t="s">
        <v>65</v>
      </c>
      <c r="L1978" s="1" t="s">
        <v>860</v>
      </c>
      <c r="M1978" s="1" t="s">
        <v>496</v>
      </c>
      <c r="N1978" s="1" t="s">
        <v>6737</v>
      </c>
      <c r="O1978" s="1" t="s">
        <v>6738</v>
      </c>
      <c r="P1978" s="1" t="s">
        <v>6739</v>
      </c>
      <c r="Z1978" s="1" t="s">
        <v>71</v>
      </c>
      <c r="AE1978" s="1" t="s">
        <v>6740</v>
      </c>
      <c r="AH1978" s="1" t="s">
        <v>73</v>
      </c>
      <c r="AK1978" s="1" t="s">
        <v>71</v>
      </c>
      <c r="AM1978" s="1" t="s">
        <v>71</v>
      </c>
      <c r="AN1978" s="1" t="s">
        <v>71</v>
      </c>
      <c r="AS1978" s="1" t="s">
        <v>71</v>
      </c>
      <c r="AX1978" s="1" t="s">
        <v>71</v>
      </c>
      <c r="BH1978" s="1" t="s">
        <v>71</v>
      </c>
    </row>
    <row r="1979" customFormat="false" ht="15" hidden="false" customHeight="false" outlineLevel="0" collapsed="false">
      <c r="A1979" s="1" t="s">
        <v>6741</v>
      </c>
      <c r="B1979" s="1" t="s">
        <v>6742</v>
      </c>
      <c r="C1979" s="1" t="s">
        <v>1891</v>
      </c>
      <c r="D1979" s="1" t="s">
        <v>6743</v>
      </c>
      <c r="E1979" s="1" t="s">
        <v>82</v>
      </c>
      <c r="F1979" s="1" t="s">
        <v>391</v>
      </c>
      <c r="G1979" s="1" t="s">
        <v>443</v>
      </c>
      <c r="H1979" s="1" t="s">
        <v>444</v>
      </c>
      <c r="K1979" s="1" t="s">
        <v>582</v>
      </c>
      <c r="L1979" s="1" t="s">
        <v>860</v>
      </c>
      <c r="M1979" s="1" t="s">
        <v>496</v>
      </c>
      <c r="N1979" s="1" t="s">
        <v>3688</v>
      </c>
      <c r="O1979" s="1" t="s">
        <v>3689</v>
      </c>
      <c r="P1979" s="1" t="s">
        <v>3690</v>
      </c>
      <c r="Z1979" s="1" t="s">
        <v>71</v>
      </c>
      <c r="AE1979" s="1" t="s">
        <v>6740</v>
      </c>
      <c r="AH1979" s="1" t="s">
        <v>73</v>
      </c>
      <c r="AK1979" s="1" t="s">
        <v>71</v>
      </c>
      <c r="AM1979" s="1" t="s">
        <v>71</v>
      </c>
      <c r="AN1979" s="1" t="s">
        <v>71</v>
      </c>
      <c r="AS1979" s="1" t="s">
        <v>71</v>
      </c>
      <c r="AX1979" s="1" t="s">
        <v>71</v>
      </c>
      <c r="BH1979" s="1" t="s">
        <v>71</v>
      </c>
    </row>
    <row r="1980" customFormat="false" ht="15" hidden="false" customHeight="false" outlineLevel="0" collapsed="false">
      <c r="A1980" s="1" t="s">
        <v>6744</v>
      </c>
      <c r="B1980" s="1" t="s">
        <v>6745</v>
      </c>
      <c r="C1980" s="1" t="s">
        <v>182</v>
      </c>
      <c r="D1980" s="1" t="s">
        <v>239</v>
      </c>
      <c r="E1980" s="1" t="s">
        <v>61</v>
      </c>
      <c r="F1980" s="1" t="s">
        <v>101</v>
      </c>
      <c r="G1980" s="1" t="s">
        <v>148</v>
      </c>
      <c r="H1980" s="1" t="s">
        <v>231</v>
      </c>
      <c r="K1980" s="1" t="s">
        <v>1419</v>
      </c>
      <c r="L1980" s="1" t="s">
        <v>1420</v>
      </c>
      <c r="M1980" s="1" t="s">
        <v>6746</v>
      </c>
      <c r="N1980" s="1" t="s">
        <v>243</v>
      </c>
      <c r="O1980" s="1" t="s">
        <v>244</v>
      </c>
      <c r="P1980" s="1" t="s">
        <v>3503</v>
      </c>
      <c r="U1980" s="1" t="s">
        <v>245</v>
      </c>
      <c r="Z1980" s="1" t="s">
        <v>71</v>
      </c>
      <c r="AE1980" s="1" t="s">
        <v>6747</v>
      </c>
      <c r="AH1980" s="1" t="s">
        <v>73</v>
      </c>
      <c r="AK1980" s="1" t="s">
        <v>71</v>
      </c>
      <c r="AM1980" s="1" t="s">
        <v>71</v>
      </c>
      <c r="AN1980" s="1" t="s">
        <v>71</v>
      </c>
      <c r="AS1980" s="1" t="s">
        <v>71</v>
      </c>
      <c r="AX1980" s="1" t="s">
        <v>71</v>
      </c>
      <c r="AY1980" s="1" t="s">
        <v>59</v>
      </c>
      <c r="AZ1980" s="1" t="s">
        <v>74</v>
      </c>
      <c r="BH1980" s="1" t="s">
        <v>71</v>
      </c>
    </row>
    <row r="1981" customFormat="false" ht="15" hidden="false" customHeight="false" outlineLevel="0" collapsed="false">
      <c r="A1981" s="1" t="s">
        <v>6748</v>
      </c>
      <c r="B1981" s="1" t="s">
        <v>6749</v>
      </c>
      <c r="C1981" s="1" t="s">
        <v>182</v>
      </c>
      <c r="D1981" s="1" t="s">
        <v>239</v>
      </c>
      <c r="E1981" s="1" t="s">
        <v>65</v>
      </c>
      <c r="F1981" s="1" t="s">
        <v>119</v>
      </c>
      <c r="G1981" s="1" t="s">
        <v>61</v>
      </c>
      <c r="H1981" s="1" t="s">
        <v>231</v>
      </c>
      <c r="K1981" s="1" t="s">
        <v>1385</v>
      </c>
      <c r="L1981" s="1" t="s">
        <v>1386</v>
      </c>
      <c r="M1981" s="1" t="s">
        <v>374</v>
      </c>
      <c r="N1981" s="1" t="s">
        <v>1388</v>
      </c>
      <c r="O1981" s="1" t="s">
        <v>1389</v>
      </c>
      <c r="P1981" s="1" t="s">
        <v>5676</v>
      </c>
      <c r="U1981" s="1" t="s">
        <v>6750</v>
      </c>
      <c r="Z1981" s="1" t="s">
        <v>71</v>
      </c>
      <c r="AE1981" s="1" t="s">
        <v>6747</v>
      </c>
      <c r="AH1981" s="1" t="s">
        <v>73</v>
      </c>
      <c r="AK1981" s="1" t="s">
        <v>71</v>
      </c>
      <c r="AM1981" s="1" t="s">
        <v>71</v>
      </c>
      <c r="AN1981" s="1" t="s">
        <v>71</v>
      </c>
      <c r="AS1981" s="1" t="s">
        <v>71</v>
      </c>
      <c r="AX1981" s="1" t="s">
        <v>71</v>
      </c>
      <c r="AY1981" s="1" t="s">
        <v>59</v>
      </c>
      <c r="AZ1981" s="1" t="s">
        <v>74</v>
      </c>
      <c r="BH1981" s="1" t="s">
        <v>71</v>
      </c>
    </row>
    <row r="1982" customFormat="false" ht="15" hidden="false" customHeight="false" outlineLevel="0" collapsed="false">
      <c r="A1982" s="1" t="s">
        <v>6751</v>
      </c>
      <c r="B1982" s="1" t="s">
        <v>6752</v>
      </c>
      <c r="C1982" s="1" t="s">
        <v>161</v>
      </c>
      <c r="D1982" s="1" t="s">
        <v>162</v>
      </c>
      <c r="E1982" s="1" t="s">
        <v>61</v>
      </c>
      <c r="F1982" s="1" t="s">
        <v>101</v>
      </c>
      <c r="G1982" s="1" t="s">
        <v>130</v>
      </c>
      <c r="H1982" s="1" t="s">
        <v>5179</v>
      </c>
      <c r="K1982" s="1" t="s">
        <v>5180</v>
      </c>
      <c r="L1982" s="1" t="s">
        <v>5181</v>
      </c>
      <c r="M1982" s="1" t="s">
        <v>592</v>
      </c>
      <c r="N1982" s="1" t="s">
        <v>1177</v>
      </c>
      <c r="O1982" s="1" t="s">
        <v>1178</v>
      </c>
      <c r="P1982" s="1" t="s">
        <v>4732</v>
      </c>
      <c r="U1982" s="1" t="s">
        <v>6751</v>
      </c>
      <c r="Z1982" s="1" t="s">
        <v>71</v>
      </c>
      <c r="AE1982" s="1" t="s">
        <v>6753</v>
      </c>
      <c r="AH1982" s="1" t="s">
        <v>73</v>
      </c>
      <c r="AK1982" s="1" t="s">
        <v>71</v>
      </c>
      <c r="AM1982" s="1" t="s">
        <v>71</v>
      </c>
      <c r="AN1982" s="1" t="s">
        <v>71</v>
      </c>
      <c r="AS1982" s="1" t="s">
        <v>71</v>
      </c>
      <c r="AX1982" s="1" t="s">
        <v>71</v>
      </c>
      <c r="AY1982" s="1" t="s">
        <v>59</v>
      </c>
      <c r="AZ1982" s="1" t="s">
        <v>74</v>
      </c>
      <c r="BH1982" s="1" t="s">
        <v>71</v>
      </c>
    </row>
    <row r="1983" customFormat="false" ht="15" hidden="false" customHeight="false" outlineLevel="0" collapsed="false">
      <c r="A1983" s="1" t="s">
        <v>6754</v>
      </c>
      <c r="B1983" s="1" t="s">
        <v>6755</v>
      </c>
      <c r="C1983" s="1" t="s">
        <v>161</v>
      </c>
      <c r="D1983" s="1" t="s">
        <v>162</v>
      </c>
      <c r="E1983" s="1" t="s">
        <v>61</v>
      </c>
      <c r="F1983" s="1" t="s">
        <v>101</v>
      </c>
      <c r="G1983" s="1" t="s">
        <v>130</v>
      </c>
      <c r="H1983" s="1" t="s">
        <v>5179</v>
      </c>
      <c r="K1983" s="1" t="s">
        <v>5180</v>
      </c>
      <c r="L1983" s="1" t="s">
        <v>5181</v>
      </c>
      <c r="M1983" s="1" t="s">
        <v>592</v>
      </c>
      <c r="N1983" s="1" t="s">
        <v>1177</v>
      </c>
      <c r="O1983" s="1" t="s">
        <v>1178</v>
      </c>
      <c r="P1983" s="1" t="s">
        <v>4732</v>
      </c>
      <c r="U1983" s="1" t="s">
        <v>6754</v>
      </c>
      <c r="Z1983" s="1" t="s">
        <v>71</v>
      </c>
      <c r="AE1983" s="1" t="s">
        <v>6753</v>
      </c>
      <c r="AH1983" s="1" t="s">
        <v>73</v>
      </c>
      <c r="AK1983" s="1" t="s">
        <v>71</v>
      </c>
      <c r="AM1983" s="1" t="s">
        <v>71</v>
      </c>
      <c r="AN1983" s="1" t="s">
        <v>71</v>
      </c>
      <c r="AS1983" s="1" t="s">
        <v>71</v>
      </c>
      <c r="AX1983" s="1" t="s">
        <v>71</v>
      </c>
      <c r="AY1983" s="1" t="s">
        <v>59</v>
      </c>
      <c r="AZ1983" s="1" t="s">
        <v>74</v>
      </c>
      <c r="BH1983" s="1" t="s">
        <v>71</v>
      </c>
    </row>
    <row r="1984" customFormat="false" ht="15" hidden="false" customHeight="false" outlineLevel="0" collapsed="false">
      <c r="A1984" s="1" t="s">
        <v>6756</v>
      </c>
      <c r="B1984" s="1" t="s">
        <v>6757</v>
      </c>
      <c r="C1984" s="1" t="s">
        <v>188</v>
      </c>
      <c r="D1984" s="1" t="s">
        <v>189</v>
      </c>
      <c r="E1984" s="1" t="s">
        <v>61</v>
      </c>
      <c r="F1984" s="1" t="s">
        <v>101</v>
      </c>
      <c r="G1984" s="1" t="s">
        <v>93</v>
      </c>
      <c r="H1984" s="1" t="s">
        <v>64</v>
      </c>
      <c r="K1984" s="1" t="s">
        <v>389</v>
      </c>
      <c r="L1984" s="1" t="s">
        <v>5138</v>
      </c>
      <c r="M1984" s="1" t="s">
        <v>104</v>
      </c>
      <c r="N1984" s="1" t="s">
        <v>203</v>
      </c>
      <c r="O1984" s="1" t="s">
        <v>204</v>
      </c>
      <c r="P1984" s="1" t="s">
        <v>3536</v>
      </c>
      <c r="U1984" s="1" t="s">
        <v>6756</v>
      </c>
      <c r="Z1984" s="1" t="s">
        <v>71</v>
      </c>
      <c r="AE1984" s="1" t="s">
        <v>6753</v>
      </c>
      <c r="AH1984" s="1" t="s">
        <v>73</v>
      </c>
      <c r="AK1984" s="1" t="s">
        <v>71</v>
      </c>
      <c r="AM1984" s="1" t="s">
        <v>71</v>
      </c>
      <c r="AN1984" s="1" t="s">
        <v>71</v>
      </c>
      <c r="AS1984" s="1" t="s">
        <v>71</v>
      </c>
      <c r="AX1984" s="1" t="s">
        <v>71</v>
      </c>
      <c r="AY1984" s="1" t="s">
        <v>59</v>
      </c>
      <c r="AZ1984" s="1" t="s">
        <v>74</v>
      </c>
      <c r="BH1984" s="1" t="s">
        <v>71</v>
      </c>
    </row>
    <row r="1985" customFormat="false" ht="15" hidden="false" customHeight="false" outlineLevel="0" collapsed="false">
      <c r="A1985" s="1" t="s">
        <v>6758</v>
      </c>
      <c r="B1985" s="1" t="s">
        <v>6759</v>
      </c>
      <c r="C1985" s="1" t="s">
        <v>93</v>
      </c>
      <c r="D1985" s="1" t="s">
        <v>140</v>
      </c>
      <c r="E1985" s="1" t="s">
        <v>65</v>
      </c>
      <c r="F1985" s="1" t="s">
        <v>119</v>
      </c>
      <c r="G1985" s="1" t="s">
        <v>65</v>
      </c>
      <c r="H1985" s="1" t="s">
        <v>64</v>
      </c>
      <c r="K1985" s="1" t="s">
        <v>5988</v>
      </c>
      <c r="L1985" s="1" t="s">
        <v>5989</v>
      </c>
      <c r="M1985" s="1" t="s">
        <v>1555</v>
      </c>
      <c r="N1985" s="1" t="s">
        <v>123</v>
      </c>
      <c r="O1985" s="1" t="s">
        <v>124</v>
      </c>
      <c r="P1985" s="1" t="s">
        <v>4161</v>
      </c>
      <c r="U1985" s="1" t="s">
        <v>6758</v>
      </c>
      <c r="Z1985" s="1" t="s">
        <v>71</v>
      </c>
      <c r="AE1985" s="1" t="s">
        <v>6760</v>
      </c>
      <c r="AH1985" s="1" t="s">
        <v>73</v>
      </c>
      <c r="AK1985" s="1" t="s">
        <v>71</v>
      </c>
      <c r="AM1985" s="1" t="s">
        <v>71</v>
      </c>
      <c r="AN1985" s="1" t="s">
        <v>71</v>
      </c>
      <c r="AS1985" s="1" t="s">
        <v>71</v>
      </c>
      <c r="AX1985" s="1" t="s">
        <v>71</v>
      </c>
      <c r="AY1985" s="1" t="s">
        <v>59</v>
      </c>
      <c r="AZ1985" s="1" t="s">
        <v>74</v>
      </c>
      <c r="BH1985" s="1" t="s">
        <v>71</v>
      </c>
    </row>
    <row r="1986" customFormat="false" ht="15" hidden="false" customHeight="false" outlineLevel="0" collapsed="false">
      <c r="A1986" s="1" t="s">
        <v>6761</v>
      </c>
      <c r="B1986" s="1" t="s">
        <v>6762</v>
      </c>
      <c r="C1986" s="1" t="s">
        <v>163</v>
      </c>
      <c r="D1986" s="1" t="s">
        <v>267</v>
      </c>
      <c r="E1986" s="1" t="s">
        <v>61</v>
      </c>
      <c r="F1986" s="1" t="s">
        <v>101</v>
      </c>
      <c r="G1986" s="1" t="s">
        <v>275</v>
      </c>
      <c r="H1986" s="1" t="s">
        <v>276</v>
      </c>
      <c r="K1986" s="1" t="s">
        <v>102</v>
      </c>
      <c r="L1986" s="1" t="s">
        <v>277</v>
      </c>
      <c r="M1986" s="1" t="s">
        <v>278</v>
      </c>
      <c r="N1986" s="1" t="s">
        <v>279</v>
      </c>
      <c r="O1986" s="1" t="s">
        <v>280</v>
      </c>
      <c r="P1986" s="1" t="s">
        <v>4895</v>
      </c>
      <c r="U1986" s="1" t="s">
        <v>6761</v>
      </c>
      <c r="Z1986" s="1" t="s">
        <v>71</v>
      </c>
      <c r="AE1986" s="1" t="s">
        <v>6763</v>
      </c>
      <c r="AH1986" s="1" t="s">
        <v>73</v>
      </c>
      <c r="AK1986" s="1" t="s">
        <v>71</v>
      </c>
      <c r="AM1986" s="1" t="s">
        <v>71</v>
      </c>
      <c r="AN1986" s="1" t="s">
        <v>71</v>
      </c>
      <c r="AS1986" s="1" t="s">
        <v>71</v>
      </c>
      <c r="AX1986" s="1" t="s">
        <v>71</v>
      </c>
      <c r="AY1986" s="1" t="s">
        <v>59</v>
      </c>
      <c r="AZ1986" s="1" t="s">
        <v>74</v>
      </c>
      <c r="BH1986" s="1" t="s">
        <v>71</v>
      </c>
    </row>
    <row r="1987" customFormat="false" ht="15" hidden="false" customHeight="false" outlineLevel="0" collapsed="false">
      <c r="A1987" s="1" t="s">
        <v>6764</v>
      </c>
      <c r="B1987" s="1" t="s">
        <v>6765</v>
      </c>
      <c r="C1987" s="1" t="s">
        <v>182</v>
      </c>
      <c r="D1987" s="1" t="s">
        <v>239</v>
      </c>
      <c r="E1987" s="1" t="s">
        <v>61</v>
      </c>
      <c r="F1987" s="1" t="s">
        <v>101</v>
      </c>
      <c r="G1987" s="1" t="s">
        <v>275</v>
      </c>
      <c r="H1987" s="1" t="s">
        <v>276</v>
      </c>
      <c r="K1987" s="1" t="s">
        <v>1118</v>
      </c>
      <c r="L1987" s="1" t="s">
        <v>3151</v>
      </c>
      <c r="M1987" s="1" t="s">
        <v>278</v>
      </c>
      <c r="N1987" s="1" t="s">
        <v>5064</v>
      </c>
      <c r="O1987" s="1" t="s">
        <v>5065</v>
      </c>
      <c r="P1987" s="1" t="s">
        <v>5066</v>
      </c>
      <c r="U1987" s="1" t="s">
        <v>245</v>
      </c>
      <c r="Z1987" s="1" t="s">
        <v>71</v>
      </c>
      <c r="AE1987" s="1" t="s">
        <v>6763</v>
      </c>
      <c r="AH1987" s="1" t="s">
        <v>73</v>
      </c>
      <c r="AK1987" s="1" t="s">
        <v>71</v>
      </c>
      <c r="AM1987" s="1" t="s">
        <v>71</v>
      </c>
      <c r="AN1987" s="1" t="s">
        <v>71</v>
      </c>
      <c r="AS1987" s="1" t="s">
        <v>71</v>
      </c>
      <c r="AX1987" s="1" t="s">
        <v>71</v>
      </c>
      <c r="AY1987" s="1" t="s">
        <v>59</v>
      </c>
      <c r="AZ1987" s="1" t="s">
        <v>74</v>
      </c>
      <c r="BH1987" s="1" t="s">
        <v>71</v>
      </c>
    </row>
    <row r="1988" customFormat="false" ht="15" hidden="false" customHeight="false" outlineLevel="0" collapsed="false">
      <c r="A1988" s="1" t="s">
        <v>6766</v>
      </c>
      <c r="B1988" s="1" t="s">
        <v>6767</v>
      </c>
      <c r="C1988" s="1" t="s">
        <v>182</v>
      </c>
      <c r="D1988" s="1" t="s">
        <v>239</v>
      </c>
      <c r="E1988" s="1" t="s">
        <v>61</v>
      </c>
      <c r="F1988" s="1" t="s">
        <v>101</v>
      </c>
      <c r="G1988" s="1" t="s">
        <v>177</v>
      </c>
      <c r="H1988" s="1" t="s">
        <v>255</v>
      </c>
      <c r="K1988" s="1" t="s">
        <v>134</v>
      </c>
      <c r="L1988" s="1" t="s">
        <v>268</v>
      </c>
      <c r="M1988" s="1" t="s">
        <v>296</v>
      </c>
      <c r="N1988" s="1" t="s">
        <v>259</v>
      </c>
      <c r="O1988" s="1" t="s">
        <v>260</v>
      </c>
      <c r="P1988" s="1" t="s">
        <v>3768</v>
      </c>
      <c r="U1988" s="1" t="s">
        <v>245</v>
      </c>
      <c r="Z1988" s="1" t="s">
        <v>71</v>
      </c>
      <c r="AE1988" s="1" t="s">
        <v>6763</v>
      </c>
      <c r="AH1988" s="1" t="s">
        <v>73</v>
      </c>
      <c r="AK1988" s="1" t="s">
        <v>71</v>
      </c>
      <c r="AM1988" s="1" t="s">
        <v>71</v>
      </c>
      <c r="AN1988" s="1" t="s">
        <v>71</v>
      </c>
      <c r="AS1988" s="1" t="s">
        <v>71</v>
      </c>
      <c r="AX1988" s="1" t="s">
        <v>71</v>
      </c>
      <c r="AY1988" s="1" t="s">
        <v>59</v>
      </c>
      <c r="AZ1988" s="1" t="s">
        <v>74</v>
      </c>
      <c r="BH1988" s="1" t="s">
        <v>71</v>
      </c>
    </row>
    <row r="1989" customFormat="false" ht="15" hidden="false" customHeight="false" outlineLevel="0" collapsed="false">
      <c r="A1989" s="1" t="s">
        <v>6768</v>
      </c>
      <c r="B1989" s="1" t="s">
        <v>6769</v>
      </c>
      <c r="C1989" s="1" t="s">
        <v>161</v>
      </c>
      <c r="D1989" s="1" t="s">
        <v>162</v>
      </c>
      <c r="E1989" s="1" t="s">
        <v>61</v>
      </c>
      <c r="F1989" s="1" t="s">
        <v>101</v>
      </c>
      <c r="G1989" s="1" t="s">
        <v>93</v>
      </c>
      <c r="H1989" s="1" t="s">
        <v>64</v>
      </c>
      <c r="K1989" s="1" t="s">
        <v>1018</v>
      </c>
      <c r="L1989" s="1" t="s">
        <v>1019</v>
      </c>
      <c r="M1989" s="1" t="s">
        <v>1563</v>
      </c>
      <c r="N1989" s="1" t="s">
        <v>105</v>
      </c>
      <c r="O1989" s="1" t="s">
        <v>106</v>
      </c>
      <c r="P1989" s="1" t="s">
        <v>3539</v>
      </c>
      <c r="U1989" s="1" t="s">
        <v>6768</v>
      </c>
      <c r="Z1989" s="1" t="s">
        <v>71</v>
      </c>
      <c r="AE1989" s="1" t="s">
        <v>6770</v>
      </c>
      <c r="AH1989" s="1" t="s">
        <v>73</v>
      </c>
      <c r="AK1989" s="1" t="s">
        <v>71</v>
      </c>
      <c r="AM1989" s="1" t="s">
        <v>71</v>
      </c>
      <c r="AN1989" s="1" t="s">
        <v>71</v>
      </c>
      <c r="AS1989" s="1" t="s">
        <v>71</v>
      </c>
      <c r="AX1989" s="1" t="s">
        <v>71</v>
      </c>
      <c r="AY1989" s="1" t="s">
        <v>59</v>
      </c>
      <c r="AZ1989" s="1" t="s">
        <v>74</v>
      </c>
      <c r="BH1989" s="1" t="s">
        <v>71</v>
      </c>
    </row>
    <row r="1990" customFormat="false" ht="15" hidden="false" customHeight="false" outlineLevel="0" collapsed="false">
      <c r="A1990" s="1" t="s">
        <v>6771</v>
      </c>
      <c r="B1990" s="1" t="s">
        <v>6772</v>
      </c>
      <c r="C1990" s="1" t="s">
        <v>1490</v>
      </c>
      <c r="D1990" s="1" t="s">
        <v>6773</v>
      </c>
      <c r="E1990" s="1" t="s">
        <v>82</v>
      </c>
      <c r="F1990" s="1" t="s">
        <v>391</v>
      </c>
      <c r="G1990" s="1" t="s">
        <v>443</v>
      </c>
      <c r="H1990" s="1" t="s">
        <v>444</v>
      </c>
      <c r="K1990" s="1" t="s">
        <v>988</v>
      </c>
      <c r="L1990" s="1" t="s">
        <v>989</v>
      </c>
      <c r="M1990" s="1" t="s">
        <v>496</v>
      </c>
      <c r="N1990" s="1" t="s">
        <v>1682</v>
      </c>
      <c r="O1990" s="1" t="s">
        <v>1001</v>
      </c>
      <c r="P1990" s="1" t="s">
        <v>3472</v>
      </c>
      <c r="Z1990" s="1" t="s">
        <v>71</v>
      </c>
      <c r="AE1990" s="1" t="s">
        <v>6770</v>
      </c>
      <c r="AH1990" s="1" t="s">
        <v>73</v>
      </c>
      <c r="AK1990" s="1" t="s">
        <v>71</v>
      </c>
      <c r="AM1990" s="1" t="s">
        <v>71</v>
      </c>
      <c r="AN1990" s="1" t="s">
        <v>71</v>
      </c>
      <c r="AS1990" s="1" t="s">
        <v>71</v>
      </c>
      <c r="AX1990" s="1" t="s">
        <v>71</v>
      </c>
      <c r="BH1990" s="1" t="s">
        <v>71</v>
      </c>
    </row>
    <row r="1991" customFormat="false" ht="15" hidden="false" customHeight="false" outlineLevel="0" collapsed="false">
      <c r="A1991" s="1" t="s">
        <v>6774</v>
      </c>
      <c r="B1991" s="1" t="s">
        <v>6775</v>
      </c>
      <c r="C1991" s="1" t="s">
        <v>182</v>
      </c>
      <c r="D1991" s="1" t="s">
        <v>239</v>
      </c>
      <c r="E1991" s="1" t="s">
        <v>65</v>
      </c>
      <c r="F1991" s="1" t="s">
        <v>119</v>
      </c>
      <c r="G1991" s="1" t="s">
        <v>132</v>
      </c>
      <c r="H1991" s="1" t="s">
        <v>6776</v>
      </c>
      <c r="K1991" s="1" t="s">
        <v>5180</v>
      </c>
      <c r="L1991" s="1" t="s">
        <v>6777</v>
      </c>
      <c r="M1991" s="1" t="s">
        <v>5708</v>
      </c>
      <c r="N1991" s="1" t="s">
        <v>6778</v>
      </c>
      <c r="O1991" s="1" t="s">
        <v>6779</v>
      </c>
      <c r="P1991" s="1" t="s">
        <v>6780</v>
      </c>
      <c r="S1991" s="1" t="s">
        <v>229</v>
      </c>
      <c r="U1991" s="1" t="s">
        <v>6781</v>
      </c>
      <c r="Z1991" s="1" t="s">
        <v>71</v>
      </c>
      <c r="AE1991" s="1" t="s">
        <v>6782</v>
      </c>
      <c r="AH1991" s="1" t="s">
        <v>73</v>
      </c>
      <c r="AK1991" s="1" t="s">
        <v>71</v>
      </c>
      <c r="AM1991" s="1" t="s">
        <v>71</v>
      </c>
      <c r="AN1991" s="1" t="s">
        <v>71</v>
      </c>
      <c r="AS1991" s="1" t="s">
        <v>71</v>
      </c>
      <c r="AX1991" s="1" t="s">
        <v>71</v>
      </c>
      <c r="AY1991" s="1" t="s">
        <v>59</v>
      </c>
      <c r="AZ1991" s="1" t="s">
        <v>74</v>
      </c>
      <c r="BH1991" s="1" t="s">
        <v>71</v>
      </c>
    </row>
    <row r="1992" customFormat="false" ht="15" hidden="false" customHeight="false" outlineLevel="0" collapsed="false">
      <c r="A1992" s="1" t="s">
        <v>6783</v>
      </c>
      <c r="B1992" s="1" t="s">
        <v>6784</v>
      </c>
      <c r="C1992" s="1" t="s">
        <v>182</v>
      </c>
      <c r="D1992" s="1" t="s">
        <v>239</v>
      </c>
      <c r="E1992" s="1" t="s">
        <v>65</v>
      </c>
      <c r="F1992" s="1" t="s">
        <v>119</v>
      </c>
      <c r="G1992" s="1" t="s">
        <v>88</v>
      </c>
      <c r="H1992" s="1" t="s">
        <v>255</v>
      </c>
      <c r="K1992" s="1" t="s">
        <v>430</v>
      </c>
      <c r="L1992" s="1" t="s">
        <v>827</v>
      </c>
      <c r="M1992" s="1" t="s">
        <v>6731</v>
      </c>
      <c r="N1992" s="1" t="s">
        <v>259</v>
      </c>
      <c r="O1992" s="1" t="s">
        <v>260</v>
      </c>
      <c r="P1992" s="1" t="s">
        <v>3768</v>
      </c>
      <c r="U1992" s="1" t="s">
        <v>245</v>
      </c>
      <c r="Z1992" s="1" t="s">
        <v>71</v>
      </c>
      <c r="AE1992" s="1" t="s">
        <v>6782</v>
      </c>
      <c r="AH1992" s="1" t="s">
        <v>73</v>
      </c>
      <c r="AK1992" s="1" t="s">
        <v>71</v>
      </c>
      <c r="AM1992" s="1" t="s">
        <v>71</v>
      </c>
      <c r="AN1992" s="1" t="s">
        <v>71</v>
      </c>
      <c r="AS1992" s="1" t="s">
        <v>71</v>
      </c>
      <c r="AX1992" s="1" t="s">
        <v>71</v>
      </c>
      <c r="AY1992" s="1" t="s">
        <v>59</v>
      </c>
      <c r="AZ1992" s="1" t="s">
        <v>74</v>
      </c>
      <c r="BH1992" s="1" t="s">
        <v>71</v>
      </c>
    </row>
    <row r="1993" customFormat="false" ht="15" hidden="false" customHeight="false" outlineLevel="0" collapsed="false">
      <c r="A1993" s="1" t="s">
        <v>6785</v>
      </c>
      <c r="B1993" s="1" t="s">
        <v>6786</v>
      </c>
      <c r="C1993" s="1" t="s">
        <v>182</v>
      </c>
      <c r="D1993" s="1" t="s">
        <v>239</v>
      </c>
      <c r="E1993" s="1" t="s">
        <v>65</v>
      </c>
      <c r="F1993" s="1" t="s">
        <v>119</v>
      </c>
      <c r="G1993" s="1" t="s">
        <v>88</v>
      </c>
      <c r="H1993" s="1" t="s">
        <v>255</v>
      </c>
      <c r="K1993" s="1" t="s">
        <v>430</v>
      </c>
      <c r="L1993" s="1" t="s">
        <v>827</v>
      </c>
      <c r="M1993" s="1" t="s">
        <v>5708</v>
      </c>
      <c r="N1993" s="1" t="s">
        <v>259</v>
      </c>
      <c r="O1993" s="1" t="s">
        <v>260</v>
      </c>
      <c r="P1993" s="1" t="s">
        <v>3768</v>
      </c>
      <c r="U1993" s="1" t="s">
        <v>263</v>
      </c>
      <c r="Z1993" s="1" t="s">
        <v>71</v>
      </c>
      <c r="AE1993" s="1" t="s">
        <v>6782</v>
      </c>
      <c r="AH1993" s="1" t="s">
        <v>73</v>
      </c>
      <c r="AK1993" s="1" t="s">
        <v>71</v>
      </c>
      <c r="AM1993" s="1" t="s">
        <v>71</v>
      </c>
      <c r="AN1993" s="1" t="s">
        <v>71</v>
      </c>
      <c r="AS1993" s="1" t="s">
        <v>71</v>
      </c>
      <c r="AX1993" s="1" t="s">
        <v>71</v>
      </c>
      <c r="AY1993" s="1" t="s">
        <v>59</v>
      </c>
      <c r="AZ1993" s="1" t="s">
        <v>74</v>
      </c>
      <c r="BH1993" s="1" t="s">
        <v>71</v>
      </c>
    </row>
    <row r="1994" customFormat="false" ht="15" hidden="false" customHeight="false" outlineLevel="0" collapsed="false">
      <c r="A1994" s="1" t="s">
        <v>6787</v>
      </c>
      <c r="B1994" s="1" t="s">
        <v>6788</v>
      </c>
      <c r="C1994" s="1" t="s">
        <v>182</v>
      </c>
      <c r="D1994" s="1" t="s">
        <v>239</v>
      </c>
      <c r="E1994" s="1" t="s">
        <v>65</v>
      </c>
      <c r="F1994" s="1" t="s">
        <v>119</v>
      </c>
      <c r="G1994" s="1" t="s">
        <v>88</v>
      </c>
      <c r="H1994" s="1" t="s">
        <v>255</v>
      </c>
      <c r="K1994" s="1" t="s">
        <v>430</v>
      </c>
      <c r="L1994" s="1" t="s">
        <v>827</v>
      </c>
      <c r="M1994" s="1" t="s">
        <v>1604</v>
      </c>
      <c r="N1994" s="1" t="s">
        <v>259</v>
      </c>
      <c r="O1994" s="1" t="s">
        <v>260</v>
      </c>
      <c r="P1994" s="1" t="s">
        <v>3768</v>
      </c>
      <c r="U1994" s="1" t="s">
        <v>245</v>
      </c>
      <c r="Z1994" s="1" t="s">
        <v>71</v>
      </c>
      <c r="AE1994" s="1" t="s">
        <v>6782</v>
      </c>
      <c r="AH1994" s="1" t="s">
        <v>73</v>
      </c>
      <c r="AK1994" s="1" t="s">
        <v>71</v>
      </c>
      <c r="AM1994" s="1" t="s">
        <v>71</v>
      </c>
      <c r="AN1994" s="1" t="s">
        <v>71</v>
      </c>
      <c r="AS1994" s="1" t="s">
        <v>71</v>
      </c>
      <c r="AX1994" s="1" t="s">
        <v>71</v>
      </c>
      <c r="AY1994" s="1" t="s">
        <v>59</v>
      </c>
      <c r="AZ1994" s="1" t="s">
        <v>74</v>
      </c>
      <c r="BH1994" s="1" t="s">
        <v>71</v>
      </c>
    </row>
    <row r="1995" customFormat="false" ht="15" hidden="false" customHeight="false" outlineLevel="0" collapsed="false">
      <c r="A1995" s="1" t="s">
        <v>6789</v>
      </c>
      <c r="B1995" s="1" t="s">
        <v>6790</v>
      </c>
      <c r="C1995" s="1" t="s">
        <v>182</v>
      </c>
      <c r="D1995" s="1" t="s">
        <v>239</v>
      </c>
      <c r="E1995" s="1" t="s">
        <v>61</v>
      </c>
      <c r="F1995" s="1" t="s">
        <v>101</v>
      </c>
      <c r="G1995" s="1" t="s">
        <v>275</v>
      </c>
      <c r="H1995" s="1" t="s">
        <v>276</v>
      </c>
      <c r="K1995" s="1" t="s">
        <v>526</v>
      </c>
      <c r="L1995" s="1" t="s">
        <v>5362</v>
      </c>
      <c r="M1995" s="1" t="s">
        <v>310</v>
      </c>
      <c r="N1995" s="1" t="s">
        <v>5189</v>
      </c>
      <c r="O1995" s="1" t="s">
        <v>5190</v>
      </c>
      <c r="P1995" s="1" t="s">
        <v>5191</v>
      </c>
      <c r="S1995" s="1" t="s">
        <v>275</v>
      </c>
      <c r="U1995" s="1" t="s">
        <v>6791</v>
      </c>
      <c r="Z1995" s="1" t="s">
        <v>71</v>
      </c>
      <c r="AE1995" s="1" t="s">
        <v>6782</v>
      </c>
      <c r="AH1995" s="1" t="s">
        <v>73</v>
      </c>
      <c r="AK1995" s="1" t="s">
        <v>71</v>
      </c>
      <c r="AM1995" s="1" t="s">
        <v>71</v>
      </c>
      <c r="AN1995" s="1" t="s">
        <v>71</v>
      </c>
      <c r="AS1995" s="1" t="s">
        <v>71</v>
      </c>
      <c r="AX1995" s="1" t="s">
        <v>71</v>
      </c>
      <c r="AY1995" s="1" t="s">
        <v>59</v>
      </c>
      <c r="AZ1995" s="1" t="s">
        <v>74</v>
      </c>
      <c r="BH1995" s="1" t="s">
        <v>71</v>
      </c>
    </row>
    <row r="1996" customFormat="false" ht="15" hidden="false" customHeight="false" outlineLevel="0" collapsed="false">
      <c r="A1996" s="1" t="s">
        <v>6792</v>
      </c>
      <c r="B1996" s="1" t="s">
        <v>6793</v>
      </c>
      <c r="C1996" s="1" t="s">
        <v>182</v>
      </c>
      <c r="D1996" s="1" t="s">
        <v>239</v>
      </c>
      <c r="E1996" s="1" t="s">
        <v>61</v>
      </c>
      <c r="F1996" s="1" t="s">
        <v>101</v>
      </c>
      <c r="G1996" s="1" t="s">
        <v>177</v>
      </c>
      <c r="H1996" s="1" t="s">
        <v>255</v>
      </c>
      <c r="K1996" s="1" t="s">
        <v>115</v>
      </c>
      <c r="L1996" s="1" t="s">
        <v>1236</v>
      </c>
      <c r="M1996" s="1" t="s">
        <v>296</v>
      </c>
      <c r="N1996" s="1" t="s">
        <v>259</v>
      </c>
      <c r="O1996" s="1" t="s">
        <v>260</v>
      </c>
      <c r="P1996" s="1" t="s">
        <v>3768</v>
      </c>
      <c r="U1996" s="1" t="s">
        <v>6794</v>
      </c>
      <c r="Z1996" s="1" t="s">
        <v>71</v>
      </c>
      <c r="AE1996" s="1" t="s">
        <v>6782</v>
      </c>
      <c r="AH1996" s="1" t="s">
        <v>73</v>
      </c>
      <c r="AK1996" s="1" t="s">
        <v>71</v>
      </c>
      <c r="AM1996" s="1" t="s">
        <v>71</v>
      </c>
      <c r="AN1996" s="1" t="s">
        <v>71</v>
      </c>
      <c r="AS1996" s="1" t="s">
        <v>71</v>
      </c>
      <c r="AX1996" s="1" t="s">
        <v>71</v>
      </c>
      <c r="AY1996" s="1" t="s">
        <v>59</v>
      </c>
      <c r="AZ1996" s="1" t="s">
        <v>74</v>
      </c>
      <c r="BH1996" s="1" t="s">
        <v>71</v>
      </c>
    </row>
    <row r="1997" customFormat="false" ht="15" hidden="false" customHeight="false" outlineLevel="0" collapsed="false">
      <c r="A1997" s="1" t="s">
        <v>6795</v>
      </c>
      <c r="B1997" s="1" t="s">
        <v>6796</v>
      </c>
      <c r="C1997" s="1" t="s">
        <v>288</v>
      </c>
      <c r="D1997" s="1" t="s">
        <v>289</v>
      </c>
      <c r="E1997" s="1" t="s">
        <v>65</v>
      </c>
      <c r="F1997" s="1" t="s">
        <v>119</v>
      </c>
      <c r="G1997" s="1" t="s">
        <v>6797</v>
      </c>
      <c r="H1997" s="1" t="s">
        <v>4875</v>
      </c>
      <c r="K1997" s="1" t="s">
        <v>6798</v>
      </c>
      <c r="L1997" s="1" t="s">
        <v>4876</v>
      </c>
      <c r="M1997" s="1" t="s">
        <v>1555</v>
      </c>
      <c r="N1997" s="1" t="s">
        <v>105</v>
      </c>
      <c r="O1997" s="1" t="s">
        <v>106</v>
      </c>
      <c r="P1997" s="1" t="s">
        <v>3539</v>
      </c>
      <c r="U1997" s="1" t="s">
        <v>6795</v>
      </c>
      <c r="Z1997" s="1" t="s">
        <v>71</v>
      </c>
      <c r="AE1997" s="1" t="s">
        <v>6799</v>
      </c>
      <c r="AH1997" s="1" t="s">
        <v>73</v>
      </c>
      <c r="AK1997" s="1" t="s">
        <v>71</v>
      </c>
      <c r="AM1997" s="1" t="s">
        <v>71</v>
      </c>
      <c r="AN1997" s="1" t="s">
        <v>71</v>
      </c>
      <c r="AS1997" s="1" t="s">
        <v>71</v>
      </c>
      <c r="AX1997" s="1" t="s">
        <v>71</v>
      </c>
      <c r="AY1997" s="1" t="s">
        <v>59</v>
      </c>
      <c r="AZ1997" s="1" t="s">
        <v>74</v>
      </c>
      <c r="BH1997" s="1" t="s">
        <v>71</v>
      </c>
    </row>
    <row r="1998" customFormat="false" ht="15" hidden="false" customHeight="false" outlineLevel="0" collapsed="false">
      <c r="A1998" s="1" t="s">
        <v>6800</v>
      </c>
      <c r="B1998" s="1" t="s">
        <v>6801</v>
      </c>
      <c r="C1998" s="1" t="s">
        <v>288</v>
      </c>
      <c r="D1998" s="1" t="s">
        <v>289</v>
      </c>
      <c r="E1998" s="1" t="s">
        <v>65</v>
      </c>
      <c r="F1998" s="1" t="s">
        <v>119</v>
      </c>
      <c r="G1998" s="1" t="s">
        <v>6797</v>
      </c>
      <c r="H1998" s="1" t="s">
        <v>4875</v>
      </c>
      <c r="K1998" s="1" t="s">
        <v>6798</v>
      </c>
      <c r="L1998" s="1" t="s">
        <v>4876</v>
      </c>
      <c r="M1998" s="1" t="s">
        <v>828</v>
      </c>
      <c r="N1998" s="1" t="s">
        <v>105</v>
      </c>
      <c r="O1998" s="1" t="s">
        <v>106</v>
      </c>
      <c r="P1998" s="1" t="s">
        <v>3539</v>
      </c>
      <c r="U1998" s="1" t="s">
        <v>6800</v>
      </c>
      <c r="Z1998" s="1" t="s">
        <v>71</v>
      </c>
      <c r="AE1998" s="1" t="s">
        <v>6799</v>
      </c>
      <c r="AH1998" s="1" t="s">
        <v>73</v>
      </c>
      <c r="AK1998" s="1" t="s">
        <v>71</v>
      </c>
      <c r="AM1998" s="1" t="s">
        <v>71</v>
      </c>
      <c r="AN1998" s="1" t="s">
        <v>71</v>
      </c>
      <c r="AS1998" s="1" t="s">
        <v>71</v>
      </c>
      <c r="AX1998" s="1" t="s">
        <v>71</v>
      </c>
      <c r="AY1998" s="1" t="s">
        <v>59</v>
      </c>
      <c r="AZ1998" s="1" t="s">
        <v>74</v>
      </c>
      <c r="BH1998" s="1" t="s">
        <v>71</v>
      </c>
    </row>
    <row r="1999" customFormat="false" ht="15" hidden="false" customHeight="false" outlineLevel="0" collapsed="false">
      <c r="A1999" s="1" t="s">
        <v>6802</v>
      </c>
      <c r="B1999" s="1" t="s">
        <v>6803</v>
      </c>
      <c r="C1999" s="1" t="s">
        <v>1740</v>
      </c>
      <c r="D1999" s="1" t="s">
        <v>4959</v>
      </c>
      <c r="E1999" s="1" t="s">
        <v>61</v>
      </c>
      <c r="F1999" s="1" t="s">
        <v>101</v>
      </c>
      <c r="G1999" s="1" t="s">
        <v>93</v>
      </c>
      <c r="H1999" s="1" t="s">
        <v>64</v>
      </c>
      <c r="K1999" s="1" t="s">
        <v>126</v>
      </c>
      <c r="L1999" s="1" t="s">
        <v>335</v>
      </c>
      <c r="M1999" s="1" t="s">
        <v>310</v>
      </c>
      <c r="N1999" s="1" t="s">
        <v>105</v>
      </c>
      <c r="O1999" s="1" t="s">
        <v>106</v>
      </c>
      <c r="P1999" s="1" t="s">
        <v>3539</v>
      </c>
      <c r="U1999" s="1" t="s">
        <v>6802</v>
      </c>
      <c r="Z1999" s="1" t="s">
        <v>71</v>
      </c>
      <c r="AE1999" s="1" t="s">
        <v>6804</v>
      </c>
      <c r="AH1999" s="1" t="s">
        <v>73</v>
      </c>
      <c r="AK1999" s="1" t="s">
        <v>71</v>
      </c>
      <c r="AM1999" s="1" t="s">
        <v>71</v>
      </c>
      <c r="AN1999" s="1" t="s">
        <v>71</v>
      </c>
      <c r="AS1999" s="1" t="s">
        <v>71</v>
      </c>
      <c r="AX1999" s="1" t="s">
        <v>71</v>
      </c>
      <c r="AY1999" s="1" t="s">
        <v>59</v>
      </c>
      <c r="AZ1999" s="1" t="s">
        <v>74</v>
      </c>
      <c r="BH1999" s="1" t="s">
        <v>71</v>
      </c>
    </row>
    <row r="2000" customFormat="false" ht="15" hidden="false" customHeight="false" outlineLevel="0" collapsed="false">
      <c r="A2000" s="1" t="s">
        <v>6805</v>
      </c>
      <c r="B2000" s="1" t="s">
        <v>6806</v>
      </c>
      <c r="C2000" s="1" t="s">
        <v>2605</v>
      </c>
      <c r="D2000" s="1" t="s">
        <v>6807</v>
      </c>
      <c r="E2000" s="1" t="s">
        <v>61</v>
      </c>
      <c r="F2000" s="1" t="s">
        <v>101</v>
      </c>
      <c r="G2000" s="1" t="s">
        <v>275</v>
      </c>
      <c r="H2000" s="1" t="s">
        <v>276</v>
      </c>
      <c r="K2000" s="1" t="s">
        <v>142</v>
      </c>
      <c r="L2000" s="1" t="s">
        <v>295</v>
      </c>
      <c r="M2000" s="1" t="s">
        <v>1364</v>
      </c>
      <c r="N2000" s="1" t="s">
        <v>5904</v>
      </c>
      <c r="O2000" s="1" t="s">
        <v>5905</v>
      </c>
      <c r="P2000" s="1" t="s">
        <v>5906</v>
      </c>
      <c r="U2000" s="1" t="s">
        <v>6805</v>
      </c>
      <c r="Z2000" s="1" t="s">
        <v>71</v>
      </c>
      <c r="AE2000" s="1" t="s">
        <v>6808</v>
      </c>
      <c r="AH2000" s="1" t="s">
        <v>73</v>
      </c>
      <c r="AK2000" s="1" t="s">
        <v>71</v>
      </c>
      <c r="AM2000" s="1" t="s">
        <v>71</v>
      </c>
      <c r="AN2000" s="1" t="s">
        <v>71</v>
      </c>
      <c r="AS2000" s="1" t="s">
        <v>71</v>
      </c>
      <c r="AX2000" s="1" t="s">
        <v>71</v>
      </c>
      <c r="AY2000" s="1" t="s">
        <v>59</v>
      </c>
      <c r="AZ2000" s="1" t="s">
        <v>74</v>
      </c>
      <c r="BH2000" s="1" t="s">
        <v>71</v>
      </c>
    </row>
    <row r="2001" customFormat="false" ht="15" hidden="false" customHeight="false" outlineLevel="0" collapsed="false">
      <c r="A2001" s="1" t="s">
        <v>6809</v>
      </c>
      <c r="B2001" s="1" t="s">
        <v>6810</v>
      </c>
      <c r="C2001" s="1" t="s">
        <v>356</v>
      </c>
      <c r="D2001" s="1" t="s">
        <v>1478</v>
      </c>
      <c r="E2001" s="1" t="s">
        <v>61</v>
      </c>
      <c r="F2001" s="1" t="s">
        <v>101</v>
      </c>
      <c r="G2001" s="1" t="s">
        <v>275</v>
      </c>
      <c r="H2001" s="1" t="s">
        <v>276</v>
      </c>
      <c r="K2001" s="1" t="s">
        <v>657</v>
      </c>
      <c r="L2001" s="1" t="s">
        <v>5279</v>
      </c>
      <c r="M2001" s="1" t="s">
        <v>296</v>
      </c>
      <c r="N2001" s="1" t="s">
        <v>279</v>
      </c>
      <c r="O2001" s="1" t="s">
        <v>280</v>
      </c>
      <c r="P2001" s="1" t="s">
        <v>4895</v>
      </c>
      <c r="U2001" s="1" t="s">
        <v>6809</v>
      </c>
      <c r="Z2001" s="1" t="s">
        <v>71</v>
      </c>
      <c r="AE2001" s="1" t="s">
        <v>6808</v>
      </c>
      <c r="AH2001" s="1" t="s">
        <v>73</v>
      </c>
      <c r="AK2001" s="1" t="s">
        <v>71</v>
      </c>
      <c r="AM2001" s="1" t="s">
        <v>71</v>
      </c>
      <c r="AN2001" s="1" t="s">
        <v>71</v>
      </c>
      <c r="AS2001" s="1" t="s">
        <v>71</v>
      </c>
      <c r="AX2001" s="1" t="s">
        <v>71</v>
      </c>
      <c r="AY2001" s="1" t="s">
        <v>59</v>
      </c>
      <c r="AZ2001" s="1" t="s">
        <v>74</v>
      </c>
      <c r="BH2001" s="1" t="s">
        <v>71</v>
      </c>
    </row>
    <row r="2002" customFormat="false" ht="15" hidden="false" customHeight="false" outlineLevel="0" collapsed="false">
      <c r="A2002" s="1" t="s">
        <v>6811</v>
      </c>
      <c r="B2002" s="1" t="s">
        <v>6812</v>
      </c>
      <c r="C2002" s="1" t="s">
        <v>182</v>
      </c>
      <c r="D2002" s="1" t="s">
        <v>239</v>
      </c>
      <c r="E2002" s="1" t="s">
        <v>61</v>
      </c>
      <c r="F2002" s="1" t="s">
        <v>101</v>
      </c>
      <c r="G2002" s="1" t="s">
        <v>275</v>
      </c>
      <c r="H2002" s="1" t="s">
        <v>276</v>
      </c>
      <c r="K2002" s="1" t="s">
        <v>657</v>
      </c>
      <c r="L2002" s="1" t="s">
        <v>5279</v>
      </c>
      <c r="M2002" s="1" t="s">
        <v>6813</v>
      </c>
      <c r="N2002" s="1" t="s">
        <v>5892</v>
      </c>
      <c r="O2002" s="1" t="s">
        <v>5893</v>
      </c>
      <c r="P2002" s="1" t="s">
        <v>5894</v>
      </c>
      <c r="U2002" s="1" t="s">
        <v>245</v>
      </c>
      <c r="Z2002" s="1" t="s">
        <v>71</v>
      </c>
      <c r="AE2002" s="1" t="s">
        <v>6814</v>
      </c>
      <c r="AH2002" s="1" t="s">
        <v>73</v>
      </c>
      <c r="AK2002" s="1" t="s">
        <v>71</v>
      </c>
      <c r="AM2002" s="1" t="s">
        <v>71</v>
      </c>
      <c r="AN2002" s="1" t="s">
        <v>71</v>
      </c>
      <c r="AS2002" s="1" t="s">
        <v>71</v>
      </c>
      <c r="AX2002" s="1" t="s">
        <v>71</v>
      </c>
      <c r="AY2002" s="1" t="s">
        <v>59</v>
      </c>
      <c r="AZ2002" s="1" t="s">
        <v>74</v>
      </c>
      <c r="BH2002" s="1" t="s">
        <v>71</v>
      </c>
    </row>
    <row r="2003" customFormat="false" ht="15" hidden="false" customHeight="false" outlineLevel="0" collapsed="false">
      <c r="A2003" s="1" t="s">
        <v>6815</v>
      </c>
      <c r="B2003" s="1" t="s">
        <v>6816</v>
      </c>
      <c r="C2003" s="1" t="s">
        <v>182</v>
      </c>
      <c r="D2003" s="1" t="s">
        <v>239</v>
      </c>
      <c r="E2003" s="1" t="s">
        <v>61</v>
      </c>
      <c r="F2003" s="1" t="s">
        <v>101</v>
      </c>
      <c r="G2003" s="1" t="s">
        <v>148</v>
      </c>
      <c r="H2003" s="1" t="s">
        <v>231</v>
      </c>
      <c r="K2003" s="1" t="s">
        <v>150</v>
      </c>
      <c r="L2003" s="1" t="s">
        <v>6817</v>
      </c>
      <c r="M2003" s="1" t="s">
        <v>1387</v>
      </c>
      <c r="N2003" s="1" t="s">
        <v>243</v>
      </c>
      <c r="O2003" s="1" t="s">
        <v>244</v>
      </c>
      <c r="P2003" s="1" t="s">
        <v>3503</v>
      </c>
      <c r="U2003" s="1" t="s">
        <v>245</v>
      </c>
      <c r="Z2003" s="1" t="s">
        <v>71</v>
      </c>
      <c r="AE2003" s="1" t="s">
        <v>6814</v>
      </c>
      <c r="AH2003" s="1" t="s">
        <v>73</v>
      </c>
      <c r="AK2003" s="1" t="s">
        <v>71</v>
      </c>
      <c r="AM2003" s="1" t="s">
        <v>71</v>
      </c>
      <c r="AN2003" s="1" t="s">
        <v>71</v>
      </c>
      <c r="AS2003" s="1" t="s">
        <v>71</v>
      </c>
      <c r="AX2003" s="1" t="s">
        <v>71</v>
      </c>
      <c r="AY2003" s="1" t="s">
        <v>59</v>
      </c>
      <c r="AZ2003" s="1" t="s">
        <v>74</v>
      </c>
      <c r="BH2003" s="1" t="s">
        <v>71</v>
      </c>
    </row>
    <row r="2004" customFormat="false" ht="15" hidden="false" customHeight="false" outlineLevel="0" collapsed="false">
      <c r="A2004" s="1" t="s">
        <v>6818</v>
      </c>
      <c r="B2004" s="1" t="s">
        <v>6819</v>
      </c>
      <c r="C2004" s="1" t="s">
        <v>161</v>
      </c>
      <c r="D2004" s="1" t="s">
        <v>162</v>
      </c>
      <c r="E2004" s="1" t="s">
        <v>61</v>
      </c>
      <c r="F2004" s="1" t="s">
        <v>101</v>
      </c>
      <c r="G2004" s="1" t="s">
        <v>130</v>
      </c>
      <c r="H2004" s="1" t="s">
        <v>5179</v>
      </c>
      <c r="K2004" s="1" t="s">
        <v>6035</v>
      </c>
      <c r="L2004" s="1" t="s">
        <v>6036</v>
      </c>
      <c r="M2004" s="1" t="s">
        <v>592</v>
      </c>
      <c r="N2004" s="1" t="s">
        <v>105</v>
      </c>
      <c r="O2004" s="1" t="s">
        <v>106</v>
      </c>
      <c r="P2004" s="1" t="s">
        <v>3539</v>
      </c>
      <c r="U2004" s="1" t="s">
        <v>6818</v>
      </c>
      <c r="Z2004" s="1" t="s">
        <v>71</v>
      </c>
      <c r="AE2004" s="1" t="s">
        <v>6814</v>
      </c>
      <c r="AH2004" s="1" t="s">
        <v>73</v>
      </c>
      <c r="AK2004" s="1" t="s">
        <v>71</v>
      </c>
      <c r="AM2004" s="1" t="s">
        <v>71</v>
      </c>
      <c r="AN2004" s="1" t="s">
        <v>71</v>
      </c>
      <c r="AS2004" s="1" t="s">
        <v>71</v>
      </c>
      <c r="AX2004" s="1" t="s">
        <v>71</v>
      </c>
      <c r="AY2004" s="1" t="s">
        <v>59</v>
      </c>
      <c r="AZ2004" s="1" t="s">
        <v>74</v>
      </c>
      <c r="BH2004" s="1" t="s">
        <v>71</v>
      </c>
    </row>
    <row r="2005" customFormat="false" ht="15" hidden="false" customHeight="false" outlineLevel="0" collapsed="false">
      <c r="A2005" s="1" t="s">
        <v>6820</v>
      </c>
      <c r="B2005" s="1" t="s">
        <v>6821</v>
      </c>
      <c r="C2005" s="1" t="s">
        <v>1742</v>
      </c>
      <c r="D2005" s="1" t="s">
        <v>6399</v>
      </c>
      <c r="E2005" s="1" t="s">
        <v>61</v>
      </c>
      <c r="F2005" s="1" t="s">
        <v>101</v>
      </c>
      <c r="G2005" s="1" t="s">
        <v>93</v>
      </c>
      <c r="H2005" s="1" t="s">
        <v>64</v>
      </c>
      <c r="K2005" s="1" t="s">
        <v>224</v>
      </c>
      <c r="L2005" s="1" t="s">
        <v>225</v>
      </c>
      <c r="M2005" s="1" t="s">
        <v>5580</v>
      </c>
      <c r="N2005" s="1" t="s">
        <v>105</v>
      </c>
      <c r="O2005" s="1" t="s">
        <v>106</v>
      </c>
      <c r="P2005" s="1" t="s">
        <v>3539</v>
      </c>
      <c r="U2005" s="1" t="s">
        <v>6820</v>
      </c>
      <c r="Z2005" s="1" t="s">
        <v>71</v>
      </c>
      <c r="AE2005" s="1" t="s">
        <v>6822</v>
      </c>
      <c r="AH2005" s="1" t="s">
        <v>73</v>
      </c>
      <c r="AK2005" s="1" t="s">
        <v>71</v>
      </c>
      <c r="AM2005" s="1" t="s">
        <v>71</v>
      </c>
      <c r="AN2005" s="1" t="s">
        <v>71</v>
      </c>
      <c r="AS2005" s="1" t="s">
        <v>71</v>
      </c>
      <c r="AX2005" s="1" t="s">
        <v>71</v>
      </c>
      <c r="AY2005" s="1" t="s">
        <v>59</v>
      </c>
      <c r="AZ2005" s="1" t="s">
        <v>74</v>
      </c>
      <c r="BH2005" s="1" t="s">
        <v>71</v>
      </c>
    </row>
    <row r="2006" customFormat="false" ht="15" hidden="false" customHeight="false" outlineLevel="0" collapsed="false">
      <c r="A2006" s="1" t="s">
        <v>6823</v>
      </c>
      <c r="B2006" s="1" t="s">
        <v>6824</v>
      </c>
      <c r="C2006" s="1" t="s">
        <v>1016</v>
      </c>
      <c r="D2006" s="1" t="s">
        <v>3542</v>
      </c>
      <c r="E2006" s="1" t="s">
        <v>61</v>
      </c>
      <c r="F2006" s="1" t="s">
        <v>101</v>
      </c>
      <c r="G2006" s="1" t="s">
        <v>93</v>
      </c>
      <c r="H2006" s="1" t="s">
        <v>64</v>
      </c>
      <c r="K2006" s="1" t="s">
        <v>112</v>
      </c>
      <c r="L2006" s="1" t="s">
        <v>113</v>
      </c>
      <c r="M2006" s="1" t="s">
        <v>104</v>
      </c>
      <c r="N2006" s="1" t="s">
        <v>203</v>
      </c>
      <c r="O2006" s="1" t="s">
        <v>204</v>
      </c>
      <c r="P2006" s="1" t="s">
        <v>3536</v>
      </c>
      <c r="U2006" s="1" t="s">
        <v>6823</v>
      </c>
      <c r="Z2006" s="1" t="s">
        <v>71</v>
      </c>
      <c r="AE2006" s="1" t="s">
        <v>6825</v>
      </c>
      <c r="AH2006" s="1" t="s">
        <v>73</v>
      </c>
      <c r="AK2006" s="1" t="s">
        <v>71</v>
      </c>
      <c r="AM2006" s="1" t="s">
        <v>71</v>
      </c>
      <c r="AN2006" s="1" t="s">
        <v>71</v>
      </c>
      <c r="AS2006" s="1" t="s">
        <v>71</v>
      </c>
      <c r="AX2006" s="1" t="s">
        <v>71</v>
      </c>
      <c r="AY2006" s="1" t="s">
        <v>59</v>
      </c>
      <c r="AZ2006" s="1" t="s">
        <v>74</v>
      </c>
      <c r="BH2006" s="1" t="s">
        <v>71</v>
      </c>
    </row>
    <row r="2007" customFormat="false" ht="15" hidden="false" customHeight="false" outlineLevel="0" collapsed="false">
      <c r="A2007" s="1" t="s">
        <v>6826</v>
      </c>
      <c r="B2007" s="1" t="s">
        <v>6827</v>
      </c>
      <c r="C2007" s="1" t="s">
        <v>1016</v>
      </c>
      <c r="D2007" s="1" t="s">
        <v>3542</v>
      </c>
      <c r="E2007" s="1" t="s">
        <v>61</v>
      </c>
      <c r="F2007" s="1" t="s">
        <v>101</v>
      </c>
      <c r="G2007" s="1" t="s">
        <v>93</v>
      </c>
      <c r="H2007" s="1" t="s">
        <v>64</v>
      </c>
      <c r="K2007" s="1" t="s">
        <v>3150</v>
      </c>
      <c r="L2007" s="1" t="s">
        <v>3151</v>
      </c>
      <c r="M2007" s="1" t="s">
        <v>592</v>
      </c>
      <c r="N2007" s="1" t="s">
        <v>203</v>
      </c>
      <c r="O2007" s="1" t="s">
        <v>204</v>
      </c>
      <c r="P2007" s="1" t="s">
        <v>3536</v>
      </c>
      <c r="U2007" s="1" t="s">
        <v>6826</v>
      </c>
      <c r="Z2007" s="1" t="s">
        <v>71</v>
      </c>
      <c r="AE2007" s="1" t="s">
        <v>6825</v>
      </c>
      <c r="AH2007" s="1" t="s">
        <v>73</v>
      </c>
      <c r="AK2007" s="1" t="s">
        <v>71</v>
      </c>
      <c r="AM2007" s="1" t="s">
        <v>71</v>
      </c>
      <c r="AN2007" s="1" t="s">
        <v>71</v>
      </c>
      <c r="AS2007" s="1" t="s">
        <v>71</v>
      </c>
      <c r="AX2007" s="1" t="s">
        <v>71</v>
      </c>
      <c r="AY2007" s="1" t="s">
        <v>59</v>
      </c>
      <c r="AZ2007" s="1" t="s">
        <v>74</v>
      </c>
      <c r="BH2007" s="1" t="s">
        <v>71</v>
      </c>
    </row>
    <row r="2008" customFormat="false" ht="15" hidden="false" customHeight="false" outlineLevel="0" collapsed="false">
      <c r="A2008" s="1" t="s">
        <v>6828</v>
      </c>
      <c r="B2008" s="1" t="s">
        <v>6829</v>
      </c>
      <c r="C2008" s="1" t="s">
        <v>182</v>
      </c>
      <c r="D2008" s="1" t="s">
        <v>239</v>
      </c>
      <c r="E2008" s="1" t="s">
        <v>65</v>
      </c>
      <c r="F2008" s="1" t="s">
        <v>119</v>
      </c>
      <c r="G2008" s="1" t="s">
        <v>132</v>
      </c>
      <c r="H2008" s="1" t="s">
        <v>6776</v>
      </c>
      <c r="K2008" s="1" t="s">
        <v>5180</v>
      </c>
      <c r="L2008" s="1" t="s">
        <v>6777</v>
      </c>
      <c r="M2008" s="1" t="s">
        <v>5708</v>
      </c>
      <c r="N2008" s="1" t="s">
        <v>6778</v>
      </c>
      <c r="O2008" s="1" t="s">
        <v>6779</v>
      </c>
      <c r="P2008" s="1" t="s">
        <v>6780</v>
      </c>
      <c r="S2008" s="1" t="s">
        <v>229</v>
      </c>
      <c r="U2008" s="1" t="s">
        <v>6830</v>
      </c>
      <c r="Z2008" s="1" t="s">
        <v>71</v>
      </c>
      <c r="AE2008" s="1" t="s">
        <v>6831</v>
      </c>
      <c r="AH2008" s="1" t="s">
        <v>73</v>
      </c>
      <c r="AK2008" s="1" t="s">
        <v>71</v>
      </c>
      <c r="AM2008" s="1" t="s">
        <v>71</v>
      </c>
      <c r="AN2008" s="1" t="s">
        <v>71</v>
      </c>
      <c r="AS2008" s="1" t="s">
        <v>71</v>
      </c>
      <c r="AX2008" s="1" t="s">
        <v>71</v>
      </c>
      <c r="AY2008" s="1" t="s">
        <v>59</v>
      </c>
      <c r="AZ2008" s="1" t="s">
        <v>74</v>
      </c>
      <c r="BH2008" s="1" t="s">
        <v>71</v>
      </c>
    </row>
    <row r="2009" customFormat="false" ht="15" hidden="false" customHeight="false" outlineLevel="0" collapsed="false">
      <c r="A2009" s="1" t="s">
        <v>6832</v>
      </c>
      <c r="B2009" s="1" t="s">
        <v>6833</v>
      </c>
      <c r="C2009" s="1" t="s">
        <v>182</v>
      </c>
      <c r="D2009" s="1" t="s">
        <v>239</v>
      </c>
      <c r="E2009" s="1" t="s">
        <v>65</v>
      </c>
      <c r="F2009" s="1" t="s">
        <v>119</v>
      </c>
      <c r="G2009" s="1" t="s">
        <v>132</v>
      </c>
      <c r="H2009" s="1" t="s">
        <v>6776</v>
      </c>
      <c r="K2009" s="1" t="s">
        <v>5180</v>
      </c>
      <c r="L2009" s="1" t="s">
        <v>6777</v>
      </c>
      <c r="M2009" s="1" t="s">
        <v>5708</v>
      </c>
      <c r="N2009" s="1" t="s">
        <v>6778</v>
      </c>
      <c r="O2009" s="1" t="s">
        <v>6779</v>
      </c>
      <c r="P2009" s="1" t="s">
        <v>6780</v>
      </c>
      <c r="S2009" s="1" t="s">
        <v>229</v>
      </c>
      <c r="U2009" s="1" t="s">
        <v>6794</v>
      </c>
      <c r="Z2009" s="1" t="s">
        <v>71</v>
      </c>
      <c r="AE2009" s="1" t="s">
        <v>6831</v>
      </c>
      <c r="AH2009" s="1" t="s">
        <v>73</v>
      </c>
      <c r="AK2009" s="1" t="s">
        <v>71</v>
      </c>
      <c r="AM2009" s="1" t="s">
        <v>71</v>
      </c>
      <c r="AN2009" s="1" t="s">
        <v>71</v>
      </c>
      <c r="AS2009" s="1" t="s">
        <v>71</v>
      </c>
      <c r="AX2009" s="1" t="s">
        <v>71</v>
      </c>
      <c r="AY2009" s="1" t="s">
        <v>59</v>
      </c>
      <c r="AZ2009" s="1" t="s">
        <v>74</v>
      </c>
      <c r="BH2009" s="1" t="s">
        <v>71</v>
      </c>
    </row>
    <row r="2010" customFormat="false" ht="15" hidden="false" customHeight="false" outlineLevel="0" collapsed="false">
      <c r="A2010" s="1" t="s">
        <v>6834</v>
      </c>
      <c r="B2010" s="1" t="s">
        <v>6835</v>
      </c>
      <c r="C2010" s="1" t="s">
        <v>5975</v>
      </c>
      <c r="D2010" s="1" t="s">
        <v>5976</v>
      </c>
      <c r="E2010" s="1" t="s">
        <v>61</v>
      </c>
      <c r="F2010" s="1" t="s">
        <v>101</v>
      </c>
      <c r="G2010" s="1" t="s">
        <v>93</v>
      </c>
      <c r="H2010" s="1" t="s">
        <v>64</v>
      </c>
      <c r="K2010" s="1" t="s">
        <v>126</v>
      </c>
      <c r="L2010" s="1" t="s">
        <v>335</v>
      </c>
      <c r="M2010" s="1" t="s">
        <v>1555</v>
      </c>
      <c r="N2010" s="1" t="s">
        <v>105</v>
      </c>
      <c r="O2010" s="1" t="s">
        <v>106</v>
      </c>
      <c r="P2010" s="1" t="s">
        <v>3539</v>
      </c>
      <c r="U2010" s="1" t="s">
        <v>6834</v>
      </c>
      <c r="Z2010" s="1" t="s">
        <v>71</v>
      </c>
      <c r="AE2010" s="1" t="s">
        <v>6836</v>
      </c>
      <c r="AH2010" s="1" t="s">
        <v>73</v>
      </c>
      <c r="AK2010" s="1" t="s">
        <v>71</v>
      </c>
      <c r="AM2010" s="1" t="s">
        <v>71</v>
      </c>
      <c r="AN2010" s="1" t="s">
        <v>71</v>
      </c>
      <c r="AS2010" s="1" t="s">
        <v>71</v>
      </c>
      <c r="AX2010" s="1" t="s">
        <v>71</v>
      </c>
      <c r="AY2010" s="1" t="s">
        <v>59</v>
      </c>
      <c r="AZ2010" s="1" t="s">
        <v>74</v>
      </c>
      <c r="BH2010" s="1" t="s">
        <v>71</v>
      </c>
    </row>
    <row r="2011" customFormat="false" ht="15" hidden="false" customHeight="false" outlineLevel="0" collapsed="false">
      <c r="A2011" s="1" t="s">
        <v>6837</v>
      </c>
      <c r="B2011" s="1" t="s">
        <v>6838</v>
      </c>
      <c r="C2011" s="1" t="s">
        <v>161</v>
      </c>
      <c r="D2011" s="1" t="s">
        <v>162</v>
      </c>
      <c r="E2011" s="1" t="s">
        <v>61</v>
      </c>
      <c r="F2011" s="1" t="s">
        <v>101</v>
      </c>
      <c r="G2011" s="1" t="s">
        <v>130</v>
      </c>
      <c r="H2011" s="1" t="s">
        <v>5179</v>
      </c>
      <c r="K2011" s="1" t="s">
        <v>5180</v>
      </c>
      <c r="L2011" s="1" t="s">
        <v>5181</v>
      </c>
      <c r="M2011" s="1" t="s">
        <v>314</v>
      </c>
      <c r="N2011" s="1" t="s">
        <v>1177</v>
      </c>
      <c r="O2011" s="1" t="s">
        <v>1178</v>
      </c>
      <c r="P2011" s="1" t="s">
        <v>4732</v>
      </c>
      <c r="U2011" s="1" t="s">
        <v>6837</v>
      </c>
      <c r="Z2011" s="1" t="s">
        <v>71</v>
      </c>
      <c r="AE2011" s="1" t="s">
        <v>6839</v>
      </c>
      <c r="AH2011" s="1" t="s">
        <v>73</v>
      </c>
      <c r="AK2011" s="1" t="s">
        <v>71</v>
      </c>
      <c r="AM2011" s="1" t="s">
        <v>71</v>
      </c>
      <c r="AN2011" s="1" t="s">
        <v>71</v>
      </c>
      <c r="AS2011" s="1" t="s">
        <v>71</v>
      </c>
      <c r="AX2011" s="1" t="s">
        <v>71</v>
      </c>
      <c r="AY2011" s="1" t="s">
        <v>59</v>
      </c>
      <c r="AZ2011" s="1" t="s">
        <v>74</v>
      </c>
      <c r="BH2011" s="1" t="s">
        <v>71</v>
      </c>
    </row>
    <row r="2012" customFormat="false" ht="15" hidden="false" customHeight="false" outlineLevel="0" collapsed="false">
      <c r="A2012" s="1" t="s">
        <v>6840</v>
      </c>
      <c r="B2012" s="1" t="s">
        <v>6841</v>
      </c>
      <c r="C2012" s="1" t="s">
        <v>1795</v>
      </c>
      <c r="D2012" s="1" t="s">
        <v>6570</v>
      </c>
      <c r="E2012" s="1" t="s">
        <v>82</v>
      </c>
      <c r="F2012" s="1" t="s">
        <v>391</v>
      </c>
      <c r="G2012" s="1" t="s">
        <v>97</v>
      </c>
      <c r="H2012" s="1" t="s">
        <v>406</v>
      </c>
      <c r="K2012" s="1" t="s">
        <v>453</v>
      </c>
      <c r="L2012" s="1" t="s">
        <v>454</v>
      </c>
      <c r="M2012" s="1" t="s">
        <v>496</v>
      </c>
      <c r="N2012" s="1" t="s">
        <v>6842</v>
      </c>
      <c r="O2012" s="1" t="s">
        <v>6843</v>
      </c>
      <c r="P2012" s="1" t="s">
        <v>6844</v>
      </c>
      <c r="Z2012" s="1" t="s">
        <v>71</v>
      </c>
      <c r="AE2012" s="1" t="s">
        <v>6839</v>
      </c>
      <c r="AH2012" s="1" t="s">
        <v>73</v>
      </c>
      <c r="AK2012" s="1" t="s">
        <v>71</v>
      </c>
      <c r="AM2012" s="1" t="s">
        <v>71</v>
      </c>
      <c r="AN2012" s="1" t="s">
        <v>71</v>
      </c>
      <c r="AS2012" s="1" t="s">
        <v>71</v>
      </c>
      <c r="AX2012" s="1" t="s">
        <v>71</v>
      </c>
      <c r="BH2012" s="1" t="s">
        <v>71</v>
      </c>
    </row>
    <row r="2013" customFormat="false" ht="15" hidden="false" customHeight="false" outlineLevel="0" collapsed="false">
      <c r="A2013" s="1" t="s">
        <v>6845</v>
      </c>
      <c r="B2013" s="1" t="s">
        <v>6846</v>
      </c>
      <c r="C2013" s="1" t="s">
        <v>163</v>
      </c>
      <c r="D2013" s="1" t="s">
        <v>267</v>
      </c>
      <c r="E2013" s="1" t="s">
        <v>61</v>
      </c>
      <c r="F2013" s="1" t="s">
        <v>101</v>
      </c>
      <c r="G2013" s="1" t="s">
        <v>275</v>
      </c>
      <c r="H2013" s="1" t="s">
        <v>276</v>
      </c>
      <c r="K2013" s="1" t="s">
        <v>136</v>
      </c>
      <c r="L2013" s="1" t="s">
        <v>5602</v>
      </c>
      <c r="M2013" s="1" t="s">
        <v>278</v>
      </c>
      <c r="N2013" s="1" t="s">
        <v>279</v>
      </c>
      <c r="O2013" s="1" t="s">
        <v>280</v>
      </c>
      <c r="P2013" s="1" t="s">
        <v>4895</v>
      </c>
      <c r="U2013" s="1" t="s">
        <v>6845</v>
      </c>
      <c r="Z2013" s="1" t="s">
        <v>71</v>
      </c>
      <c r="AE2013" s="1" t="s">
        <v>6847</v>
      </c>
      <c r="AH2013" s="1" t="s">
        <v>73</v>
      </c>
      <c r="AK2013" s="1" t="s">
        <v>71</v>
      </c>
      <c r="AM2013" s="1" t="s">
        <v>71</v>
      </c>
      <c r="AN2013" s="1" t="s">
        <v>71</v>
      </c>
      <c r="AS2013" s="1" t="s">
        <v>71</v>
      </c>
      <c r="AX2013" s="1" t="s">
        <v>71</v>
      </c>
      <c r="AY2013" s="1" t="s">
        <v>59</v>
      </c>
      <c r="AZ2013" s="1" t="s">
        <v>74</v>
      </c>
      <c r="BH2013" s="1" t="s">
        <v>71</v>
      </c>
    </row>
    <row r="2014" customFormat="false" ht="15" hidden="false" customHeight="false" outlineLevel="0" collapsed="false">
      <c r="A2014" s="1" t="s">
        <v>6848</v>
      </c>
      <c r="B2014" s="1" t="s">
        <v>6849</v>
      </c>
      <c r="C2014" s="1" t="s">
        <v>161</v>
      </c>
      <c r="D2014" s="1" t="s">
        <v>162</v>
      </c>
      <c r="E2014" s="1" t="s">
        <v>61</v>
      </c>
      <c r="F2014" s="1" t="s">
        <v>101</v>
      </c>
      <c r="G2014" s="1" t="s">
        <v>130</v>
      </c>
      <c r="H2014" s="1" t="s">
        <v>5179</v>
      </c>
      <c r="K2014" s="1" t="s">
        <v>5180</v>
      </c>
      <c r="L2014" s="1" t="s">
        <v>5181</v>
      </c>
      <c r="M2014" s="1" t="s">
        <v>1555</v>
      </c>
      <c r="N2014" s="1" t="s">
        <v>105</v>
      </c>
      <c r="O2014" s="1" t="s">
        <v>106</v>
      </c>
      <c r="P2014" s="1" t="s">
        <v>3539</v>
      </c>
      <c r="U2014" s="1" t="s">
        <v>6848</v>
      </c>
      <c r="Z2014" s="1" t="s">
        <v>71</v>
      </c>
      <c r="AE2014" s="1" t="s">
        <v>6847</v>
      </c>
      <c r="AH2014" s="1" t="s">
        <v>73</v>
      </c>
      <c r="AK2014" s="1" t="s">
        <v>71</v>
      </c>
      <c r="AM2014" s="1" t="s">
        <v>71</v>
      </c>
      <c r="AN2014" s="1" t="s">
        <v>71</v>
      </c>
      <c r="AS2014" s="1" t="s">
        <v>71</v>
      </c>
      <c r="AX2014" s="1" t="s">
        <v>71</v>
      </c>
      <c r="AY2014" s="1" t="s">
        <v>59</v>
      </c>
      <c r="AZ2014" s="1" t="s">
        <v>74</v>
      </c>
      <c r="BH2014" s="1" t="s">
        <v>71</v>
      </c>
    </row>
    <row r="2015" customFormat="false" ht="15" hidden="false" customHeight="false" outlineLevel="0" collapsed="false">
      <c r="A2015" s="1" t="s">
        <v>6850</v>
      </c>
      <c r="B2015" s="1" t="s">
        <v>6851</v>
      </c>
      <c r="C2015" s="1" t="s">
        <v>182</v>
      </c>
      <c r="D2015" s="1" t="s">
        <v>239</v>
      </c>
      <c r="E2015" s="1" t="s">
        <v>65</v>
      </c>
      <c r="F2015" s="1" t="s">
        <v>119</v>
      </c>
      <c r="G2015" s="1" t="s">
        <v>88</v>
      </c>
      <c r="H2015" s="1" t="s">
        <v>255</v>
      </c>
      <c r="K2015" s="1" t="s">
        <v>430</v>
      </c>
      <c r="L2015" s="1" t="s">
        <v>827</v>
      </c>
      <c r="M2015" s="1" t="s">
        <v>6852</v>
      </c>
      <c r="N2015" s="1" t="s">
        <v>259</v>
      </c>
      <c r="O2015" s="1" t="s">
        <v>260</v>
      </c>
      <c r="P2015" s="1" t="s">
        <v>3768</v>
      </c>
      <c r="U2015" s="1" t="s">
        <v>263</v>
      </c>
      <c r="Z2015" s="1" t="s">
        <v>71</v>
      </c>
      <c r="AE2015" s="1" t="s">
        <v>6853</v>
      </c>
      <c r="AH2015" s="1" t="s">
        <v>73</v>
      </c>
      <c r="AK2015" s="1" t="s">
        <v>71</v>
      </c>
      <c r="AM2015" s="1" t="s">
        <v>71</v>
      </c>
      <c r="AN2015" s="1" t="s">
        <v>71</v>
      </c>
      <c r="AS2015" s="1" t="s">
        <v>71</v>
      </c>
      <c r="AX2015" s="1" t="s">
        <v>71</v>
      </c>
      <c r="AY2015" s="1" t="s">
        <v>59</v>
      </c>
      <c r="AZ2015" s="1" t="s">
        <v>74</v>
      </c>
      <c r="BH2015" s="1" t="s">
        <v>71</v>
      </c>
    </row>
    <row r="2016" customFormat="false" ht="15" hidden="false" customHeight="false" outlineLevel="0" collapsed="false">
      <c r="A2016" s="1" t="s">
        <v>6854</v>
      </c>
      <c r="B2016" s="1" t="s">
        <v>6855</v>
      </c>
      <c r="C2016" s="1" t="s">
        <v>161</v>
      </c>
      <c r="D2016" s="1" t="s">
        <v>162</v>
      </c>
      <c r="E2016" s="1" t="s">
        <v>61</v>
      </c>
      <c r="F2016" s="1" t="s">
        <v>101</v>
      </c>
      <c r="G2016" s="1" t="s">
        <v>93</v>
      </c>
      <c r="H2016" s="1" t="s">
        <v>64</v>
      </c>
      <c r="K2016" s="1" t="s">
        <v>206</v>
      </c>
      <c r="L2016" s="1" t="s">
        <v>1558</v>
      </c>
      <c r="M2016" s="1" t="s">
        <v>310</v>
      </c>
      <c r="N2016" s="1" t="s">
        <v>105</v>
      </c>
      <c r="O2016" s="1" t="s">
        <v>106</v>
      </c>
      <c r="P2016" s="1" t="s">
        <v>3539</v>
      </c>
      <c r="U2016" s="1" t="s">
        <v>6854</v>
      </c>
      <c r="Z2016" s="1" t="s">
        <v>71</v>
      </c>
      <c r="AE2016" s="1" t="s">
        <v>6853</v>
      </c>
      <c r="AH2016" s="1" t="s">
        <v>73</v>
      </c>
      <c r="AK2016" s="1" t="s">
        <v>71</v>
      </c>
      <c r="AM2016" s="1" t="s">
        <v>71</v>
      </c>
      <c r="AN2016" s="1" t="s">
        <v>71</v>
      </c>
      <c r="AS2016" s="1" t="s">
        <v>71</v>
      </c>
      <c r="AX2016" s="1" t="s">
        <v>71</v>
      </c>
      <c r="AY2016" s="1" t="s">
        <v>59</v>
      </c>
      <c r="AZ2016" s="1" t="s">
        <v>74</v>
      </c>
      <c r="BH2016" s="1" t="s">
        <v>71</v>
      </c>
    </row>
    <row r="2017" customFormat="false" ht="15" hidden="false" customHeight="false" outlineLevel="0" collapsed="false">
      <c r="A2017" s="1" t="s">
        <v>6856</v>
      </c>
      <c r="B2017" s="1" t="s">
        <v>6857</v>
      </c>
      <c r="C2017" s="1" t="s">
        <v>192</v>
      </c>
      <c r="D2017" s="1" t="s">
        <v>193</v>
      </c>
      <c r="E2017" s="1" t="s">
        <v>65</v>
      </c>
      <c r="F2017" s="1" t="s">
        <v>119</v>
      </c>
      <c r="G2017" s="1" t="s">
        <v>65</v>
      </c>
      <c r="H2017" s="1" t="s">
        <v>64</v>
      </c>
      <c r="K2017" s="1" t="s">
        <v>5290</v>
      </c>
      <c r="L2017" s="1" t="s">
        <v>335</v>
      </c>
      <c r="M2017" s="1" t="s">
        <v>104</v>
      </c>
      <c r="N2017" s="1" t="s">
        <v>123</v>
      </c>
      <c r="O2017" s="1" t="s">
        <v>124</v>
      </c>
      <c r="P2017" s="1" t="s">
        <v>4161</v>
      </c>
      <c r="Z2017" s="1" t="s">
        <v>71</v>
      </c>
      <c r="AE2017" s="1" t="s">
        <v>6858</v>
      </c>
      <c r="AH2017" s="1" t="s">
        <v>73</v>
      </c>
      <c r="AK2017" s="1" t="s">
        <v>71</v>
      </c>
      <c r="AM2017" s="1" t="s">
        <v>71</v>
      </c>
      <c r="AN2017" s="1" t="s">
        <v>71</v>
      </c>
      <c r="AS2017" s="1" t="s">
        <v>71</v>
      </c>
      <c r="AX2017" s="1" t="s">
        <v>71</v>
      </c>
      <c r="AY2017" s="1" t="s">
        <v>59</v>
      </c>
      <c r="AZ2017" s="1" t="s">
        <v>74</v>
      </c>
      <c r="BH2017" s="1" t="s">
        <v>71</v>
      </c>
    </row>
    <row r="2018" customFormat="false" ht="15" hidden="false" customHeight="false" outlineLevel="0" collapsed="false">
      <c r="A2018" s="1" t="s">
        <v>6859</v>
      </c>
      <c r="B2018" s="1" t="s">
        <v>6860</v>
      </c>
      <c r="C2018" s="1" t="s">
        <v>2706</v>
      </c>
      <c r="D2018" s="1" t="s">
        <v>2707</v>
      </c>
      <c r="E2018" s="1" t="s">
        <v>82</v>
      </c>
      <c r="F2018" s="1" t="s">
        <v>391</v>
      </c>
      <c r="G2018" s="1" t="s">
        <v>97</v>
      </c>
      <c r="H2018" s="1" t="s">
        <v>406</v>
      </c>
      <c r="K2018" s="1" t="s">
        <v>2144</v>
      </c>
      <c r="L2018" s="1" t="s">
        <v>2145</v>
      </c>
      <c r="M2018" s="1" t="s">
        <v>496</v>
      </c>
      <c r="N2018" s="1" t="s">
        <v>6861</v>
      </c>
      <c r="O2018" s="1" t="s">
        <v>400</v>
      </c>
      <c r="P2018" s="1" t="s">
        <v>6862</v>
      </c>
      <c r="Z2018" s="1" t="s">
        <v>71</v>
      </c>
      <c r="AE2018" s="1" t="s">
        <v>6863</v>
      </c>
      <c r="AH2018" s="1" t="s">
        <v>73</v>
      </c>
      <c r="AK2018" s="1" t="s">
        <v>71</v>
      </c>
      <c r="AM2018" s="1" t="s">
        <v>71</v>
      </c>
      <c r="AN2018" s="1" t="s">
        <v>71</v>
      </c>
      <c r="AS2018" s="1" t="s">
        <v>71</v>
      </c>
      <c r="AX2018" s="1" t="s">
        <v>71</v>
      </c>
      <c r="BH2018" s="1" t="s">
        <v>71</v>
      </c>
    </row>
    <row r="2019" customFormat="false" ht="15" hidden="false" customHeight="false" outlineLevel="0" collapsed="false">
      <c r="A2019" s="1" t="s">
        <v>6864</v>
      </c>
      <c r="B2019" s="1" t="s">
        <v>6865</v>
      </c>
      <c r="C2019" s="1" t="s">
        <v>182</v>
      </c>
      <c r="D2019" s="1" t="s">
        <v>239</v>
      </c>
      <c r="E2019" s="1" t="s">
        <v>61</v>
      </c>
      <c r="F2019" s="1" t="s">
        <v>101</v>
      </c>
      <c r="G2019" s="1" t="s">
        <v>1479</v>
      </c>
      <c r="H2019" s="1" t="s">
        <v>5583</v>
      </c>
      <c r="K2019" s="1" t="s">
        <v>88</v>
      </c>
      <c r="L2019" s="1" t="s">
        <v>6371</v>
      </c>
      <c r="M2019" s="1" t="s">
        <v>6866</v>
      </c>
      <c r="N2019" s="1" t="s">
        <v>6357</v>
      </c>
      <c r="O2019" s="1" t="s">
        <v>6358</v>
      </c>
      <c r="P2019" s="1" t="s">
        <v>6359</v>
      </c>
      <c r="U2019" s="1" t="s">
        <v>245</v>
      </c>
      <c r="Z2019" s="1" t="s">
        <v>71</v>
      </c>
      <c r="AE2019" s="1" t="s">
        <v>6867</v>
      </c>
      <c r="AH2019" s="1" t="s">
        <v>73</v>
      </c>
      <c r="AK2019" s="1" t="s">
        <v>71</v>
      </c>
      <c r="AM2019" s="1" t="s">
        <v>71</v>
      </c>
      <c r="AN2019" s="1" t="s">
        <v>71</v>
      </c>
      <c r="AS2019" s="1" t="s">
        <v>71</v>
      </c>
      <c r="AX2019" s="1" t="s">
        <v>71</v>
      </c>
      <c r="AY2019" s="1" t="s">
        <v>59</v>
      </c>
      <c r="AZ2019" s="1" t="s">
        <v>74</v>
      </c>
      <c r="BH2019" s="1" t="s">
        <v>71</v>
      </c>
    </row>
    <row r="2020" customFormat="false" ht="15" hidden="false" customHeight="false" outlineLevel="0" collapsed="false">
      <c r="A2020" s="1" t="s">
        <v>6868</v>
      </c>
      <c r="B2020" s="1" t="s">
        <v>6869</v>
      </c>
      <c r="C2020" s="1" t="s">
        <v>1740</v>
      </c>
      <c r="D2020" s="1" t="s">
        <v>4959</v>
      </c>
      <c r="E2020" s="1" t="s">
        <v>61</v>
      </c>
      <c r="F2020" s="1" t="s">
        <v>101</v>
      </c>
      <c r="G2020" s="1" t="s">
        <v>93</v>
      </c>
      <c r="H2020" s="1" t="s">
        <v>64</v>
      </c>
      <c r="K2020" s="1" t="s">
        <v>224</v>
      </c>
      <c r="L2020" s="1" t="s">
        <v>225</v>
      </c>
      <c r="M2020" s="1" t="s">
        <v>5580</v>
      </c>
      <c r="N2020" s="1" t="s">
        <v>105</v>
      </c>
      <c r="O2020" s="1" t="s">
        <v>106</v>
      </c>
      <c r="P2020" s="1" t="s">
        <v>3539</v>
      </c>
      <c r="U2020" s="1" t="s">
        <v>6868</v>
      </c>
      <c r="Z2020" s="1" t="s">
        <v>71</v>
      </c>
      <c r="AE2020" s="1" t="s">
        <v>6870</v>
      </c>
      <c r="AH2020" s="1" t="s">
        <v>73</v>
      </c>
      <c r="AK2020" s="1" t="s">
        <v>71</v>
      </c>
      <c r="AM2020" s="1" t="s">
        <v>71</v>
      </c>
      <c r="AN2020" s="1" t="s">
        <v>71</v>
      </c>
      <c r="AS2020" s="1" t="s">
        <v>71</v>
      </c>
      <c r="AX2020" s="1" t="s">
        <v>71</v>
      </c>
      <c r="AY2020" s="1" t="s">
        <v>59</v>
      </c>
      <c r="AZ2020" s="1" t="s">
        <v>74</v>
      </c>
      <c r="BH2020" s="1" t="s">
        <v>71</v>
      </c>
    </row>
    <row r="2021" customFormat="false" ht="15" hidden="false" customHeight="false" outlineLevel="0" collapsed="false">
      <c r="A2021" s="1" t="s">
        <v>6871</v>
      </c>
      <c r="B2021" s="1" t="s">
        <v>6872</v>
      </c>
      <c r="C2021" s="1" t="s">
        <v>1795</v>
      </c>
      <c r="D2021" s="1" t="s">
        <v>6570</v>
      </c>
      <c r="E2021" s="1" t="s">
        <v>82</v>
      </c>
      <c r="F2021" s="1" t="s">
        <v>391</v>
      </c>
      <c r="G2021" s="1" t="s">
        <v>97</v>
      </c>
      <c r="H2021" s="1" t="s">
        <v>406</v>
      </c>
      <c r="K2021" s="1" t="s">
        <v>65</v>
      </c>
      <c r="L2021" s="1" t="s">
        <v>860</v>
      </c>
      <c r="M2021" s="1" t="s">
        <v>496</v>
      </c>
      <c r="N2021" s="1" t="s">
        <v>1881</v>
      </c>
      <c r="O2021" s="1" t="s">
        <v>1882</v>
      </c>
      <c r="P2021" s="1" t="s">
        <v>5314</v>
      </c>
      <c r="Z2021" s="1" t="s">
        <v>71</v>
      </c>
      <c r="AE2021" s="1" t="s">
        <v>6873</v>
      </c>
      <c r="AH2021" s="1" t="s">
        <v>73</v>
      </c>
      <c r="AK2021" s="1" t="s">
        <v>71</v>
      </c>
      <c r="AM2021" s="1" t="s">
        <v>71</v>
      </c>
      <c r="AN2021" s="1" t="s">
        <v>71</v>
      </c>
      <c r="AS2021" s="1" t="s">
        <v>71</v>
      </c>
      <c r="AX2021" s="1" t="s">
        <v>71</v>
      </c>
      <c r="BH2021" s="1" t="s">
        <v>71</v>
      </c>
    </row>
    <row r="2022" customFormat="false" ht="15" hidden="false" customHeight="false" outlineLevel="0" collapsed="false">
      <c r="A2022" s="1" t="s">
        <v>6874</v>
      </c>
      <c r="B2022" s="1" t="s">
        <v>6875</v>
      </c>
      <c r="C2022" s="1" t="s">
        <v>163</v>
      </c>
      <c r="D2022" s="1" t="s">
        <v>267</v>
      </c>
      <c r="E2022" s="1" t="s">
        <v>61</v>
      </c>
      <c r="F2022" s="1" t="s">
        <v>101</v>
      </c>
      <c r="G2022" s="1" t="s">
        <v>148</v>
      </c>
      <c r="H2022" s="1" t="s">
        <v>231</v>
      </c>
      <c r="K2022" s="1" t="s">
        <v>573</v>
      </c>
      <c r="L2022" s="1" t="s">
        <v>1671</v>
      </c>
      <c r="M2022" s="1" t="s">
        <v>310</v>
      </c>
      <c r="N2022" s="1" t="s">
        <v>243</v>
      </c>
      <c r="O2022" s="1" t="s">
        <v>244</v>
      </c>
      <c r="P2022" s="1" t="s">
        <v>3503</v>
      </c>
      <c r="U2022" s="1" t="s">
        <v>6874</v>
      </c>
      <c r="Z2022" s="1" t="s">
        <v>71</v>
      </c>
      <c r="AE2022" s="1" t="s">
        <v>6876</v>
      </c>
      <c r="AH2022" s="1" t="s">
        <v>73</v>
      </c>
      <c r="AK2022" s="1" t="s">
        <v>71</v>
      </c>
      <c r="AM2022" s="1" t="s">
        <v>71</v>
      </c>
      <c r="AN2022" s="1" t="s">
        <v>71</v>
      </c>
      <c r="AS2022" s="1" t="s">
        <v>71</v>
      </c>
      <c r="AX2022" s="1" t="s">
        <v>71</v>
      </c>
      <c r="AY2022" s="1" t="s">
        <v>59</v>
      </c>
      <c r="AZ2022" s="1" t="s">
        <v>74</v>
      </c>
      <c r="BH2022" s="1" t="s">
        <v>71</v>
      </c>
    </row>
    <row r="2023" customFormat="false" ht="15" hidden="false" customHeight="false" outlineLevel="0" collapsed="false">
      <c r="A2023" s="1" t="s">
        <v>6877</v>
      </c>
      <c r="B2023" s="1" t="s">
        <v>6878</v>
      </c>
      <c r="C2023" s="1" t="s">
        <v>182</v>
      </c>
      <c r="D2023" s="1" t="s">
        <v>239</v>
      </c>
      <c r="E2023" s="1" t="s">
        <v>61</v>
      </c>
      <c r="F2023" s="1" t="s">
        <v>101</v>
      </c>
      <c r="G2023" s="1" t="s">
        <v>148</v>
      </c>
      <c r="H2023" s="1" t="s">
        <v>231</v>
      </c>
      <c r="K2023" s="1" t="s">
        <v>232</v>
      </c>
      <c r="L2023" s="1" t="s">
        <v>233</v>
      </c>
      <c r="M2023" s="1" t="s">
        <v>828</v>
      </c>
      <c r="N2023" s="1" t="s">
        <v>243</v>
      </c>
      <c r="O2023" s="1" t="s">
        <v>244</v>
      </c>
      <c r="P2023" s="1" t="s">
        <v>3503</v>
      </c>
      <c r="U2023" s="1" t="s">
        <v>245</v>
      </c>
      <c r="Z2023" s="1" t="s">
        <v>71</v>
      </c>
      <c r="AE2023" s="1" t="s">
        <v>6879</v>
      </c>
      <c r="AH2023" s="1" t="s">
        <v>73</v>
      </c>
      <c r="AK2023" s="1" t="s">
        <v>71</v>
      </c>
      <c r="AM2023" s="1" t="s">
        <v>71</v>
      </c>
      <c r="AN2023" s="1" t="s">
        <v>71</v>
      </c>
      <c r="AS2023" s="1" t="s">
        <v>71</v>
      </c>
      <c r="AX2023" s="1" t="s">
        <v>71</v>
      </c>
      <c r="AY2023" s="1" t="s">
        <v>59</v>
      </c>
      <c r="AZ2023" s="1" t="s">
        <v>74</v>
      </c>
      <c r="BH2023" s="1" t="s">
        <v>71</v>
      </c>
    </row>
    <row r="2024" customFormat="false" ht="15" hidden="false" customHeight="false" outlineLevel="0" collapsed="false">
      <c r="A2024" s="1" t="s">
        <v>6880</v>
      </c>
      <c r="B2024" s="1" t="s">
        <v>6881</v>
      </c>
      <c r="C2024" s="1" t="s">
        <v>163</v>
      </c>
      <c r="D2024" s="1" t="s">
        <v>267</v>
      </c>
      <c r="E2024" s="1" t="s">
        <v>61</v>
      </c>
      <c r="F2024" s="1" t="s">
        <v>101</v>
      </c>
      <c r="G2024" s="1" t="s">
        <v>148</v>
      </c>
      <c r="H2024" s="1" t="s">
        <v>231</v>
      </c>
      <c r="K2024" s="1" t="s">
        <v>232</v>
      </c>
      <c r="L2024" s="1" t="s">
        <v>233</v>
      </c>
      <c r="M2024" s="1" t="s">
        <v>310</v>
      </c>
      <c r="N2024" s="1" t="s">
        <v>234</v>
      </c>
      <c r="O2024" s="1" t="s">
        <v>235</v>
      </c>
      <c r="P2024" s="1" t="s">
        <v>5284</v>
      </c>
      <c r="U2024" s="1" t="s">
        <v>6880</v>
      </c>
      <c r="Z2024" s="1" t="s">
        <v>71</v>
      </c>
      <c r="AE2024" s="1" t="s">
        <v>6882</v>
      </c>
      <c r="AH2024" s="1" t="s">
        <v>73</v>
      </c>
      <c r="AK2024" s="1" t="s">
        <v>71</v>
      </c>
      <c r="AM2024" s="1" t="s">
        <v>71</v>
      </c>
      <c r="AN2024" s="1" t="s">
        <v>71</v>
      </c>
      <c r="AS2024" s="1" t="s">
        <v>71</v>
      </c>
      <c r="AX2024" s="1" t="s">
        <v>71</v>
      </c>
      <c r="AY2024" s="1" t="s">
        <v>59</v>
      </c>
      <c r="AZ2024" s="1" t="s">
        <v>74</v>
      </c>
      <c r="BH2024" s="1" t="s">
        <v>71</v>
      </c>
    </row>
    <row r="2025" customFormat="false" ht="15" hidden="false" customHeight="false" outlineLevel="0" collapsed="false">
      <c r="A2025" s="1" t="s">
        <v>6883</v>
      </c>
      <c r="B2025" s="1" t="s">
        <v>6884</v>
      </c>
      <c r="C2025" s="1" t="s">
        <v>182</v>
      </c>
      <c r="D2025" s="1" t="s">
        <v>239</v>
      </c>
      <c r="E2025" s="1" t="s">
        <v>61</v>
      </c>
      <c r="F2025" s="1" t="s">
        <v>101</v>
      </c>
      <c r="G2025" s="1" t="s">
        <v>275</v>
      </c>
      <c r="H2025" s="1" t="s">
        <v>276</v>
      </c>
      <c r="K2025" s="1" t="s">
        <v>526</v>
      </c>
      <c r="L2025" s="1" t="s">
        <v>5362</v>
      </c>
      <c r="M2025" s="1" t="s">
        <v>296</v>
      </c>
      <c r="N2025" s="1" t="s">
        <v>5189</v>
      </c>
      <c r="O2025" s="1" t="s">
        <v>5190</v>
      </c>
      <c r="P2025" s="1" t="s">
        <v>5191</v>
      </c>
      <c r="U2025" s="1" t="s">
        <v>245</v>
      </c>
      <c r="Z2025" s="1" t="s">
        <v>71</v>
      </c>
      <c r="AE2025" s="1" t="s">
        <v>6885</v>
      </c>
      <c r="AH2025" s="1" t="s">
        <v>73</v>
      </c>
      <c r="AK2025" s="1" t="s">
        <v>71</v>
      </c>
      <c r="AM2025" s="1" t="s">
        <v>71</v>
      </c>
      <c r="AN2025" s="1" t="s">
        <v>71</v>
      </c>
      <c r="AS2025" s="1" t="s">
        <v>71</v>
      </c>
      <c r="AX2025" s="1" t="s">
        <v>71</v>
      </c>
      <c r="AY2025" s="1" t="s">
        <v>59</v>
      </c>
      <c r="AZ2025" s="1" t="s">
        <v>74</v>
      </c>
      <c r="BH2025" s="1" t="s">
        <v>71</v>
      </c>
    </row>
    <row r="2026" customFormat="false" ht="15" hidden="false" customHeight="false" outlineLevel="0" collapsed="false">
      <c r="A2026" s="1" t="s">
        <v>6886</v>
      </c>
      <c r="B2026" s="1" t="s">
        <v>6884</v>
      </c>
      <c r="C2026" s="1" t="s">
        <v>182</v>
      </c>
      <c r="D2026" s="1" t="s">
        <v>239</v>
      </c>
      <c r="E2026" s="1" t="s">
        <v>61</v>
      </c>
      <c r="F2026" s="1" t="s">
        <v>101</v>
      </c>
      <c r="G2026" s="1" t="s">
        <v>275</v>
      </c>
      <c r="H2026" s="1" t="s">
        <v>276</v>
      </c>
      <c r="K2026" s="1" t="s">
        <v>526</v>
      </c>
      <c r="L2026" s="1" t="s">
        <v>5362</v>
      </c>
      <c r="M2026" s="1" t="s">
        <v>6430</v>
      </c>
      <c r="N2026" s="1" t="s">
        <v>5189</v>
      </c>
      <c r="O2026" s="1" t="s">
        <v>5190</v>
      </c>
      <c r="P2026" s="1" t="s">
        <v>5191</v>
      </c>
      <c r="U2026" s="1" t="s">
        <v>245</v>
      </c>
      <c r="Z2026" s="1" t="s">
        <v>71</v>
      </c>
      <c r="AE2026" s="1" t="s">
        <v>6885</v>
      </c>
      <c r="AH2026" s="1" t="s">
        <v>73</v>
      </c>
      <c r="AK2026" s="1" t="s">
        <v>71</v>
      </c>
      <c r="AM2026" s="1" t="s">
        <v>71</v>
      </c>
      <c r="AN2026" s="1" t="s">
        <v>71</v>
      </c>
      <c r="AS2026" s="1" t="s">
        <v>71</v>
      </c>
      <c r="AX2026" s="1" t="s">
        <v>71</v>
      </c>
      <c r="AY2026" s="1" t="s">
        <v>59</v>
      </c>
      <c r="AZ2026" s="1" t="s">
        <v>74</v>
      </c>
      <c r="BH2026" s="1" t="s">
        <v>71</v>
      </c>
    </row>
    <row r="2027" customFormat="false" ht="15" hidden="false" customHeight="false" outlineLevel="0" collapsed="false">
      <c r="A2027" s="1" t="s">
        <v>6887</v>
      </c>
      <c r="B2027" s="1" t="s">
        <v>6888</v>
      </c>
      <c r="C2027" s="1" t="s">
        <v>5887</v>
      </c>
      <c r="D2027" s="1" t="s">
        <v>5888</v>
      </c>
      <c r="E2027" s="1" t="s">
        <v>82</v>
      </c>
      <c r="F2027" s="1" t="s">
        <v>391</v>
      </c>
      <c r="G2027" s="1" t="s">
        <v>443</v>
      </c>
      <c r="H2027" s="1" t="s">
        <v>444</v>
      </c>
      <c r="K2027" s="1" t="s">
        <v>582</v>
      </c>
      <c r="L2027" s="1" t="s">
        <v>860</v>
      </c>
      <c r="M2027" s="1" t="s">
        <v>496</v>
      </c>
      <c r="N2027" s="1" t="s">
        <v>6889</v>
      </c>
      <c r="O2027" s="1" t="s">
        <v>400</v>
      </c>
      <c r="P2027" s="1" t="s">
        <v>6890</v>
      </c>
      <c r="U2027" s="1" t="s">
        <v>6887</v>
      </c>
      <c r="Z2027" s="1" t="s">
        <v>71</v>
      </c>
      <c r="AE2027" s="1" t="s">
        <v>6885</v>
      </c>
      <c r="AH2027" s="1" t="s">
        <v>73</v>
      </c>
      <c r="AK2027" s="1" t="s">
        <v>71</v>
      </c>
      <c r="AM2027" s="1" t="s">
        <v>71</v>
      </c>
      <c r="AN2027" s="1" t="s">
        <v>71</v>
      </c>
      <c r="AS2027" s="1" t="s">
        <v>71</v>
      </c>
      <c r="AX2027" s="1" t="s">
        <v>71</v>
      </c>
      <c r="BH2027" s="1" t="s">
        <v>71</v>
      </c>
    </row>
    <row r="2028" customFormat="false" ht="15" hidden="false" customHeight="false" outlineLevel="0" collapsed="false">
      <c r="A2028" s="1" t="s">
        <v>6891</v>
      </c>
      <c r="B2028" s="1" t="s">
        <v>6892</v>
      </c>
      <c r="C2028" s="1" t="s">
        <v>5887</v>
      </c>
      <c r="D2028" s="1" t="s">
        <v>5888</v>
      </c>
      <c r="E2028" s="1" t="s">
        <v>82</v>
      </c>
      <c r="F2028" s="1" t="s">
        <v>391</v>
      </c>
      <c r="G2028" s="1" t="s">
        <v>443</v>
      </c>
      <c r="H2028" s="1" t="s">
        <v>444</v>
      </c>
      <c r="K2028" s="1" t="s">
        <v>582</v>
      </c>
      <c r="L2028" s="1" t="s">
        <v>860</v>
      </c>
      <c r="M2028" s="1" t="s">
        <v>496</v>
      </c>
      <c r="N2028" s="1" t="s">
        <v>6893</v>
      </c>
      <c r="O2028" s="1" t="s">
        <v>6894</v>
      </c>
      <c r="P2028" s="1" t="s">
        <v>6895</v>
      </c>
      <c r="Z2028" s="1" t="s">
        <v>71</v>
      </c>
      <c r="AE2028" s="1" t="s">
        <v>6885</v>
      </c>
      <c r="AH2028" s="1" t="s">
        <v>73</v>
      </c>
      <c r="AK2028" s="1" t="s">
        <v>71</v>
      </c>
      <c r="AM2028" s="1" t="s">
        <v>71</v>
      </c>
      <c r="AN2028" s="1" t="s">
        <v>71</v>
      </c>
      <c r="AS2028" s="1" t="s">
        <v>71</v>
      </c>
      <c r="AX2028" s="1" t="s">
        <v>71</v>
      </c>
      <c r="BH2028" s="1" t="s">
        <v>71</v>
      </c>
    </row>
    <row r="2029" customFormat="false" ht="15" hidden="false" customHeight="false" outlineLevel="0" collapsed="false">
      <c r="A2029" s="1" t="s">
        <v>6896</v>
      </c>
      <c r="B2029" s="1" t="s">
        <v>6897</v>
      </c>
      <c r="C2029" s="1" t="s">
        <v>5887</v>
      </c>
      <c r="D2029" s="1" t="s">
        <v>5888</v>
      </c>
      <c r="E2029" s="1" t="s">
        <v>82</v>
      </c>
      <c r="F2029" s="1" t="s">
        <v>391</v>
      </c>
      <c r="G2029" s="1" t="s">
        <v>443</v>
      </c>
      <c r="H2029" s="1" t="s">
        <v>444</v>
      </c>
      <c r="K2029" s="1" t="s">
        <v>582</v>
      </c>
      <c r="L2029" s="1" t="s">
        <v>860</v>
      </c>
      <c r="M2029" s="1" t="s">
        <v>496</v>
      </c>
      <c r="N2029" s="1" t="s">
        <v>2892</v>
      </c>
      <c r="O2029" s="1" t="s">
        <v>400</v>
      </c>
      <c r="P2029" s="1" t="s">
        <v>4766</v>
      </c>
      <c r="Z2029" s="1" t="s">
        <v>71</v>
      </c>
      <c r="AE2029" s="1" t="s">
        <v>6885</v>
      </c>
      <c r="AH2029" s="1" t="s">
        <v>73</v>
      </c>
      <c r="AK2029" s="1" t="s">
        <v>71</v>
      </c>
      <c r="AM2029" s="1" t="s">
        <v>71</v>
      </c>
      <c r="AN2029" s="1" t="s">
        <v>71</v>
      </c>
      <c r="AS2029" s="1" t="s">
        <v>71</v>
      </c>
      <c r="AX2029" s="1" t="s">
        <v>71</v>
      </c>
      <c r="BH2029" s="1" t="s">
        <v>71</v>
      </c>
    </row>
    <row r="2030" customFormat="false" ht="15" hidden="false" customHeight="false" outlineLevel="0" collapsed="false">
      <c r="A2030" s="1" t="s">
        <v>6898</v>
      </c>
      <c r="B2030" s="1" t="s">
        <v>6899</v>
      </c>
      <c r="C2030" s="1" t="s">
        <v>1158</v>
      </c>
      <c r="D2030" s="1" t="s">
        <v>4456</v>
      </c>
      <c r="E2030" s="1" t="s">
        <v>82</v>
      </c>
      <c r="F2030" s="1" t="s">
        <v>391</v>
      </c>
      <c r="G2030" s="1" t="s">
        <v>213</v>
      </c>
      <c r="H2030" s="1" t="s">
        <v>477</v>
      </c>
      <c r="K2030" s="1" t="s">
        <v>478</v>
      </c>
      <c r="L2030" s="1" t="s">
        <v>479</v>
      </c>
      <c r="M2030" s="1" t="s">
        <v>496</v>
      </c>
      <c r="N2030" s="1" t="s">
        <v>1068</v>
      </c>
      <c r="O2030" s="1" t="s">
        <v>400</v>
      </c>
      <c r="P2030" s="1" t="s">
        <v>3844</v>
      </c>
      <c r="Z2030" s="1" t="s">
        <v>71</v>
      </c>
      <c r="AE2030" s="1" t="s">
        <v>6900</v>
      </c>
      <c r="AH2030" s="1" t="s">
        <v>73</v>
      </c>
      <c r="AK2030" s="1" t="s">
        <v>71</v>
      </c>
      <c r="AM2030" s="1" t="s">
        <v>71</v>
      </c>
      <c r="AN2030" s="1" t="s">
        <v>71</v>
      </c>
      <c r="AS2030" s="1" t="s">
        <v>71</v>
      </c>
      <c r="AX2030" s="1" t="s">
        <v>71</v>
      </c>
      <c r="BH2030" s="1" t="s">
        <v>71</v>
      </c>
    </row>
    <row r="2031" customFormat="false" ht="15" hidden="false" customHeight="false" outlineLevel="0" collapsed="false">
      <c r="A2031" s="1" t="s">
        <v>6901</v>
      </c>
      <c r="B2031" s="1" t="s">
        <v>6902</v>
      </c>
      <c r="C2031" s="1" t="s">
        <v>1038</v>
      </c>
      <c r="D2031" s="1" t="s">
        <v>3170</v>
      </c>
      <c r="E2031" s="1" t="s">
        <v>82</v>
      </c>
      <c r="F2031" s="1" t="s">
        <v>391</v>
      </c>
      <c r="G2031" s="1" t="s">
        <v>182</v>
      </c>
      <c r="H2031" s="1" t="s">
        <v>392</v>
      </c>
      <c r="K2031" s="1" t="s">
        <v>65</v>
      </c>
      <c r="L2031" s="1" t="s">
        <v>517</v>
      </c>
      <c r="M2031" s="1" t="s">
        <v>496</v>
      </c>
      <c r="N2031" s="1" t="s">
        <v>2694</v>
      </c>
      <c r="O2031" s="1" t="s">
        <v>447</v>
      </c>
      <c r="P2031" s="1" t="s">
        <v>6903</v>
      </c>
      <c r="U2031" s="1" t="s">
        <v>6901</v>
      </c>
      <c r="Z2031" s="1" t="s">
        <v>71</v>
      </c>
      <c r="AE2031" s="1" t="s">
        <v>6904</v>
      </c>
      <c r="AH2031" s="1" t="s">
        <v>73</v>
      </c>
      <c r="AK2031" s="1" t="s">
        <v>71</v>
      </c>
      <c r="AM2031" s="1" t="s">
        <v>71</v>
      </c>
      <c r="AN2031" s="1" t="s">
        <v>71</v>
      </c>
      <c r="AS2031" s="1" t="s">
        <v>71</v>
      </c>
      <c r="AX2031" s="1" t="s">
        <v>71</v>
      </c>
      <c r="BH2031" s="1" t="s">
        <v>71</v>
      </c>
    </row>
    <row r="2032" customFormat="false" ht="15" hidden="false" customHeight="false" outlineLevel="0" collapsed="false">
      <c r="A2032" s="1" t="s">
        <v>6905</v>
      </c>
      <c r="B2032" s="1" t="s">
        <v>6906</v>
      </c>
      <c r="C2032" s="1" t="s">
        <v>182</v>
      </c>
      <c r="D2032" s="1" t="s">
        <v>239</v>
      </c>
      <c r="E2032" s="1" t="s">
        <v>65</v>
      </c>
      <c r="F2032" s="1" t="s">
        <v>119</v>
      </c>
      <c r="G2032" s="1" t="s">
        <v>61</v>
      </c>
      <c r="H2032" s="1" t="s">
        <v>231</v>
      </c>
      <c r="K2032" s="1" t="s">
        <v>1385</v>
      </c>
      <c r="L2032" s="1" t="s">
        <v>1386</v>
      </c>
      <c r="M2032" s="1" t="s">
        <v>6731</v>
      </c>
      <c r="N2032" s="1" t="s">
        <v>1388</v>
      </c>
      <c r="O2032" s="1" t="s">
        <v>1389</v>
      </c>
      <c r="P2032" s="1" t="s">
        <v>5676</v>
      </c>
      <c r="U2032" s="1" t="s">
        <v>6907</v>
      </c>
      <c r="Z2032" s="1" t="s">
        <v>71</v>
      </c>
      <c r="AE2032" s="1" t="s">
        <v>6908</v>
      </c>
      <c r="AH2032" s="1" t="s">
        <v>73</v>
      </c>
      <c r="AK2032" s="1" t="s">
        <v>71</v>
      </c>
      <c r="AM2032" s="1" t="s">
        <v>71</v>
      </c>
      <c r="AN2032" s="1" t="s">
        <v>71</v>
      </c>
      <c r="AS2032" s="1" t="s">
        <v>71</v>
      </c>
      <c r="AX2032" s="1" t="s">
        <v>71</v>
      </c>
      <c r="AY2032" s="1" t="s">
        <v>59</v>
      </c>
      <c r="AZ2032" s="1" t="s">
        <v>74</v>
      </c>
      <c r="BH2032" s="1" t="s">
        <v>71</v>
      </c>
    </row>
    <row r="2033" customFormat="false" ht="15" hidden="false" customHeight="false" outlineLevel="0" collapsed="false">
      <c r="A2033" s="1" t="s">
        <v>6909</v>
      </c>
      <c r="B2033" s="1" t="s">
        <v>6910</v>
      </c>
      <c r="C2033" s="1" t="s">
        <v>1758</v>
      </c>
      <c r="D2033" s="1" t="s">
        <v>6911</v>
      </c>
      <c r="E2033" s="1" t="s">
        <v>82</v>
      </c>
      <c r="F2033" s="1" t="s">
        <v>391</v>
      </c>
      <c r="G2033" s="1" t="s">
        <v>443</v>
      </c>
      <c r="H2033" s="1" t="s">
        <v>444</v>
      </c>
      <c r="K2033" s="1" t="s">
        <v>582</v>
      </c>
      <c r="L2033" s="1" t="s">
        <v>860</v>
      </c>
      <c r="M2033" s="1" t="s">
        <v>806</v>
      </c>
      <c r="N2033" s="1" t="s">
        <v>6912</v>
      </c>
      <c r="O2033" s="1" t="s">
        <v>6913</v>
      </c>
      <c r="P2033" s="1" t="s">
        <v>6914</v>
      </c>
      <c r="Z2033" s="1" t="s">
        <v>71</v>
      </c>
      <c r="AE2033" s="1" t="s">
        <v>6915</v>
      </c>
      <c r="AH2033" s="1" t="s">
        <v>73</v>
      </c>
      <c r="AK2033" s="1" t="s">
        <v>71</v>
      </c>
      <c r="AM2033" s="1" t="s">
        <v>71</v>
      </c>
      <c r="AN2033" s="1" t="s">
        <v>71</v>
      </c>
      <c r="AS2033" s="1" t="s">
        <v>71</v>
      </c>
      <c r="AX2033" s="1" t="s">
        <v>71</v>
      </c>
      <c r="BH2033" s="1" t="s">
        <v>71</v>
      </c>
    </row>
    <row r="2034" customFormat="false" ht="15" hidden="false" customHeight="false" outlineLevel="0" collapsed="false">
      <c r="A2034" s="1" t="s">
        <v>6916</v>
      </c>
      <c r="B2034" s="1" t="s">
        <v>6917</v>
      </c>
      <c r="C2034" s="1" t="s">
        <v>182</v>
      </c>
      <c r="D2034" s="1" t="s">
        <v>239</v>
      </c>
      <c r="E2034" s="1" t="s">
        <v>61</v>
      </c>
      <c r="F2034" s="1" t="s">
        <v>101</v>
      </c>
      <c r="G2034" s="1" t="s">
        <v>275</v>
      </c>
      <c r="H2034" s="1" t="s">
        <v>276</v>
      </c>
      <c r="K2034" s="1" t="s">
        <v>2495</v>
      </c>
      <c r="L2034" s="1" t="s">
        <v>2496</v>
      </c>
      <c r="M2034" s="1" t="s">
        <v>6731</v>
      </c>
      <c r="N2034" s="1" t="s">
        <v>1498</v>
      </c>
      <c r="O2034" s="1" t="s">
        <v>1499</v>
      </c>
      <c r="P2034" s="1" t="s">
        <v>3712</v>
      </c>
      <c r="U2034" s="1" t="s">
        <v>245</v>
      </c>
      <c r="Z2034" s="1" t="s">
        <v>71</v>
      </c>
      <c r="AE2034" s="1" t="s">
        <v>6918</v>
      </c>
      <c r="AH2034" s="1" t="s">
        <v>73</v>
      </c>
      <c r="AK2034" s="1" t="s">
        <v>71</v>
      </c>
      <c r="AM2034" s="1" t="s">
        <v>71</v>
      </c>
      <c r="AN2034" s="1" t="s">
        <v>71</v>
      </c>
      <c r="AS2034" s="1" t="s">
        <v>71</v>
      </c>
      <c r="AX2034" s="1" t="s">
        <v>71</v>
      </c>
      <c r="AY2034" s="1" t="s">
        <v>59</v>
      </c>
      <c r="AZ2034" s="1" t="s">
        <v>74</v>
      </c>
      <c r="BH2034" s="1" t="s">
        <v>71</v>
      </c>
    </row>
    <row r="2035" customFormat="false" ht="15" hidden="false" customHeight="false" outlineLevel="0" collapsed="false">
      <c r="A2035" s="1" t="s">
        <v>6919</v>
      </c>
      <c r="B2035" s="1" t="s">
        <v>6920</v>
      </c>
      <c r="C2035" s="1" t="s">
        <v>192</v>
      </c>
      <c r="D2035" s="1" t="s">
        <v>193</v>
      </c>
      <c r="E2035" s="1" t="s">
        <v>65</v>
      </c>
      <c r="F2035" s="1" t="s">
        <v>119</v>
      </c>
      <c r="G2035" s="1" t="s">
        <v>65</v>
      </c>
      <c r="H2035" s="1" t="s">
        <v>64</v>
      </c>
      <c r="K2035" s="1" t="s">
        <v>152</v>
      </c>
      <c r="L2035" s="1" t="s">
        <v>605</v>
      </c>
      <c r="M2035" s="1" t="s">
        <v>5354</v>
      </c>
      <c r="N2035" s="1" t="s">
        <v>123</v>
      </c>
      <c r="O2035" s="1" t="s">
        <v>124</v>
      </c>
      <c r="P2035" s="1" t="s">
        <v>4161</v>
      </c>
      <c r="U2035" s="1" t="s">
        <v>6919</v>
      </c>
      <c r="Z2035" s="1" t="s">
        <v>71</v>
      </c>
      <c r="AE2035" s="1" t="s">
        <v>6918</v>
      </c>
      <c r="AH2035" s="1" t="s">
        <v>73</v>
      </c>
      <c r="AK2035" s="1" t="s">
        <v>71</v>
      </c>
      <c r="AM2035" s="1" t="s">
        <v>71</v>
      </c>
      <c r="AN2035" s="1" t="s">
        <v>71</v>
      </c>
      <c r="AS2035" s="1" t="s">
        <v>71</v>
      </c>
      <c r="AX2035" s="1" t="s">
        <v>71</v>
      </c>
      <c r="AY2035" s="1" t="s">
        <v>59</v>
      </c>
      <c r="AZ2035" s="1" t="s">
        <v>74</v>
      </c>
      <c r="BH2035" s="1" t="s">
        <v>71</v>
      </c>
    </row>
    <row r="2036" customFormat="false" ht="15" hidden="false" customHeight="false" outlineLevel="0" collapsed="false">
      <c r="A2036" s="1" t="s">
        <v>6921</v>
      </c>
      <c r="B2036" s="1" t="s">
        <v>6922</v>
      </c>
      <c r="C2036" s="1" t="s">
        <v>2359</v>
      </c>
      <c r="D2036" s="1" t="s">
        <v>239</v>
      </c>
      <c r="E2036" s="1" t="s">
        <v>61</v>
      </c>
      <c r="F2036" s="1" t="s">
        <v>101</v>
      </c>
      <c r="G2036" s="1" t="s">
        <v>275</v>
      </c>
      <c r="H2036" s="1" t="s">
        <v>276</v>
      </c>
      <c r="K2036" s="1" t="s">
        <v>136</v>
      </c>
      <c r="L2036" s="1" t="s">
        <v>5602</v>
      </c>
      <c r="M2036" s="1" t="s">
        <v>5063</v>
      </c>
      <c r="N2036" s="1" t="s">
        <v>1365</v>
      </c>
      <c r="O2036" s="1" t="s">
        <v>1366</v>
      </c>
      <c r="P2036" s="1" t="s">
        <v>4820</v>
      </c>
      <c r="U2036" s="1" t="s">
        <v>245</v>
      </c>
      <c r="Z2036" s="1" t="s">
        <v>71</v>
      </c>
      <c r="AE2036" s="1" t="s">
        <v>6923</v>
      </c>
      <c r="AH2036" s="1" t="s">
        <v>73</v>
      </c>
      <c r="AK2036" s="1" t="s">
        <v>71</v>
      </c>
      <c r="AM2036" s="1" t="s">
        <v>71</v>
      </c>
      <c r="AN2036" s="1" t="s">
        <v>71</v>
      </c>
      <c r="AS2036" s="1" t="s">
        <v>71</v>
      </c>
      <c r="AX2036" s="1" t="s">
        <v>71</v>
      </c>
      <c r="AY2036" s="1" t="s">
        <v>59</v>
      </c>
      <c r="AZ2036" s="1" t="s">
        <v>74</v>
      </c>
      <c r="BH2036" s="1" t="s">
        <v>71</v>
      </c>
    </row>
    <row r="2037" customFormat="false" ht="15" hidden="false" customHeight="false" outlineLevel="0" collapsed="false">
      <c r="A2037" s="1" t="s">
        <v>6924</v>
      </c>
      <c r="B2037" s="1" t="s">
        <v>6925</v>
      </c>
      <c r="C2037" s="1" t="s">
        <v>161</v>
      </c>
      <c r="D2037" s="1" t="s">
        <v>162</v>
      </c>
      <c r="E2037" s="1" t="s">
        <v>61</v>
      </c>
      <c r="F2037" s="1" t="s">
        <v>101</v>
      </c>
      <c r="G2037" s="1" t="s">
        <v>93</v>
      </c>
      <c r="H2037" s="1" t="s">
        <v>64</v>
      </c>
      <c r="K2037" s="1" t="s">
        <v>582</v>
      </c>
      <c r="L2037" s="1" t="s">
        <v>4731</v>
      </c>
      <c r="M2037" s="1" t="s">
        <v>1672</v>
      </c>
      <c r="N2037" s="1" t="s">
        <v>1177</v>
      </c>
      <c r="O2037" s="1" t="s">
        <v>1178</v>
      </c>
      <c r="P2037" s="1" t="s">
        <v>4732</v>
      </c>
      <c r="U2037" s="1" t="s">
        <v>6924</v>
      </c>
      <c r="Z2037" s="1" t="s">
        <v>71</v>
      </c>
      <c r="AE2037" s="1" t="s">
        <v>6926</v>
      </c>
      <c r="AH2037" s="1" t="s">
        <v>73</v>
      </c>
      <c r="AK2037" s="1" t="s">
        <v>71</v>
      </c>
      <c r="AM2037" s="1" t="s">
        <v>71</v>
      </c>
      <c r="AN2037" s="1" t="s">
        <v>71</v>
      </c>
      <c r="AS2037" s="1" t="s">
        <v>71</v>
      </c>
      <c r="AX2037" s="1" t="s">
        <v>71</v>
      </c>
      <c r="AY2037" s="1" t="s">
        <v>59</v>
      </c>
      <c r="AZ2037" s="1" t="s">
        <v>74</v>
      </c>
      <c r="BH2037" s="1" t="s">
        <v>71</v>
      </c>
    </row>
    <row r="2038" customFormat="false" ht="15" hidden="false" customHeight="false" outlineLevel="0" collapsed="false">
      <c r="A2038" s="1" t="s">
        <v>6927</v>
      </c>
      <c r="B2038" s="1" t="s">
        <v>6928</v>
      </c>
      <c r="C2038" s="1" t="s">
        <v>6929</v>
      </c>
      <c r="D2038" s="1" t="s">
        <v>6930</v>
      </c>
      <c r="E2038" s="1" t="s">
        <v>65</v>
      </c>
      <c r="F2038" s="1" t="s">
        <v>119</v>
      </c>
      <c r="G2038" s="1" t="s">
        <v>65</v>
      </c>
      <c r="H2038" s="1" t="s">
        <v>64</v>
      </c>
      <c r="K2038" s="1" t="s">
        <v>5290</v>
      </c>
      <c r="L2038" s="1" t="s">
        <v>335</v>
      </c>
      <c r="M2038" s="1" t="s">
        <v>310</v>
      </c>
      <c r="N2038" s="1" t="s">
        <v>123</v>
      </c>
      <c r="O2038" s="1" t="s">
        <v>124</v>
      </c>
      <c r="P2038" s="1" t="s">
        <v>4161</v>
      </c>
      <c r="U2038" s="1" t="s">
        <v>6927</v>
      </c>
      <c r="Z2038" s="1" t="s">
        <v>71</v>
      </c>
      <c r="AE2038" s="1" t="s">
        <v>6931</v>
      </c>
      <c r="AH2038" s="1" t="s">
        <v>73</v>
      </c>
      <c r="AK2038" s="1" t="s">
        <v>71</v>
      </c>
      <c r="AM2038" s="1" t="s">
        <v>71</v>
      </c>
      <c r="AN2038" s="1" t="s">
        <v>71</v>
      </c>
      <c r="AS2038" s="1" t="s">
        <v>71</v>
      </c>
      <c r="AX2038" s="1" t="s">
        <v>71</v>
      </c>
      <c r="AY2038" s="1" t="s">
        <v>59</v>
      </c>
      <c r="AZ2038" s="1" t="s">
        <v>74</v>
      </c>
      <c r="BH2038" s="1" t="s">
        <v>71</v>
      </c>
    </row>
    <row r="2039" customFormat="false" ht="15" hidden="false" customHeight="false" outlineLevel="0" collapsed="false">
      <c r="A2039" s="1" t="s">
        <v>6932</v>
      </c>
      <c r="B2039" s="1" t="s">
        <v>6933</v>
      </c>
      <c r="C2039" s="1" t="s">
        <v>1412</v>
      </c>
      <c r="D2039" s="1" t="s">
        <v>1413</v>
      </c>
      <c r="E2039" s="1" t="s">
        <v>61</v>
      </c>
      <c r="F2039" s="1" t="s">
        <v>101</v>
      </c>
      <c r="G2039" s="1" t="s">
        <v>148</v>
      </c>
      <c r="H2039" s="1" t="s">
        <v>231</v>
      </c>
      <c r="K2039" s="1" t="s">
        <v>232</v>
      </c>
      <c r="L2039" s="1" t="s">
        <v>233</v>
      </c>
      <c r="M2039" s="1" t="s">
        <v>6934</v>
      </c>
      <c r="N2039" s="1" t="s">
        <v>243</v>
      </c>
      <c r="O2039" s="1" t="s">
        <v>244</v>
      </c>
      <c r="P2039" s="1" t="s">
        <v>3503</v>
      </c>
      <c r="U2039" s="1" t="s">
        <v>6932</v>
      </c>
      <c r="Z2039" s="1" t="s">
        <v>71</v>
      </c>
      <c r="AE2039" s="1" t="s">
        <v>6931</v>
      </c>
      <c r="AH2039" s="1" t="s">
        <v>73</v>
      </c>
      <c r="AK2039" s="1" t="s">
        <v>71</v>
      </c>
      <c r="AM2039" s="1" t="s">
        <v>71</v>
      </c>
      <c r="AN2039" s="1" t="s">
        <v>71</v>
      </c>
      <c r="AS2039" s="1" t="s">
        <v>71</v>
      </c>
      <c r="AX2039" s="1" t="s">
        <v>71</v>
      </c>
      <c r="AY2039" s="1" t="s">
        <v>59</v>
      </c>
      <c r="AZ2039" s="1" t="s">
        <v>74</v>
      </c>
      <c r="BH2039" s="1" t="s">
        <v>71</v>
      </c>
    </row>
    <row r="2040" customFormat="false" ht="15" hidden="false" customHeight="false" outlineLevel="0" collapsed="false">
      <c r="A2040" s="1" t="s">
        <v>6935</v>
      </c>
      <c r="B2040" s="1" t="s">
        <v>6936</v>
      </c>
      <c r="C2040" s="1" t="s">
        <v>192</v>
      </c>
      <c r="D2040" s="1" t="s">
        <v>193</v>
      </c>
      <c r="E2040" s="1" t="s">
        <v>65</v>
      </c>
      <c r="F2040" s="1" t="s">
        <v>119</v>
      </c>
      <c r="G2040" s="1" t="s">
        <v>65</v>
      </c>
      <c r="H2040" s="1" t="s">
        <v>64</v>
      </c>
      <c r="K2040" s="1" t="s">
        <v>152</v>
      </c>
      <c r="L2040" s="1" t="s">
        <v>605</v>
      </c>
      <c r="M2040" s="1" t="s">
        <v>5354</v>
      </c>
      <c r="N2040" s="1" t="s">
        <v>123</v>
      </c>
      <c r="O2040" s="1" t="s">
        <v>124</v>
      </c>
      <c r="P2040" s="1" t="s">
        <v>4161</v>
      </c>
      <c r="S2040" s="1" t="s">
        <v>275</v>
      </c>
      <c r="U2040" s="1" t="s">
        <v>6935</v>
      </c>
      <c r="Z2040" s="1" t="s">
        <v>71</v>
      </c>
      <c r="AE2040" s="1" t="s">
        <v>6937</v>
      </c>
      <c r="AH2040" s="1" t="s">
        <v>73</v>
      </c>
      <c r="AK2040" s="1" t="s">
        <v>71</v>
      </c>
      <c r="AM2040" s="1" t="s">
        <v>71</v>
      </c>
      <c r="AN2040" s="1" t="s">
        <v>71</v>
      </c>
      <c r="AS2040" s="1" t="s">
        <v>71</v>
      </c>
      <c r="AX2040" s="1" t="s">
        <v>71</v>
      </c>
      <c r="AY2040" s="1" t="s">
        <v>59</v>
      </c>
      <c r="AZ2040" s="1" t="s">
        <v>74</v>
      </c>
      <c r="BH2040" s="1" t="s">
        <v>71</v>
      </c>
    </row>
    <row r="2041" customFormat="false" ht="15" hidden="false" customHeight="false" outlineLevel="0" collapsed="false">
      <c r="A2041" s="1" t="s">
        <v>6938</v>
      </c>
      <c r="B2041" s="1" t="s">
        <v>6939</v>
      </c>
      <c r="C2041" s="1" t="s">
        <v>288</v>
      </c>
      <c r="D2041" s="1" t="s">
        <v>289</v>
      </c>
      <c r="E2041" s="1" t="s">
        <v>61</v>
      </c>
      <c r="F2041" s="1" t="s">
        <v>101</v>
      </c>
      <c r="G2041" s="1" t="s">
        <v>134</v>
      </c>
      <c r="H2041" s="1" t="s">
        <v>4875</v>
      </c>
      <c r="K2041" s="1" t="s">
        <v>5096</v>
      </c>
      <c r="L2041" s="1" t="s">
        <v>5097</v>
      </c>
      <c r="M2041" s="1" t="s">
        <v>104</v>
      </c>
      <c r="N2041" s="1" t="s">
        <v>105</v>
      </c>
      <c r="O2041" s="1" t="s">
        <v>106</v>
      </c>
      <c r="P2041" s="1" t="s">
        <v>3539</v>
      </c>
      <c r="U2041" s="1" t="s">
        <v>6938</v>
      </c>
      <c r="Z2041" s="1" t="s">
        <v>71</v>
      </c>
      <c r="AE2041" s="1" t="s">
        <v>6937</v>
      </c>
      <c r="AH2041" s="1" t="s">
        <v>73</v>
      </c>
      <c r="AK2041" s="1" t="s">
        <v>71</v>
      </c>
      <c r="AM2041" s="1" t="s">
        <v>71</v>
      </c>
      <c r="AN2041" s="1" t="s">
        <v>71</v>
      </c>
      <c r="AS2041" s="1" t="s">
        <v>71</v>
      </c>
      <c r="AX2041" s="1" t="s">
        <v>71</v>
      </c>
      <c r="AY2041" s="1" t="s">
        <v>59</v>
      </c>
      <c r="AZ2041" s="1" t="s">
        <v>74</v>
      </c>
      <c r="BH2041" s="1" t="s">
        <v>71</v>
      </c>
    </row>
    <row r="2042" customFormat="false" ht="15" hidden="false" customHeight="false" outlineLevel="0" collapsed="false">
      <c r="A2042" s="1" t="s">
        <v>6940</v>
      </c>
      <c r="B2042" s="1" t="s">
        <v>6941</v>
      </c>
      <c r="C2042" s="1" t="s">
        <v>161</v>
      </c>
      <c r="D2042" s="1" t="s">
        <v>162</v>
      </c>
      <c r="E2042" s="1" t="s">
        <v>61</v>
      </c>
      <c r="F2042" s="1" t="s">
        <v>101</v>
      </c>
      <c r="G2042" s="1" t="s">
        <v>130</v>
      </c>
      <c r="H2042" s="1" t="s">
        <v>5179</v>
      </c>
      <c r="K2042" s="1" t="s">
        <v>5180</v>
      </c>
      <c r="L2042" s="1" t="s">
        <v>5181</v>
      </c>
      <c r="M2042" s="1" t="s">
        <v>1555</v>
      </c>
      <c r="N2042" s="1" t="s">
        <v>1177</v>
      </c>
      <c r="O2042" s="1" t="s">
        <v>1178</v>
      </c>
      <c r="P2042" s="1" t="s">
        <v>4732</v>
      </c>
      <c r="U2042" s="1" t="s">
        <v>6940</v>
      </c>
      <c r="Z2042" s="1" t="s">
        <v>71</v>
      </c>
      <c r="AE2042" s="1" t="s">
        <v>6942</v>
      </c>
      <c r="AH2042" s="1" t="s">
        <v>73</v>
      </c>
      <c r="AK2042" s="1" t="s">
        <v>71</v>
      </c>
      <c r="AM2042" s="1" t="s">
        <v>71</v>
      </c>
      <c r="AN2042" s="1" t="s">
        <v>71</v>
      </c>
      <c r="AS2042" s="1" t="s">
        <v>71</v>
      </c>
      <c r="AX2042" s="1" t="s">
        <v>71</v>
      </c>
      <c r="AY2042" s="1" t="s">
        <v>59</v>
      </c>
      <c r="AZ2042" s="1" t="s">
        <v>74</v>
      </c>
      <c r="BH2042" s="1" t="s">
        <v>71</v>
      </c>
    </row>
    <row r="2043" customFormat="false" ht="15" hidden="false" customHeight="false" outlineLevel="0" collapsed="false">
      <c r="A2043" s="1" t="s">
        <v>6943</v>
      </c>
      <c r="B2043" s="1" t="s">
        <v>6944</v>
      </c>
      <c r="C2043" s="1" t="s">
        <v>161</v>
      </c>
      <c r="D2043" s="1" t="s">
        <v>162</v>
      </c>
      <c r="E2043" s="1" t="s">
        <v>61</v>
      </c>
      <c r="F2043" s="1" t="s">
        <v>101</v>
      </c>
      <c r="G2043" s="1" t="s">
        <v>130</v>
      </c>
      <c r="H2043" s="1" t="s">
        <v>5179</v>
      </c>
      <c r="K2043" s="1" t="s">
        <v>5180</v>
      </c>
      <c r="L2043" s="1" t="s">
        <v>5181</v>
      </c>
      <c r="M2043" s="1" t="s">
        <v>1555</v>
      </c>
      <c r="N2043" s="1" t="s">
        <v>105</v>
      </c>
      <c r="O2043" s="1" t="s">
        <v>106</v>
      </c>
      <c r="P2043" s="1" t="s">
        <v>3539</v>
      </c>
      <c r="U2043" s="1" t="s">
        <v>6943</v>
      </c>
      <c r="Z2043" s="1" t="s">
        <v>71</v>
      </c>
      <c r="AE2043" s="1" t="s">
        <v>6942</v>
      </c>
      <c r="AH2043" s="1" t="s">
        <v>73</v>
      </c>
      <c r="AK2043" s="1" t="s">
        <v>71</v>
      </c>
      <c r="AM2043" s="1" t="s">
        <v>71</v>
      </c>
      <c r="AN2043" s="1" t="s">
        <v>71</v>
      </c>
      <c r="AS2043" s="1" t="s">
        <v>71</v>
      </c>
      <c r="AX2043" s="1" t="s">
        <v>71</v>
      </c>
      <c r="AY2043" s="1" t="s">
        <v>59</v>
      </c>
      <c r="AZ2043" s="1" t="s">
        <v>74</v>
      </c>
      <c r="BH2043" s="1" t="s">
        <v>71</v>
      </c>
    </row>
    <row r="2044" customFormat="false" ht="15" hidden="false" customHeight="false" outlineLevel="0" collapsed="false">
      <c r="A2044" s="1" t="s">
        <v>6945</v>
      </c>
      <c r="B2044" s="1" t="s">
        <v>6946</v>
      </c>
      <c r="C2044" s="1" t="s">
        <v>161</v>
      </c>
      <c r="D2044" s="1" t="s">
        <v>162</v>
      </c>
      <c r="E2044" s="1" t="s">
        <v>61</v>
      </c>
      <c r="F2044" s="1" t="s">
        <v>101</v>
      </c>
      <c r="G2044" s="1" t="s">
        <v>130</v>
      </c>
      <c r="H2044" s="1" t="s">
        <v>5179</v>
      </c>
      <c r="K2044" s="1" t="s">
        <v>5180</v>
      </c>
      <c r="L2044" s="1" t="s">
        <v>5181</v>
      </c>
      <c r="M2044" s="1" t="s">
        <v>1555</v>
      </c>
      <c r="N2044" s="1" t="s">
        <v>1177</v>
      </c>
      <c r="O2044" s="1" t="s">
        <v>1178</v>
      </c>
      <c r="P2044" s="1" t="s">
        <v>4732</v>
      </c>
      <c r="U2044" s="1" t="s">
        <v>6945</v>
      </c>
      <c r="Z2044" s="1" t="s">
        <v>71</v>
      </c>
      <c r="AE2044" s="1" t="s">
        <v>6942</v>
      </c>
      <c r="AH2044" s="1" t="s">
        <v>73</v>
      </c>
      <c r="AK2044" s="1" t="s">
        <v>71</v>
      </c>
      <c r="AM2044" s="1" t="s">
        <v>71</v>
      </c>
      <c r="AN2044" s="1" t="s">
        <v>71</v>
      </c>
      <c r="AS2044" s="1" t="s">
        <v>71</v>
      </c>
      <c r="AX2044" s="1" t="s">
        <v>71</v>
      </c>
      <c r="AY2044" s="1" t="s">
        <v>59</v>
      </c>
      <c r="AZ2044" s="1" t="s">
        <v>74</v>
      </c>
      <c r="BH2044" s="1" t="s">
        <v>71</v>
      </c>
    </row>
    <row r="2045" customFormat="false" ht="15" hidden="false" customHeight="false" outlineLevel="0" collapsed="false">
      <c r="A2045" s="1" t="s">
        <v>6947</v>
      </c>
      <c r="B2045" s="1" t="s">
        <v>6948</v>
      </c>
      <c r="C2045" s="1" t="s">
        <v>706</v>
      </c>
      <c r="D2045" s="1" t="s">
        <v>707</v>
      </c>
      <c r="E2045" s="1" t="s">
        <v>82</v>
      </c>
      <c r="F2045" s="1" t="s">
        <v>391</v>
      </c>
      <c r="G2045" s="1" t="s">
        <v>213</v>
      </c>
      <c r="H2045" s="1" t="s">
        <v>477</v>
      </c>
      <c r="K2045" s="1" t="s">
        <v>478</v>
      </c>
      <c r="L2045" s="1" t="s">
        <v>479</v>
      </c>
      <c r="M2045" s="1" t="s">
        <v>496</v>
      </c>
      <c r="N2045" s="1" t="s">
        <v>709</v>
      </c>
      <c r="O2045" s="1" t="s">
        <v>710</v>
      </c>
      <c r="P2045" s="1" t="s">
        <v>5405</v>
      </c>
      <c r="Z2045" s="1" t="s">
        <v>71</v>
      </c>
      <c r="AE2045" s="1" t="s">
        <v>6949</v>
      </c>
      <c r="AH2045" s="1" t="s">
        <v>73</v>
      </c>
      <c r="AK2045" s="1" t="s">
        <v>71</v>
      </c>
      <c r="AM2045" s="1" t="s">
        <v>71</v>
      </c>
      <c r="AN2045" s="1" t="s">
        <v>71</v>
      </c>
      <c r="AS2045" s="1" t="s">
        <v>71</v>
      </c>
      <c r="AX2045" s="1" t="s">
        <v>71</v>
      </c>
      <c r="BH2045" s="1" t="s">
        <v>71</v>
      </c>
    </row>
    <row r="2046" customFormat="false" ht="15" hidden="false" customHeight="false" outlineLevel="0" collapsed="false">
      <c r="A2046" s="1" t="s">
        <v>6950</v>
      </c>
      <c r="B2046" s="1" t="s">
        <v>6951</v>
      </c>
      <c r="C2046" s="1" t="s">
        <v>182</v>
      </c>
      <c r="D2046" s="1" t="s">
        <v>239</v>
      </c>
      <c r="E2046" s="1" t="s">
        <v>61</v>
      </c>
      <c r="F2046" s="1" t="s">
        <v>101</v>
      </c>
      <c r="G2046" s="1" t="s">
        <v>108</v>
      </c>
      <c r="H2046" s="1" t="s">
        <v>1495</v>
      </c>
      <c r="K2046" s="1" t="s">
        <v>184</v>
      </c>
      <c r="L2046" s="1" t="s">
        <v>6952</v>
      </c>
      <c r="M2046" s="1" t="s">
        <v>6953</v>
      </c>
      <c r="N2046" s="1" t="s">
        <v>5423</v>
      </c>
      <c r="O2046" s="1" t="s">
        <v>5424</v>
      </c>
      <c r="P2046" s="1" t="s">
        <v>5425</v>
      </c>
      <c r="U2046" s="1" t="s">
        <v>6794</v>
      </c>
      <c r="Z2046" s="1" t="s">
        <v>71</v>
      </c>
      <c r="AE2046" s="1" t="s">
        <v>6954</v>
      </c>
      <c r="AH2046" s="1" t="s">
        <v>73</v>
      </c>
      <c r="AK2046" s="1" t="s">
        <v>71</v>
      </c>
      <c r="AM2046" s="1" t="s">
        <v>71</v>
      </c>
      <c r="AN2046" s="1" t="s">
        <v>71</v>
      </c>
      <c r="AS2046" s="1" t="s">
        <v>71</v>
      </c>
      <c r="AX2046" s="1" t="s">
        <v>71</v>
      </c>
      <c r="AY2046" s="1" t="s">
        <v>59</v>
      </c>
      <c r="AZ2046" s="1" t="s">
        <v>74</v>
      </c>
      <c r="BH2046" s="1" t="s">
        <v>71</v>
      </c>
    </row>
    <row r="2047" customFormat="false" ht="15" hidden="false" customHeight="false" outlineLevel="0" collapsed="false">
      <c r="A2047" s="1" t="s">
        <v>6955</v>
      </c>
      <c r="B2047" s="1" t="s">
        <v>6956</v>
      </c>
      <c r="C2047" s="1" t="s">
        <v>182</v>
      </c>
      <c r="D2047" s="1" t="s">
        <v>239</v>
      </c>
      <c r="E2047" s="1" t="s">
        <v>61</v>
      </c>
      <c r="F2047" s="1" t="s">
        <v>101</v>
      </c>
      <c r="G2047" s="1" t="s">
        <v>275</v>
      </c>
      <c r="H2047" s="1" t="s">
        <v>276</v>
      </c>
      <c r="K2047" s="1" t="s">
        <v>159</v>
      </c>
      <c r="L2047" s="1" t="s">
        <v>6957</v>
      </c>
      <c r="M2047" s="1" t="s">
        <v>278</v>
      </c>
      <c r="N2047" s="1" t="s">
        <v>1470</v>
      </c>
      <c r="O2047" s="1" t="s">
        <v>1471</v>
      </c>
      <c r="P2047" s="1" t="s">
        <v>4824</v>
      </c>
      <c r="U2047" s="1" t="s">
        <v>263</v>
      </c>
      <c r="Z2047" s="1" t="s">
        <v>71</v>
      </c>
      <c r="AE2047" s="1" t="s">
        <v>6958</v>
      </c>
      <c r="AH2047" s="1" t="s">
        <v>73</v>
      </c>
      <c r="AK2047" s="1" t="s">
        <v>71</v>
      </c>
      <c r="AM2047" s="1" t="s">
        <v>71</v>
      </c>
      <c r="AN2047" s="1" t="s">
        <v>71</v>
      </c>
      <c r="AS2047" s="1" t="s">
        <v>71</v>
      </c>
      <c r="AX2047" s="1" t="s">
        <v>71</v>
      </c>
      <c r="AY2047" s="1" t="s">
        <v>59</v>
      </c>
      <c r="AZ2047" s="1" t="s">
        <v>74</v>
      </c>
      <c r="BH2047" s="1" t="s">
        <v>71</v>
      </c>
    </row>
    <row r="2048" customFormat="false" ht="15" hidden="false" customHeight="false" outlineLevel="0" collapsed="false">
      <c r="A2048" s="1" t="s">
        <v>6959</v>
      </c>
      <c r="B2048" s="1" t="s">
        <v>6960</v>
      </c>
      <c r="C2048" s="1" t="s">
        <v>182</v>
      </c>
      <c r="D2048" s="1" t="s">
        <v>239</v>
      </c>
      <c r="E2048" s="1" t="s">
        <v>61</v>
      </c>
      <c r="F2048" s="1" t="s">
        <v>101</v>
      </c>
      <c r="G2048" s="1" t="s">
        <v>108</v>
      </c>
      <c r="H2048" s="1" t="s">
        <v>1495</v>
      </c>
      <c r="K2048" s="1" t="s">
        <v>184</v>
      </c>
      <c r="L2048" s="1" t="s">
        <v>6952</v>
      </c>
      <c r="M2048" s="1" t="s">
        <v>6953</v>
      </c>
      <c r="N2048" s="1" t="s">
        <v>5423</v>
      </c>
      <c r="O2048" s="1" t="s">
        <v>5424</v>
      </c>
      <c r="P2048" s="1" t="s">
        <v>5425</v>
      </c>
      <c r="U2048" s="1" t="s">
        <v>6794</v>
      </c>
      <c r="Z2048" s="1" t="s">
        <v>71</v>
      </c>
      <c r="AE2048" s="1" t="s">
        <v>6958</v>
      </c>
      <c r="AH2048" s="1" t="s">
        <v>73</v>
      </c>
      <c r="AK2048" s="1" t="s">
        <v>71</v>
      </c>
      <c r="AM2048" s="1" t="s">
        <v>71</v>
      </c>
      <c r="AN2048" s="1" t="s">
        <v>71</v>
      </c>
      <c r="AS2048" s="1" t="s">
        <v>71</v>
      </c>
      <c r="AX2048" s="1" t="s">
        <v>71</v>
      </c>
      <c r="AY2048" s="1" t="s">
        <v>59</v>
      </c>
      <c r="AZ2048" s="1" t="s">
        <v>74</v>
      </c>
      <c r="BH2048" s="1" t="s">
        <v>71</v>
      </c>
    </row>
    <row r="2049" customFormat="false" ht="15" hidden="false" customHeight="false" outlineLevel="0" collapsed="false">
      <c r="A2049" s="1" t="s">
        <v>6961</v>
      </c>
      <c r="B2049" s="1" t="s">
        <v>6962</v>
      </c>
      <c r="C2049" s="1" t="s">
        <v>1742</v>
      </c>
      <c r="D2049" s="1" t="s">
        <v>6399</v>
      </c>
      <c r="E2049" s="1" t="s">
        <v>61</v>
      </c>
      <c r="F2049" s="1" t="s">
        <v>101</v>
      </c>
      <c r="G2049" s="1" t="s">
        <v>93</v>
      </c>
      <c r="H2049" s="1" t="s">
        <v>64</v>
      </c>
      <c r="K2049" s="1" t="s">
        <v>126</v>
      </c>
      <c r="L2049" s="1" t="s">
        <v>335</v>
      </c>
      <c r="M2049" s="1" t="s">
        <v>5580</v>
      </c>
      <c r="N2049" s="1" t="s">
        <v>105</v>
      </c>
      <c r="O2049" s="1" t="s">
        <v>106</v>
      </c>
      <c r="P2049" s="1" t="s">
        <v>3539</v>
      </c>
      <c r="U2049" s="1" t="s">
        <v>6961</v>
      </c>
      <c r="Z2049" s="1" t="s">
        <v>71</v>
      </c>
      <c r="AE2049" s="1" t="s">
        <v>6963</v>
      </c>
      <c r="AH2049" s="1" t="s">
        <v>73</v>
      </c>
      <c r="AK2049" s="1" t="s">
        <v>71</v>
      </c>
      <c r="AM2049" s="1" t="s">
        <v>71</v>
      </c>
      <c r="AN2049" s="1" t="s">
        <v>71</v>
      </c>
      <c r="AS2049" s="1" t="s">
        <v>71</v>
      </c>
      <c r="AX2049" s="1" t="s">
        <v>71</v>
      </c>
      <c r="AY2049" s="1" t="s">
        <v>59</v>
      </c>
      <c r="AZ2049" s="1" t="s">
        <v>74</v>
      </c>
      <c r="BH2049" s="1" t="s">
        <v>71</v>
      </c>
    </row>
    <row r="2050" customFormat="false" ht="15" hidden="false" customHeight="false" outlineLevel="0" collapsed="false">
      <c r="A2050" s="1" t="s">
        <v>6964</v>
      </c>
      <c r="B2050" s="1" t="s">
        <v>6965</v>
      </c>
      <c r="C2050" s="1" t="s">
        <v>192</v>
      </c>
      <c r="D2050" s="1" t="s">
        <v>193</v>
      </c>
      <c r="E2050" s="1" t="s">
        <v>65</v>
      </c>
      <c r="F2050" s="1" t="s">
        <v>119</v>
      </c>
      <c r="G2050" s="1" t="s">
        <v>65</v>
      </c>
      <c r="H2050" s="1" t="s">
        <v>64</v>
      </c>
      <c r="K2050" s="1" t="s">
        <v>5290</v>
      </c>
      <c r="L2050" s="1" t="s">
        <v>335</v>
      </c>
      <c r="M2050" s="1" t="s">
        <v>104</v>
      </c>
      <c r="N2050" s="1" t="s">
        <v>123</v>
      </c>
      <c r="O2050" s="1" t="s">
        <v>124</v>
      </c>
      <c r="P2050" s="1" t="s">
        <v>4161</v>
      </c>
      <c r="U2050" s="1" t="s">
        <v>6964</v>
      </c>
      <c r="Z2050" s="1" t="s">
        <v>71</v>
      </c>
      <c r="AE2050" s="1" t="s">
        <v>6966</v>
      </c>
      <c r="AH2050" s="1" t="s">
        <v>73</v>
      </c>
      <c r="AK2050" s="1" t="s">
        <v>71</v>
      </c>
      <c r="AM2050" s="1" t="s">
        <v>71</v>
      </c>
      <c r="AN2050" s="1" t="s">
        <v>71</v>
      </c>
      <c r="AS2050" s="1" t="s">
        <v>71</v>
      </c>
      <c r="AX2050" s="1" t="s">
        <v>71</v>
      </c>
      <c r="AY2050" s="1" t="s">
        <v>59</v>
      </c>
      <c r="AZ2050" s="1" t="s">
        <v>74</v>
      </c>
      <c r="BH2050" s="1" t="s">
        <v>71</v>
      </c>
    </row>
    <row r="2051" customFormat="false" ht="15" hidden="false" customHeight="false" outlineLevel="0" collapsed="false">
      <c r="A2051" s="1" t="s">
        <v>6967</v>
      </c>
      <c r="B2051" s="1" t="s">
        <v>6968</v>
      </c>
      <c r="C2051" s="1" t="s">
        <v>192</v>
      </c>
      <c r="D2051" s="1" t="s">
        <v>193</v>
      </c>
      <c r="E2051" s="1" t="s">
        <v>65</v>
      </c>
      <c r="F2051" s="1" t="s">
        <v>119</v>
      </c>
      <c r="G2051" s="1" t="s">
        <v>65</v>
      </c>
      <c r="H2051" s="1" t="s">
        <v>64</v>
      </c>
      <c r="K2051" s="1" t="s">
        <v>108</v>
      </c>
      <c r="L2051" s="1" t="s">
        <v>200</v>
      </c>
      <c r="M2051" s="1" t="s">
        <v>592</v>
      </c>
      <c r="N2051" s="1" t="s">
        <v>123</v>
      </c>
      <c r="O2051" s="1" t="s">
        <v>124</v>
      </c>
      <c r="P2051" s="1" t="s">
        <v>4161</v>
      </c>
      <c r="U2051" s="1" t="s">
        <v>6967</v>
      </c>
      <c r="Z2051" s="1" t="s">
        <v>71</v>
      </c>
      <c r="AE2051" s="1" t="s">
        <v>6966</v>
      </c>
      <c r="AH2051" s="1" t="s">
        <v>73</v>
      </c>
      <c r="AK2051" s="1" t="s">
        <v>71</v>
      </c>
      <c r="AM2051" s="1" t="s">
        <v>71</v>
      </c>
      <c r="AN2051" s="1" t="s">
        <v>71</v>
      </c>
      <c r="AS2051" s="1" t="s">
        <v>71</v>
      </c>
      <c r="AX2051" s="1" t="s">
        <v>71</v>
      </c>
      <c r="AY2051" s="1" t="s">
        <v>59</v>
      </c>
      <c r="AZ2051" s="1" t="s">
        <v>74</v>
      </c>
      <c r="BH2051" s="1" t="s">
        <v>71</v>
      </c>
    </row>
    <row r="2052" customFormat="false" ht="15" hidden="false" customHeight="false" outlineLevel="0" collapsed="false">
      <c r="A2052" s="1" t="s">
        <v>6969</v>
      </c>
      <c r="B2052" s="1" t="s">
        <v>6970</v>
      </c>
      <c r="C2052" s="1" t="s">
        <v>192</v>
      </c>
      <c r="D2052" s="1" t="s">
        <v>193</v>
      </c>
      <c r="E2052" s="1" t="s">
        <v>65</v>
      </c>
      <c r="F2052" s="1" t="s">
        <v>119</v>
      </c>
      <c r="G2052" s="1" t="s">
        <v>65</v>
      </c>
      <c r="H2052" s="1" t="s">
        <v>64</v>
      </c>
      <c r="K2052" s="1" t="s">
        <v>5988</v>
      </c>
      <c r="L2052" s="1" t="s">
        <v>5989</v>
      </c>
      <c r="M2052" s="1" t="s">
        <v>122</v>
      </c>
      <c r="N2052" s="1" t="s">
        <v>123</v>
      </c>
      <c r="O2052" s="1" t="s">
        <v>124</v>
      </c>
      <c r="P2052" s="1" t="s">
        <v>4161</v>
      </c>
      <c r="U2052" s="1" t="s">
        <v>6969</v>
      </c>
      <c r="Z2052" s="1" t="s">
        <v>71</v>
      </c>
      <c r="AE2052" s="1" t="s">
        <v>6966</v>
      </c>
      <c r="AH2052" s="1" t="s">
        <v>73</v>
      </c>
      <c r="AK2052" s="1" t="s">
        <v>71</v>
      </c>
      <c r="AM2052" s="1" t="s">
        <v>71</v>
      </c>
      <c r="AN2052" s="1" t="s">
        <v>71</v>
      </c>
      <c r="AS2052" s="1" t="s">
        <v>71</v>
      </c>
      <c r="AX2052" s="1" t="s">
        <v>71</v>
      </c>
      <c r="AY2052" s="1" t="s">
        <v>59</v>
      </c>
      <c r="AZ2052" s="1" t="s">
        <v>74</v>
      </c>
      <c r="BH2052" s="1" t="s">
        <v>71</v>
      </c>
    </row>
    <row r="2053" customFormat="false" ht="15" hidden="false" customHeight="false" outlineLevel="0" collapsed="false">
      <c r="A2053" s="1" t="s">
        <v>6971</v>
      </c>
      <c r="B2053" s="1" t="s">
        <v>6972</v>
      </c>
      <c r="C2053" s="1" t="s">
        <v>182</v>
      </c>
      <c r="D2053" s="1" t="s">
        <v>239</v>
      </c>
      <c r="E2053" s="1" t="s">
        <v>65</v>
      </c>
      <c r="F2053" s="1" t="s">
        <v>119</v>
      </c>
      <c r="G2053" s="1" t="s">
        <v>61</v>
      </c>
      <c r="H2053" s="1" t="s">
        <v>231</v>
      </c>
      <c r="K2053" s="1" t="s">
        <v>1385</v>
      </c>
      <c r="L2053" s="1" t="s">
        <v>1386</v>
      </c>
      <c r="M2053" s="1" t="s">
        <v>6973</v>
      </c>
      <c r="N2053" s="1" t="s">
        <v>1388</v>
      </c>
      <c r="O2053" s="1" t="s">
        <v>1389</v>
      </c>
      <c r="P2053" s="1" t="s">
        <v>5676</v>
      </c>
      <c r="U2053" s="1" t="s">
        <v>263</v>
      </c>
      <c r="Z2053" s="1" t="s">
        <v>71</v>
      </c>
      <c r="AE2053" s="1" t="s">
        <v>6966</v>
      </c>
      <c r="AH2053" s="1" t="s">
        <v>73</v>
      </c>
      <c r="AK2053" s="1" t="s">
        <v>71</v>
      </c>
      <c r="AM2053" s="1" t="s">
        <v>71</v>
      </c>
      <c r="AN2053" s="1" t="s">
        <v>71</v>
      </c>
      <c r="AS2053" s="1" t="s">
        <v>71</v>
      </c>
      <c r="AX2053" s="1" t="s">
        <v>71</v>
      </c>
      <c r="AY2053" s="1" t="s">
        <v>59</v>
      </c>
      <c r="AZ2053" s="1" t="s">
        <v>74</v>
      </c>
      <c r="BH2053" s="1" t="s">
        <v>71</v>
      </c>
    </row>
    <row r="2054" customFormat="false" ht="15" hidden="false" customHeight="false" outlineLevel="0" collapsed="false">
      <c r="A2054" s="1" t="s">
        <v>6974</v>
      </c>
      <c r="B2054" s="1" t="s">
        <v>6975</v>
      </c>
      <c r="C2054" s="1" t="s">
        <v>4818</v>
      </c>
      <c r="D2054" s="1" t="s">
        <v>4819</v>
      </c>
      <c r="E2054" s="1" t="s">
        <v>61</v>
      </c>
      <c r="F2054" s="1" t="s">
        <v>101</v>
      </c>
      <c r="G2054" s="1" t="s">
        <v>275</v>
      </c>
      <c r="H2054" s="1" t="s">
        <v>276</v>
      </c>
      <c r="K2054" s="1" t="s">
        <v>142</v>
      </c>
      <c r="L2054" s="1" t="s">
        <v>295</v>
      </c>
      <c r="M2054" s="1" t="s">
        <v>6731</v>
      </c>
      <c r="N2054" s="1" t="s">
        <v>279</v>
      </c>
      <c r="O2054" s="1" t="s">
        <v>280</v>
      </c>
      <c r="P2054" s="1" t="s">
        <v>4895</v>
      </c>
      <c r="U2054" s="1" t="s">
        <v>6974</v>
      </c>
      <c r="Z2054" s="1" t="s">
        <v>71</v>
      </c>
      <c r="AE2054" s="1" t="s">
        <v>6976</v>
      </c>
      <c r="AH2054" s="1" t="s">
        <v>73</v>
      </c>
      <c r="AK2054" s="1" t="s">
        <v>71</v>
      </c>
      <c r="AM2054" s="1" t="s">
        <v>71</v>
      </c>
      <c r="AN2054" s="1" t="s">
        <v>71</v>
      </c>
      <c r="AS2054" s="1" t="s">
        <v>71</v>
      </c>
      <c r="AX2054" s="1" t="s">
        <v>71</v>
      </c>
      <c r="AY2054" s="1" t="s">
        <v>59</v>
      </c>
      <c r="AZ2054" s="1" t="s">
        <v>74</v>
      </c>
      <c r="BH2054" s="1" t="s">
        <v>71</v>
      </c>
    </row>
    <row r="2055" customFormat="false" ht="15" hidden="false" customHeight="false" outlineLevel="0" collapsed="false">
      <c r="A2055" s="1" t="s">
        <v>6977</v>
      </c>
      <c r="B2055" s="1" t="s">
        <v>6978</v>
      </c>
      <c r="C2055" s="1" t="s">
        <v>4818</v>
      </c>
      <c r="D2055" s="1" t="s">
        <v>4819</v>
      </c>
      <c r="E2055" s="1" t="s">
        <v>61</v>
      </c>
      <c r="F2055" s="1" t="s">
        <v>101</v>
      </c>
      <c r="G2055" s="1" t="s">
        <v>275</v>
      </c>
      <c r="H2055" s="1" t="s">
        <v>276</v>
      </c>
      <c r="K2055" s="1" t="s">
        <v>5357</v>
      </c>
      <c r="L2055" s="1" t="s">
        <v>5358</v>
      </c>
      <c r="M2055" s="1" t="s">
        <v>6731</v>
      </c>
      <c r="N2055" s="1" t="s">
        <v>6979</v>
      </c>
      <c r="O2055" s="1" t="s">
        <v>6980</v>
      </c>
      <c r="P2055" s="1" t="s">
        <v>6981</v>
      </c>
      <c r="U2055" s="1" t="s">
        <v>6977</v>
      </c>
      <c r="Z2055" s="1" t="s">
        <v>71</v>
      </c>
      <c r="AE2055" s="1" t="s">
        <v>6976</v>
      </c>
      <c r="AH2055" s="1" t="s">
        <v>73</v>
      </c>
      <c r="AK2055" s="1" t="s">
        <v>71</v>
      </c>
      <c r="AM2055" s="1" t="s">
        <v>71</v>
      </c>
      <c r="AN2055" s="1" t="s">
        <v>71</v>
      </c>
      <c r="AS2055" s="1" t="s">
        <v>71</v>
      </c>
      <c r="AX2055" s="1" t="s">
        <v>71</v>
      </c>
      <c r="AY2055" s="1" t="s">
        <v>59</v>
      </c>
      <c r="AZ2055" s="1" t="s">
        <v>74</v>
      </c>
      <c r="BH2055" s="1" t="s">
        <v>71</v>
      </c>
    </row>
    <row r="2056" customFormat="false" ht="15" hidden="false" customHeight="false" outlineLevel="0" collapsed="false">
      <c r="A2056" s="1" t="s">
        <v>6982</v>
      </c>
      <c r="B2056" s="1" t="s">
        <v>6983</v>
      </c>
      <c r="C2056" s="1" t="s">
        <v>4818</v>
      </c>
      <c r="D2056" s="1" t="s">
        <v>4819</v>
      </c>
      <c r="E2056" s="1" t="s">
        <v>61</v>
      </c>
      <c r="F2056" s="1" t="s">
        <v>101</v>
      </c>
      <c r="G2056" s="1" t="s">
        <v>275</v>
      </c>
      <c r="H2056" s="1" t="s">
        <v>276</v>
      </c>
      <c r="K2056" s="1" t="s">
        <v>136</v>
      </c>
      <c r="L2056" s="1" t="s">
        <v>5602</v>
      </c>
      <c r="M2056" s="1" t="s">
        <v>6731</v>
      </c>
      <c r="N2056" s="1" t="s">
        <v>279</v>
      </c>
      <c r="O2056" s="1" t="s">
        <v>280</v>
      </c>
      <c r="P2056" s="1" t="s">
        <v>4895</v>
      </c>
      <c r="U2056" s="1" t="s">
        <v>6982</v>
      </c>
      <c r="Z2056" s="1" t="s">
        <v>71</v>
      </c>
      <c r="AE2056" s="1" t="s">
        <v>6976</v>
      </c>
      <c r="AH2056" s="1" t="s">
        <v>73</v>
      </c>
      <c r="AK2056" s="1" t="s">
        <v>71</v>
      </c>
      <c r="AM2056" s="1" t="s">
        <v>71</v>
      </c>
      <c r="AN2056" s="1" t="s">
        <v>71</v>
      </c>
      <c r="AS2056" s="1" t="s">
        <v>71</v>
      </c>
      <c r="AX2056" s="1" t="s">
        <v>71</v>
      </c>
      <c r="AY2056" s="1" t="s">
        <v>59</v>
      </c>
      <c r="AZ2056" s="1" t="s">
        <v>74</v>
      </c>
      <c r="BH2056" s="1" t="s">
        <v>71</v>
      </c>
    </row>
    <row r="2057" customFormat="false" ht="15" hidden="false" customHeight="false" outlineLevel="0" collapsed="false">
      <c r="A2057" s="1" t="s">
        <v>6984</v>
      </c>
      <c r="B2057" s="1" t="s">
        <v>6985</v>
      </c>
      <c r="C2057" s="1" t="s">
        <v>4818</v>
      </c>
      <c r="D2057" s="1" t="s">
        <v>4819</v>
      </c>
      <c r="E2057" s="1" t="s">
        <v>61</v>
      </c>
      <c r="F2057" s="1" t="s">
        <v>101</v>
      </c>
      <c r="G2057" s="1" t="s">
        <v>275</v>
      </c>
      <c r="H2057" s="1" t="s">
        <v>276</v>
      </c>
      <c r="K2057" s="1" t="s">
        <v>657</v>
      </c>
      <c r="L2057" s="1" t="s">
        <v>5279</v>
      </c>
      <c r="M2057" s="1" t="s">
        <v>6731</v>
      </c>
      <c r="N2057" s="1" t="s">
        <v>279</v>
      </c>
      <c r="O2057" s="1" t="s">
        <v>280</v>
      </c>
      <c r="P2057" s="1" t="s">
        <v>4895</v>
      </c>
      <c r="U2057" s="1" t="s">
        <v>6984</v>
      </c>
      <c r="Z2057" s="1" t="s">
        <v>71</v>
      </c>
      <c r="AE2057" s="1" t="s">
        <v>6976</v>
      </c>
      <c r="AH2057" s="1" t="s">
        <v>73</v>
      </c>
      <c r="AK2057" s="1" t="s">
        <v>71</v>
      </c>
      <c r="AM2057" s="1" t="s">
        <v>71</v>
      </c>
      <c r="AN2057" s="1" t="s">
        <v>71</v>
      </c>
      <c r="AS2057" s="1" t="s">
        <v>71</v>
      </c>
      <c r="AX2057" s="1" t="s">
        <v>71</v>
      </c>
      <c r="AY2057" s="1" t="s">
        <v>59</v>
      </c>
      <c r="AZ2057" s="1" t="s">
        <v>74</v>
      </c>
      <c r="BH2057" s="1" t="s">
        <v>71</v>
      </c>
    </row>
    <row r="2058" customFormat="false" ht="15" hidden="false" customHeight="false" outlineLevel="0" collapsed="false">
      <c r="A2058" s="1" t="s">
        <v>6986</v>
      </c>
      <c r="B2058" s="1" t="s">
        <v>6987</v>
      </c>
      <c r="C2058" s="1" t="s">
        <v>4818</v>
      </c>
      <c r="D2058" s="1" t="s">
        <v>4819</v>
      </c>
      <c r="E2058" s="1" t="s">
        <v>61</v>
      </c>
      <c r="F2058" s="1" t="s">
        <v>101</v>
      </c>
      <c r="G2058" s="1" t="s">
        <v>275</v>
      </c>
      <c r="H2058" s="1" t="s">
        <v>276</v>
      </c>
      <c r="K2058" s="1" t="s">
        <v>126</v>
      </c>
      <c r="L2058" s="1" t="s">
        <v>4894</v>
      </c>
      <c r="M2058" s="1" t="s">
        <v>6731</v>
      </c>
      <c r="N2058" s="1" t="s">
        <v>279</v>
      </c>
      <c r="O2058" s="1" t="s">
        <v>280</v>
      </c>
      <c r="P2058" s="1" t="s">
        <v>4895</v>
      </c>
      <c r="U2058" s="1" t="s">
        <v>6986</v>
      </c>
      <c r="Z2058" s="1" t="s">
        <v>71</v>
      </c>
      <c r="AE2058" s="1" t="s">
        <v>6976</v>
      </c>
      <c r="AH2058" s="1" t="s">
        <v>73</v>
      </c>
      <c r="AK2058" s="1" t="s">
        <v>71</v>
      </c>
      <c r="AM2058" s="1" t="s">
        <v>71</v>
      </c>
      <c r="AN2058" s="1" t="s">
        <v>71</v>
      </c>
      <c r="AS2058" s="1" t="s">
        <v>71</v>
      </c>
      <c r="AX2058" s="1" t="s">
        <v>71</v>
      </c>
      <c r="AY2058" s="1" t="s">
        <v>59</v>
      </c>
      <c r="AZ2058" s="1" t="s">
        <v>74</v>
      </c>
      <c r="BH2058" s="1" t="s">
        <v>71</v>
      </c>
    </row>
    <row r="2059" customFormat="false" ht="15" hidden="false" customHeight="false" outlineLevel="0" collapsed="false">
      <c r="A2059" s="1" t="s">
        <v>6988</v>
      </c>
      <c r="B2059" s="1" t="s">
        <v>6989</v>
      </c>
      <c r="C2059" s="1" t="s">
        <v>4818</v>
      </c>
      <c r="D2059" s="1" t="s">
        <v>4819</v>
      </c>
      <c r="E2059" s="1" t="s">
        <v>61</v>
      </c>
      <c r="F2059" s="1" t="s">
        <v>101</v>
      </c>
      <c r="G2059" s="1" t="s">
        <v>275</v>
      </c>
      <c r="H2059" s="1" t="s">
        <v>276</v>
      </c>
      <c r="K2059" s="1" t="s">
        <v>102</v>
      </c>
      <c r="L2059" s="1" t="s">
        <v>277</v>
      </c>
      <c r="M2059" s="1" t="s">
        <v>6731</v>
      </c>
      <c r="N2059" s="1" t="s">
        <v>279</v>
      </c>
      <c r="O2059" s="1" t="s">
        <v>280</v>
      </c>
      <c r="P2059" s="1" t="s">
        <v>4895</v>
      </c>
      <c r="U2059" s="1" t="s">
        <v>6988</v>
      </c>
      <c r="Z2059" s="1" t="s">
        <v>71</v>
      </c>
      <c r="AE2059" s="1" t="s">
        <v>6976</v>
      </c>
      <c r="AH2059" s="1" t="s">
        <v>73</v>
      </c>
      <c r="AK2059" s="1" t="s">
        <v>71</v>
      </c>
      <c r="AM2059" s="1" t="s">
        <v>71</v>
      </c>
      <c r="AN2059" s="1" t="s">
        <v>71</v>
      </c>
      <c r="AS2059" s="1" t="s">
        <v>71</v>
      </c>
      <c r="AX2059" s="1" t="s">
        <v>71</v>
      </c>
      <c r="AY2059" s="1" t="s">
        <v>59</v>
      </c>
      <c r="AZ2059" s="1" t="s">
        <v>74</v>
      </c>
      <c r="BH2059" s="1" t="s">
        <v>71</v>
      </c>
    </row>
    <row r="2060" customFormat="false" ht="15" hidden="false" customHeight="false" outlineLevel="0" collapsed="false">
      <c r="A2060" s="1" t="s">
        <v>6990</v>
      </c>
      <c r="B2060" s="1" t="s">
        <v>6991</v>
      </c>
      <c r="C2060" s="1" t="s">
        <v>4818</v>
      </c>
      <c r="D2060" s="1" t="s">
        <v>4819</v>
      </c>
      <c r="E2060" s="1" t="s">
        <v>61</v>
      </c>
      <c r="F2060" s="1" t="s">
        <v>101</v>
      </c>
      <c r="G2060" s="1" t="s">
        <v>275</v>
      </c>
      <c r="H2060" s="1" t="s">
        <v>276</v>
      </c>
      <c r="K2060" s="1" t="s">
        <v>159</v>
      </c>
      <c r="L2060" s="1" t="s">
        <v>6957</v>
      </c>
      <c r="M2060" s="1" t="s">
        <v>6731</v>
      </c>
      <c r="N2060" s="1" t="s">
        <v>6979</v>
      </c>
      <c r="O2060" s="1" t="s">
        <v>6980</v>
      </c>
      <c r="P2060" s="1" t="s">
        <v>6981</v>
      </c>
      <c r="U2060" s="1" t="s">
        <v>6990</v>
      </c>
      <c r="Z2060" s="1" t="s">
        <v>71</v>
      </c>
      <c r="AE2060" s="1" t="s">
        <v>6976</v>
      </c>
      <c r="AH2060" s="1" t="s">
        <v>73</v>
      </c>
      <c r="AK2060" s="1" t="s">
        <v>71</v>
      </c>
      <c r="AM2060" s="1" t="s">
        <v>71</v>
      </c>
      <c r="AN2060" s="1" t="s">
        <v>71</v>
      </c>
      <c r="AS2060" s="1" t="s">
        <v>71</v>
      </c>
      <c r="AX2060" s="1" t="s">
        <v>71</v>
      </c>
      <c r="AY2060" s="1" t="s">
        <v>59</v>
      </c>
      <c r="AZ2060" s="1" t="s">
        <v>74</v>
      </c>
      <c r="BH2060" s="1" t="s">
        <v>71</v>
      </c>
    </row>
    <row r="2061" customFormat="false" ht="15" hidden="false" customHeight="false" outlineLevel="0" collapsed="false">
      <c r="A2061" s="1" t="s">
        <v>6992</v>
      </c>
      <c r="B2061" s="1" t="s">
        <v>6993</v>
      </c>
      <c r="C2061" s="1" t="s">
        <v>4818</v>
      </c>
      <c r="D2061" s="1" t="s">
        <v>4819</v>
      </c>
      <c r="E2061" s="1" t="s">
        <v>61</v>
      </c>
      <c r="F2061" s="1" t="s">
        <v>101</v>
      </c>
      <c r="G2061" s="1" t="s">
        <v>275</v>
      </c>
      <c r="H2061" s="1" t="s">
        <v>276</v>
      </c>
      <c r="K2061" s="1" t="s">
        <v>134</v>
      </c>
      <c r="L2061" s="1" t="s">
        <v>5443</v>
      </c>
      <c r="M2061" s="1" t="s">
        <v>278</v>
      </c>
      <c r="N2061" s="1" t="s">
        <v>1365</v>
      </c>
      <c r="O2061" s="1" t="s">
        <v>1366</v>
      </c>
      <c r="P2061" s="1" t="s">
        <v>4820</v>
      </c>
      <c r="U2061" s="1" t="s">
        <v>6992</v>
      </c>
      <c r="Z2061" s="1" t="s">
        <v>71</v>
      </c>
      <c r="AE2061" s="1" t="s">
        <v>6976</v>
      </c>
      <c r="AH2061" s="1" t="s">
        <v>73</v>
      </c>
      <c r="AK2061" s="1" t="s">
        <v>71</v>
      </c>
      <c r="AM2061" s="1" t="s">
        <v>71</v>
      </c>
      <c r="AN2061" s="1" t="s">
        <v>71</v>
      </c>
      <c r="AS2061" s="1" t="s">
        <v>71</v>
      </c>
      <c r="AX2061" s="1" t="s">
        <v>71</v>
      </c>
      <c r="AY2061" s="1" t="s">
        <v>59</v>
      </c>
      <c r="AZ2061" s="1" t="s">
        <v>74</v>
      </c>
      <c r="BH2061" s="1" t="s">
        <v>71</v>
      </c>
    </row>
    <row r="2062" customFormat="false" ht="15" hidden="false" customHeight="false" outlineLevel="0" collapsed="false">
      <c r="A2062" s="1" t="s">
        <v>6994</v>
      </c>
      <c r="B2062" s="1" t="s">
        <v>6995</v>
      </c>
      <c r="C2062" s="1" t="s">
        <v>4818</v>
      </c>
      <c r="D2062" s="1" t="s">
        <v>4819</v>
      </c>
      <c r="E2062" s="1" t="s">
        <v>61</v>
      </c>
      <c r="F2062" s="1" t="s">
        <v>101</v>
      </c>
      <c r="G2062" s="1" t="s">
        <v>275</v>
      </c>
      <c r="H2062" s="1" t="s">
        <v>276</v>
      </c>
      <c r="K2062" s="1" t="s">
        <v>157</v>
      </c>
      <c r="L2062" s="1" t="s">
        <v>1363</v>
      </c>
      <c r="M2062" s="1" t="s">
        <v>296</v>
      </c>
      <c r="N2062" s="1" t="s">
        <v>5824</v>
      </c>
      <c r="O2062" s="1" t="s">
        <v>5825</v>
      </c>
      <c r="P2062" s="1" t="s">
        <v>5826</v>
      </c>
      <c r="U2062" s="1" t="s">
        <v>6994</v>
      </c>
      <c r="Z2062" s="1" t="s">
        <v>71</v>
      </c>
      <c r="AE2062" s="1" t="s">
        <v>6976</v>
      </c>
      <c r="AH2062" s="1" t="s">
        <v>73</v>
      </c>
      <c r="AK2062" s="1" t="s">
        <v>71</v>
      </c>
      <c r="AM2062" s="1" t="s">
        <v>71</v>
      </c>
      <c r="AN2062" s="1" t="s">
        <v>71</v>
      </c>
      <c r="AS2062" s="1" t="s">
        <v>71</v>
      </c>
      <c r="AX2062" s="1" t="s">
        <v>71</v>
      </c>
      <c r="AY2062" s="1" t="s">
        <v>59</v>
      </c>
      <c r="AZ2062" s="1" t="s">
        <v>74</v>
      </c>
      <c r="BH2062" s="1" t="s">
        <v>71</v>
      </c>
    </row>
    <row r="2063" customFormat="false" ht="15" hidden="false" customHeight="false" outlineLevel="0" collapsed="false">
      <c r="A2063" s="1" t="s">
        <v>6996</v>
      </c>
      <c r="B2063" s="1" t="s">
        <v>6997</v>
      </c>
      <c r="C2063" s="1" t="s">
        <v>161</v>
      </c>
      <c r="D2063" s="1" t="s">
        <v>162</v>
      </c>
      <c r="E2063" s="1" t="s">
        <v>61</v>
      </c>
      <c r="F2063" s="1" t="s">
        <v>101</v>
      </c>
      <c r="G2063" s="1" t="s">
        <v>93</v>
      </c>
      <c r="H2063" s="1" t="s">
        <v>64</v>
      </c>
      <c r="K2063" s="1" t="s">
        <v>302</v>
      </c>
      <c r="L2063" s="1" t="s">
        <v>303</v>
      </c>
      <c r="M2063" s="1" t="s">
        <v>310</v>
      </c>
      <c r="N2063" s="1" t="s">
        <v>105</v>
      </c>
      <c r="O2063" s="1" t="s">
        <v>106</v>
      </c>
      <c r="P2063" s="1" t="s">
        <v>3539</v>
      </c>
      <c r="U2063" s="1" t="s">
        <v>6996</v>
      </c>
      <c r="Z2063" s="1" t="s">
        <v>71</v>
      </c>
      <c r="AE2063" s="1" t="s">
        <v>6998</v>
      </c>
      <c r="AH2063" s="1" t="s">
        <v>73</v>
      </c>
      <c r="AK2063" s="1" t="s">
        <v>71</v>
      </c>
      <c r="AM2063" s="1" t="s">
        <v>71</v>
      </c>
      <c r="AN2063" s="1" t="s">
        <v>71</v>
      </c>
      <c r="AS2063" s="1" t="s">
        <v>71</v>
      </c>
      <c r="AX2063" s="1" t="s">
        <v>71</v>
      </c>
      <c r="AY2063" s="1" t="s">
        <v>59</v>
      </c>
      <c r="AZ2063" s="1" t="s">
        <v>74</v>
      </c>
      <c r="BH2063" s="1" t="s">
        <v>71</v>
      </c>
    </row>
    <row r="2064" customFormat="false" ht="15" hidden="false" customHeight="false" outlineLevel="0" collapsed="false">
      <c r="A2064" s="1" t="s">
        <v>6999</v>
      </c>
      <c r="B2064" s="1" t="s">
        <v>7000</v>
      </c>
      <c r="C2064" s="1" t="s">
        <v>182</v>
      </c>
      <c r="D2064" s="1" t="s">
        <v>239</v>
      </c>
      <c r="E2064" s="1" t="s">
        <v>61</v>
      </c>
      <c r="F2064" s="1" t="s">
        <v>101</v>
      </c>
      <c r="G2064" s="1" t="s">
        <v>148</v>
      </c>
      <c r="H2064" s="1" t="s">
        <v>231</v>
      </c>
      <c r="K2064" s="1" t="s">
        <v>144</v>
      </c>
      <c r="L2064" s="1" t="s">
        <v>1654</v>
      </c>
      <c r="M2064" s="1" t="s">
        <v>242</v>
      </c>
      <c r="N2064" s="1" t="s">
        <v>243</v>
      </c>
      <c r="O2064" s="1" t="s">
        <v>244</v>
      </c>
      <c r="P2064" s="1" t="s">
        <v>3503</v>
      </c>
      <c r="U2064" s="1" t="s">
        <v>245</v>
      </c>
      <c r="Z2064" s="1" t="s">
        <v>71</v>
      </c>
      <c r="AE2064" s="1" t="s">
        <v>7001</v>
      </c>
      <c r="AH2064" s="1" t="s">
        <v>73</v>
      </c>
      <c r="AK2064" s="1" t="s">
        <v>71</v>
      </c>
      <c r="AM2064" s="1" t="s">
        <v>71</v>
      </c>
      <c r="AN2064" s="1" t="s">
        <v>71</v>
      </c>
      <c r="AS2064" s="1" t="s">
        <v>71</v>
      </c>
      <c r="AX2064" s="1" t="s">
        <v>71</v>
      </c>
      <c r="AY2064" s="1" t="s">
        <v>59</v>
      </c>
      <c r="AZ2064" s="1" t="s">
        <v>74</v>
      </c>
      <c r="BH2064" s="1" t="s">
        <v>71</v>
      </c>
    </row>
    <row r="2065" customFormat="false" ht="15" hidden="false" customHeight="false" outlineLevel="0" collapsed="false">
      <c r="A2065" s="1" t="s">
        <v>7002</v>
      </c>
      <c r="B2065" s="1" t="s">
        <v>7003</v>
      </c>
      <c r="C2065" s="1" t="s">
        <v>1855</v>
      </c>
      <c r="D2065" s="1" t="s">
        <v>6651</v>
      </c>
      <c r="E2065" s="1" t="s">
        <v>61</v>
      </c>
      <c r="F2065" s="1" t="s">
        <v>101</v>
      </c>
      <c r="G2065" s="1" t="s">
        <v>1772</v>
      </c>
      <c r="H2065" s="1" t="s">
        <v>6148</v>
      </c>
      <c r="K2065" s="1" t="s">
        <v>275</v>
      </c>
      <c r="L2065" s="1" t="s">
        <v>6652</v>
      </c>
      <c r="M2065" s="1" t="s">
        <v>258</v>
      </c>
      <c r="N2065" s="1" t="s">
        <v>6676</v>
      </c>
      <c r="O2065" s="1" t="s">
        <v>6677</v>
      </c>
      <c r="P2065" s="1" t="s">
        <v>6678</v>
      </c>
      <c r="U2065" s="1" t="s">
        <v>7002</v>
      </c>
      <c r="Z2065" s="1" t="s">
        <v>71</v>
      </c>
      <c r="AE2065" s="1" t="s">
        <v>7001</v>
      </c>
      <c r="AH2065" s="1" t="s">
        <v>73</v>
      </c>
      <c r="AK2065" s="1" t="s">
        <v>71</v>
      </c>
      <c r="AM2065" s="1" t="s">
        <v>71</v>
      </c>
      <c r="AN2065" s="1" t="s">
        <v>71</v>
      </c>
      <c r="AS2065" s="1" t="s">
        <v>71</v>
      </c>
      <c r="AX2065" s="1" t="s">
        <v>71</v>
      </c>
      <c r="AY2065" s="1" t="s">
        <v>59</v>
      </c>
      <c r="AZ2065" s="1" t="s">
        <v>74</v>
      </c>
      <c r="BH2065" s="1" t="s">
        <v>71</v>
      </c>
    </row>
    <row r="2066" customFormat="false" ht="15" hidden="false" customHeight="false" outlineLevel="0" collapsed="false">
      <c r="A2066" s="1" t="s">
        <v>7004</v>
      </c>
      <c r="B2066" s="1" t="s">
        <v>7005</v>
      </c>
      <c r="C2066" s="1" t="s">
        <v>1855</v>
      </c>
      <c r="D2066" s="1" t="s">
        <v>6651</v>
      </c>
      <c r="E2066" s="1" t="s">
        <v>61</v>
      </c>
      <c r="F2066" s="1" t="s">
        <v>101</v>
      </c>
      <c r="G2066" s="1" t="s">
        <v>1772</v>
      </c>
      <c r="H2066" s="1" t="s">
        <v>6148</v>
      </c>
      <c r="K2066" s="1" t="s">
        <v>275</v>
      </c>
      <c r="L2066" s="1" t="s">
        <v>6652</v>
      </c>
      <c r="M2066" s="1" t="s">
        <v>5063</v>
      </c>
      <c r="N2066" s="1" t="s">
        <v>6671</v>
      </c>
      <c r="O2066" s="1" t="s">
        <v>6672</v>
      </c>
      <c r="P2066" s="1" t="s">
        <v>6673</v>
      </c>
      <c r="U2066" s="1" t="s">
        <v>7004</v>
      </c>
      <c r="Z2066" s="1" t="s">
        <v>71</v>
      </c>
      <c r="AE2066" s="1" t="s">
        <v>7001</v>
      </c>
      <c r="AH2066" s="1" t="s">
        <v>73</v>
      </c>
      <c r="AK2066" s="1" t="s">
        <v>71</v>
      </c>
      <c r="AM2066" s="1" t="s">
        <v>71</v>
      </c>
      <c r="AN2066" s="1" t="s">
        <v>71</v>
      </c>
      <c r="AS2066" s="1" t="s">
        <v>71</v>
      </c>
      <c r="AX2066" s="1" t="s">
        <v>71</v>
      </c>
      <c r="AY2066" s="1" t="s">
        <v>59</v>
      </c>
      <c r="AZ2066" s="1" t="s">
        <v>74</v>
      </c>
      <c r="BH2066" s="1" t="s">
        <v>71</v>
      </c>
    </row>
    <row r="2067" customFormat="false" ht="15" hidden="false" customHeight="false" outlineLevel="0" collapsed="false">
      <c r="A2067" s="1" t="s">
        <v>7006</v>
      </c>
      <c r="B2067" s="1" t="s">
        <v>7007</v>
      </c>
      <c r="C2067" s="1" t="s">
        <v>182</v>
      </c>
      <c r="D2067" s="1" t="s">
        <v>239</v>
      </c>
      <c r="E2067" s="1" t="s">
        <v>61</v>
      </c>
      <c r="F2067" s="1" t="s">
        <v>101</v>
      </c>
      <c r="G2067" s="1" t="s">
        <v>275</v>
      </c>
      <c r="H2067" s="1" t="s">
        <v>276</v>
      </c>
      <c r="K2067" s="1" t="s">
        <v>2495</v>
      </c>
      <c r="L2067" s="1" t="s">
        <v>2496</v>
      </c>
      <c r="M2067" s="1" t="s">
        <v>374</v>
      </c>
      <c r="N2067" s="1" t="s">
        <v>5189</v>
      </c>
      <c r="O2067" s="1" t="s">
        <v>5190</v>
      </c>
      <c r="P2067" s="1" t="s">
        <v>5191</v>
      </c>
      <c r="U2067" s="1" t="s">
        <v>245</v>
      </c>
      <c r="Z2067" s="1" t="s">
        <v>71</v>
      </c>
      <c r="AE2067" s="1" t="s">
        <v>7008</v>
      </c>
      <c r="AH2067" s="1" t="s">
        <v>73</v>
      </c>
      <c r="AK2067" s="1" t="s">
        <v>71</v>
      </c>
      <c r="AM2067" s="1" t="s">
        <v>71</v>
      </c>
      <c r="AN2067" s="1" t="s">
        <v>71</v>
      </c>
      <c r="AS2067" s="1" t="s">
        <v>71</v>
      </c>
      <c r="AX2067" s="1" t="s">
        <v>71</v>
      </c>
      <c r="AY2067" s="1" t="s">
        <v>59</v>
      </c>
      <c r="AZ2067" s="1" t="s">
        <v>74</v>
      </c>
      <c r="BH2067" s="1" t="s">
        <v>71</v>
      </c>
    </row>
    <row r="2068" customFormat="false" ht="15" hidden="false" customHeight="false" outlineLevel="0" collapsed="false">
      <c r="A2068" s="1" t="s">
        <v>7009</v>
      </c>
      <c r="B2068" s="1" t="s">
        <v>7010</v>
      </c>
      <c r="C2068" s="1" t="s">
        <v>150</v>
      </c>
      <c r="D2068" s="1" t="s">
        <v>405</v>
      </c>
      <c r="E2068" s="1" t="s">
        <v>82</v>
      </c>
      <c r="F2068" s="1" t="s">
        <v>391</v>
      </c>
      <c r="G2068" s="1" t="s">
        <v>97</v>
      </c>
      <c r="H2068" s="1" t="s">
        <v>406</v>
      </c>
      <c r="K2068" s="1" t="s">
        <v>65</v>
      </c>
      <c r="L2068" s="1" t="s">
        <v>860</v>
      </c>
      <c r="M2068" s="1" t="s">
        <v>496</v>
      </c>
      <c r="N2068" s="1" t="s">
        <v>1881</v>
      </c>
      <c r="O2068" s="1" t="s">
        <v>1882</v>
      </c>
      <c r="P2068" s="1" t="s">
        <v>5314</v>
      </c>
      <c r="Z2068" s="1" t="s">
        <v>71</v>
      </c>
      <c r="AE2068" s="1" t="s">
        <v>7011</v>
      </c>
      <c r="AH2068" s="1" t="s">
        <v>73</v>
      </c>
      <c r="AK2068" s="1" t="s">
        <v>71</v>
      </c>
      <c r="AM2068" s="1" t="s">
        <v>71</v>
      </c>
      <c r="AN2068" s="1" t="s">
        <v>71</v>
      </c>
      <c r="AS2068" s="1" t="s">
        <v>71</v>
      </c>
      <c r="AX2068" s="1" t="s">
        <v>71</v>
      </c>
      <c r="BH2068" s="1" t="s">
        <v>71</v>
      </c>
    </row>
    <row r="2069" customFormat="false" ht="15" hidden="false" customHeight="false" outlineLevel="0" collapsed="false">
      <c r="A2069" s="1" t="s">
        <v>7012</v>
      </c>
      <c r="B2069" s="1" t="s">
        <v>7013</v>
      </c>
      <c r="C2069" s="1" t="s">
        <v>261</v>
      </c>
      <c r="D2069" s="1" t="s">
        <v>7014</v>
      </c>
      <c r="E2069" s="1" t="s">
        <v>61</v>
      </c>
      <c r="F2069" s="1" t="s">
        <v>101</v>
      </c>
      <c r="G2069" s="1" t="s">
        <v>108</v>
      </c>
      <c r="H2069" s="1" t="s">
        <v>1495</v>
      </c>
      <c r="K2069" s="1" t="s">
        <v>155</v>
      </c>
      <c r="L2069" s="1" t="s">
        <v>7015</v>
      </c>
      <c r="M2069" s="1" t="s">
        <v>7016</v>
      </c>
      <c r="N2069" s="1" t="s">
        <v>105</v>
      </c>
      <c r="O2069" s="1" t="s">
        <v>106</v>
      </c>
      <c r="P2069" s="1" t="s">
        <v>3539</v>
      </c>
      <c r="U2069" s="1" t="s">
        <v>7012</v>
      </c>
      <c r="Z2069" s="1" t="s">
        <v>71</v>
      </c>
      <c r="AE2069" s="1" t="s">
        <v>7017</v>
      </c>
      <c r="AH2069" s="1" t="s">
        <v>73</v>
      </c>
      <c r="AK2069" s="1" t="s">
        <v>71</v>
      </c>
      <c r="AM2069" s="1" t="s">
        <v>71</v>
      </c>
      <c r="AN2069" s="1" t="s">
        <v>71</v>
      </c>
      <c r="AS2069" s="1" t="s">
        <v>71</v>
      </c>
      <c r="AX2069" s="1" t="s">
        <v>71</v>
      </c>
      <c r="AY2069" s="1" t="s">
        <v>59</v>
      </c>
      <c r="AZ2069" s="1" t="s">
        <v>74</v>
      </c>
      <c r="BH2069" s="1" t="s">
        <v>71</v>
      </c>
    </row>
    <row r="2070" customFormat="false" ht="15" hidden="false" customHeight="false" outlineLevel="0" collapsed="false">
      <c r="A2070" s="1" t="s">
        <v>7018</v>
      </c>
      <c r="B2070" s="1" t="s">
        <v>7019</v>
      </c>
      <c r="C2070" s="1" t="s">
        <v>161</v>
      </c>
      <c r="D2070" s="1" t="s">
        <v>162</v>
      </c>
      <c r="E2070" s="1" t="s">
        <v>61</v>
      </c>
      <c r="F2070" s="1" t="s">
        <v>101</v>
      </c>
      <c r="G2070" s="1" t="s">
        <v>108</v>
      </c>
      <c r="H2070" s="1" t="s">
        <v>1495</v>
      </c>
      <c r="K2070" s="1" t="s">
        <v>155</v>
      </c>
      <c r="L2070" s="1" t="s">
        <v>7015</v>
      </c>
      <c r="M2070" s="1" t="s">
        <v>7016</v>
      </c>
      <c r="N2070" s="1" t="s">
        <v>105</v>
      </c>
      <c r="O2070" s="1" t="s">
        <v>106</v>
      </c>
      <c r="P2070" s="1" t="s">
        <v>3539</v>
      </c>
      <c r="U2070" s="1" t="s">
        <v>7018</v>
      </c>
      <c r="Z2070" s="1" t="s">
        <v>71</v>
      </c>
      <c r="AE2070" s="1" t="s">
        <v>7017</v>
      </c>
      <c r="AH2070" s="1" t="s">
        <v>73</v>
      </c>
      <c r="AK2070" s="1" t="s">
        <v>71</v>
      </c>
      <c r="AM2070" s="1" t="s">
        <v>71</v>
      </c>
      <c r="AN2070" s="1" t="s">
        <v>71</v>
      </c>
      <c r="AS2070" s="1" t="s">
        <v>71</v>
      </c>
      <c r="AX2070" s="1" t="s">
        <v>71</v>
      </c>
      <c r="AY2070" s="1" t="s">
        <v>59</v>
      </c>
      <c r="AZ2070" s="1" t="s">
        <v>74</v>
      </c>
      <c r="BH2070" s="1" t="s">
        <v>71</v>
      </c>
    </row>
    <row r="2071" customFormat="false" ht="15" hidden="false" customHeight="false" outlineLevel="0" collapsed="false">
      <c r="A2071" s="1" t="s">
        <v>7020</v>
      </c>
      <c r="B2071" s="1" t="s">
        <v>7021</v>
      </c>
      <c r="C2071" s="1" t="s">
        <v>161</v>
      </c>
      <c r="D2071" s="1" t="s">
        <v>162</v>
      </c>
      <c r="E2071" s="1" t="s">
        <v>61</v>
      </c>
      <c r="F2071" s="1" t="s">
        <v>101</v>
      </c>
      <c r="G2071" s="1" t="s">
        <v>108</v>
      </c>
      <c r="H2071" s="1" t="s">
        <v>1495</v>
      </c>
      <c r="K2071" s="1" t="s">
        <v>155</v>
      </c>
      <c r="L2071" s="1" t="s">
        <v>7015</v>
      </c>
      <c r="M2071" s="1" t="s">
        <v>7016</v>
      </c>
      <c r="N2071" s="1" t="s">
        <v>105</v>
      </c>
      <c r="O2071" s="1" t="s">
        <v>106</v>
      </c>
      <c r="P2071" s="1" t="s">
        <v>3539</v>
      </c>
      <c r="U2071" s="1" t="s">
        <v>7020</v>
      </c>
      <c r="Z2071" s="1" t="s">
        <v>71</v>
      </c>
      <c r="AE2071" s="1" t="s">
        <v>7017</v>
      </c>
      <c r="AH2071" s="1" t="s">
        <v>73</v>
      </c>
      <c r="AK2071" s="1" t="s">
        <v>71</v>
      </c>
      <c r="AM2071" s="1" t="s">
        <v>71</v>
      </c>
      <c r="AN2071" s="1" t="s">
        <v>71</v>
      </c>
      <c r="AS2071" s="1" t="s">
        <v>71</v>
      </c>
      <c r="AX2071" s="1" t="s">
        <v>71</v>
      </c>
      <c r="AY2071" s="1" t="s">
        <v>59</v>
      </c>
      <c r="AZ2071" s="1" t="s">
        <v>74</v>
      </c>
      <c r="BH2071" s="1" t="s">
        <v>71</v>
      </c>
    </row>
    <row r="2072" customFormat="false" ht="15" hidden="false" customHeight="false" outlineLevel="0" collapsed="false">
      <c r="A2072" s="1" t="s">
        <v>7022</v>
      </c>
      <c r="B2072" s="1" t="s">
        <v>7023</v>
      </c>
      <c r="C2072" s="1" t="s">
        <v>1988</v>
      </c>
      <c r="D2072" s="1" t="s">
        <v>7024</v>
      </c>
      <c r="E2072" s="1" t="s">
        <v>61</v>
      </c>
      <c r="F2072" s="1" t="s">
        <v>101</v>
      </c>
      <c r="G2072" s="1" t="s">
        <v>275</v>
      </c>
      <c r="H2072" s="1" t="s">
        <v>276</v>
      </c>
      <c r="K2072" s="1" t="s">
        <v>2495</v>
      </c>
      <c r="L2072" s="1" t="s">
        <v>2496</v>
      </c>
      <c r="M2072" s="1" t="s">
        <v>5580</v>
      </c>
      <c r="N2072" s="1" t="s">
        <v>279</v>
      </c>
      <c r="O2072" s="1" t="s">
        <v>280</v>
      </c>
      <c r="P2072" s="1" t="s">
        <v>4895</v>
      </c>
      <c r="U2072" s="1" t="s">
        <v>7022</v>
      </c>
      <c r="Z2072" s="1" t="s">
        <v>71</v>
      </c>
      <c r="AE2072" s="1" t="s">
        <v>7017</v>
      </c>
      <c r="AH2072" s="1" t="s">
        <v>73</v>
      </c>
      <c r="AK2072" s="1" t="s">
        <v>71</v>
      </c>
      <c r="AM2072" s="1" t="s">
        <v>71</v>
      </c>
      <c r="AN2072" s="1" t="s">
        <v>71</v>
      </c>
      <c r="AS2072" s="1" t="s">
        <v>71</v>
      </c>
      <c r="AX2072" s="1" t="s">
        <v>71</v>
      </c>
      <c r="AY2072" s="1" t="s">
        <v>59</v>
      </c>
      <c r="AZ2072" s="1" t="s">
        <v>74</v>
      </c>
      <c r="BH2072" s="1" t="s">
        <v>71</v>
      </c>
    </row>
    <row r="2073" customFormat="false" ht="15" hidden="false" customHeight="false" outlineLevel="0" collapsed="false">
      <c r="A2073" s="1" t="s">
        <v>7025</v>
      </c>
      <c r="B2073" s="1" t="s">
        <v>7026</v>
      </c>
      <c r="C2073" s="1" t="s">
        <v>1988</v>
      </c>
      <c r="D2073" s="1" t="s">
        <v>7024</v>
      </c>
      <c r="E2073" s="1" t="s">
        <v>61</v>
      </c>
      <c r="F2073" s="1" t="s">
        <v>101</v>
      </c>
      <c r="G2073" s="1" t="s">
        <v>275</v>
      </c>
      <c r="H2073" s="1" t="s">
        <v>276</v>
      </c>
      <c r="K2073" s="1" t="s">
        <v>2495</v>
      </c>
      <c r="L2073" s="1" t="s">
        <v>2496</v>
      </c>
      <c r="M2073" s="1" t="s">
        <v>5580</v>
      </c>
      <c r="N2073" s="1" t="s">
        <v>279</v>
      </c>
      <c r="O2073" s="1" t="s">
        <v>280</v>
      </c>
      <c r="P2073" s="1" t="s">
        <v>4895</v>
      </c>
      <c r="U2073" s="1" t="s">
        <v>7025</v>
      </c>
      <c r="Z2073" s="1" t="s">
        <v>71</v>
      </c>
      <c r="AE2073" s="1" t="s">
        <v>7017</v>
      </c>
      <c r="AH2073" s="1" t="s">
        <v>73</v>
      </c>
      <c r="AK2073" s="1" t="s">
        <v>71</v>
      </c>
      <c r="AM2073" s="1" t="s">
        <v>71</v>
      </c>
      <c r="AN2073" s="1" t="s">
        <v>71</v>
      </c>
      <c r="AS2073" s="1" t="s">
        <v>71</v>
      </c>
      <c r="AX2073" s="1" t="s">
        <v>71</v>
      </c>
      <c r="AY2073" s="1" t="s">
        <v>59</v>
      </c>
      <c r="AZ2073" s="1" t="s">
        <v>74</v>
      </c>
      <c r="BH2073" s="1" t="s">
        <v>71</v>
      </c>
    </row>
    <row r="2074" customFormat="false" ht="15" hidden="false" customHeight="false" outlineLevel="0" collapsed="false">
      <c r="A2074" s="1" t="s">
        <v>7027</v>
      </c>
      <c r="B2074" s="1" t="s">
        <v>7028</v>
      </c>
      <c r="C2074" s="1" t="s">
        <v>1988</v>
      </c>
      <c r="D2074" s="1" t="s">
        <v>7024</v>
      </c>
      <c r="E2074" s="1" t="s">
        <v>61</v>
      </c>
      <c r="F2074" s="1" t="s">
        <v>101</v>
      </c>
      <c r="G2074" s="1" t="s">
        <v>275</v>
      </c>
      <c r="H2074" s="1" t="s">
        <v>276</v>
      </c>
      <c r="K2074" s="1" t="s">
        <v>2495</v>
      </c>
      <c r="L2074" s="1" t="s">
        <v>2496</v>
      </c>
      <c r="M2074" s="1" t="s">
        <v>5580</v>
      </c>
      <c r="N2074" s="1" t="s">
        <v>279</v>
      </c>
      <c r="O2074" s="1" t="s">
        <v>280</v>
      </c>
      <c r="P2074" s="1" t="s">
        <v>4895</v>
      </c>
      <c r="U2074" s="1" t="s">
        <v>7027</v>
      </c>
      <c r="Z2074" s="1" t="s">
        <v>71</v>
      </c>
      <c r="AE2074" s="1" t="s">
        <v>7017</v>
      </c>
      <c r="AH2074" s="1" t="s">
        <v>73</v>
      </c>
      <c r="AK2074" s="1" t="s">
        <v>71</v>
      </c>
      <c r="AM2074" s="1" t="s">
        <v>71</v>
      </c>
      <c r="AN2074" s="1" t="s">
        <v>71</v>
      </c>
      <c r="AS2074" s="1" t="s">
        <v>71</v>
      </c>
      <c r="AX2074" s="1" t="s">
        <v>71</v>
      </c>
      <c r="AY2074" s="1" t="s">
        <v>59</v>
      </c>
      <c r="AZ2074" s="1" t="s">
        <v>74</v>
      </c>
      <c r="BH2074" s="1" t="s">
        <v>71</v>
      </c>
    </row>
    <row r="2075" customFormat="false" ht="15" hidden="false" customHeight="false" outlineLevel="0" collapsed="false">
      <c r="A2075" s="1" t="s">
        <v>7029</v>
      </c>
      <c r="B2075" s="1" t="s">
        <v>7030</v>
      </c>
      <c r="C2075" s="1" t="s">
        <v>161</v>
      </c>
      <c r="D2075" s="1" t="s">
        <v>162</v>
      </c>
      <c r="E2075" s="1" t="s">
        <v>61</v>
      </c>
      <c r="F2075" s="1" t="s">
        <v>101</v>
      </c>
      <c r="G2075" s="1" t="s">
        <v>130</v>
      </c>
      <c r="H2075" s="1" t="s">
        <v>5179</v>
      </c>
      <c r="K2075" s="1" t="s">
        <v>5180</v>
      </c>
      <c r="L2075" s="1" t="s">
        <v>5181</v>
      </c>
      <c r="M2075" s="1" t="s">
        <v>1555</v>
      </c>
      <c r="N2075" s="1" t="s">
        <v>105</v>
      </c>
      <c r="O2075" s="1" t="s">
        <v>106</v>
      </c>
      <c r="P2075" s="1" t="s">
        <v>3539</v>
      </c>
      <c r="U2075" s="1" t="s">
        <v>7029</v>
      </c>
      <c r="Z2075" s="1" t="s">
        <v>71</v>
      </c>
      <c r="AE2075" s="1" t="s">
        <v>7031</v>
      </c>
      <c r="AH2075" s="1" t="s">
        <v>73</v>
      </c>
      <c r="AK2075" s="1" t="s">
        <v>71</v>
      </c>
      <c r="AM2075" s="1" t="s">
        <v>71</v>
      </c>
      <c r="AN2075" s="1" t="s">
        <v>71</v>
      </c>
      <c r="AS2075" s="1" t="s">
        <v>71</v>
      </c>
      <c r="AX2075" s="1" t="s">
        <v>71</v>
      </c>
      <c r="AY2075" s="1" t="s">
        <v>59</v>
      </c>
      <c r="AZ2075" s="1" t="s">
        <v>74</v>
      </c>
      <c r="BH2075" s="1" t="s">
        <v>71</v>
      </c>
    </row>
    <row r="2076" customFormat="false" ht="15" hidden="false" customHeight="false" outlineLevel="0" collapsed="false">
      <c r="A2076" s="1" t="s">
        <v>7032</v>
      </c>
      <c r="B2076" s="1" t="s">
        <v>7033</v>
      </c>
      <c r="C2076" s="1" t="s">
        <v>161</v>
      </c>
      <c r="D2076" s="1" t="s">
        <v>162</v>
      </c>
      <c r="E2076" s="1" t="s">
        <v>61</v>
      </c>
      <c r="F2076" s="1" t="s">
        <v>101</v>
      </c>
      <c r="G2076" s="1" t="s">
        <v>93</v>
      </c>
      <c r="H2076" s="1" t="s">
        <v>64</v>
      </c>
      <c r="K2076" s="1" t="s">
        <v>304</v>
      </c>
      <c r="L2076" s="1" t="s">
        <v>7034</v>
      </c>
      <c r="M2076" s="1" t="s">
        <v>104</v>
      </c>
      <c r="N2076" s="1" t="s">
        <v>1177</v>
      </c>
      <c r="O2076" s="1" t="s">
        <v>1178</v>
      </c>
      <c r="P2076" s="1" t="s">
        <v>4732</v>
      </c>
      <c r="U2076" s="1" t="s">
        <v>7032</v>
      </c>
      <c r="Z2076" s="1" t="s">
        <v>71</v>
      </c>
      <c r="AE2076" s="1" t="s">
        <v>7031</v>
      </c>
      <c r="AH2076" s="1" t="s">
        <v>73</v>
      </c>
      <c r="AK2076" s="1" t="s">
        <v>71</v>
      </c>
      <c r="AM2076" s="1" t="s">
        <v>71</v>
      </c>
      <c r="AN2076" s="1" t="s">
        <v>71</v>
      </c>
      <c r="AS2076" s="1" t="s">
        <v>71</v>
      </c>
      <c r="AX2076" s="1" t="s">
        <v>71</v>
      </c>
      <c r="AY2076" s="1" t="s">
        <v>59</v>
      </c>
      <c r="AZ2076" s="1" t="s">
        <v>74</v>
      </c>
      <c r="BH2076" s="1" t="s">
        <v>71</v>
      </c>
    </row>
    <row r="2077" customFormat="false" ht="15" hidden="false" customHeight="false" outlineLevel="0" collapsed="false">
      <c r="A2077" s="1" t="s">
        <v>7035</v>
      </c>
      <c r="B2077" s="1" t="s">
        <v>7036</v>
      </c>
      <c r="C2077" s="1" t="s">
        <v>182</v>
      </c>
      <c r="D2077" s="1" t="s">
        <v>239</v>
      </c>
      <c r="E2077" s="1" t="s">
        <v>61</v>
      </c>
      <c r="F2077" s="1" t="s">
        <v>101</v>
      </c>
      <c r="G2077" s="1" t="s">
        <v>108</v>
      </c>
      <c r="H2077" s="1" t="s">
        <v>1495</v>
      </c>
      <c r="K2077" s="1" t="s">
        <v>155</v>
      </c>
      <c r="L2077" s="1" t="s">
        <v>7015</v>
      </c>
      <c r="M2077" s="1" t="s">
        <v>5738</v>
      </c>
      <c r="N2077" s="1" t="s">
        <v>5709</v>
      </c>
      <c r="O2077" s="1" t="s">
        <v>5710</v>
      </c>
      <c r="P2077" s="1" t="s">
        <v>5711</v>
      </c>
      <c r="U2077" s="1" t="s">
        <v>6794</v>
      </c>
      <c r="Z2077" s="1" t="s">
        <v>71</v>
      </c>
      <c r="AE2077" s="1" t="s">
        <v>7037</v>
      </c>
      <c r="AH2077" s="1" t="s">
        <v>73</v>
      </c>
      <c r="AK2077" s="1" t="s">
        <v>71</v>
      </c>
      <c r="AM2077" s="1" t="s">
        <v>71</v>
      </c>
      <c r="AN2077" s="1" t="s">
        <v>71</v>
      </c>
      <c r="AS2077" s="1" t="s">
        <v>71</v>
      </c>
      <c r="AX2077" s="1" t="s">
        <v>71</v>
      </c>
      <c r="AY2077" s="1" t="s">
        <v>59</v>
      </c>
      <c r="AZ2077" s="1" t="s">
        <v>74</v>
      </c>
      <c r="BH2077" s="1" t="s">
        <v>71</v>
      </c>
    </row>
    <row r="2078" customFormat="false" ht="15" hidden="false" customHeight="false" outlineLevel="0" collapsed="false">
      <c r="A2078" s="1" t="s">
        <v>7038</v>
      </c>
      <c r="B2078" s="1" t="s">
        <v>7039</v>
      </c>
      <c r="C2078" s="1" t="s">
        <v>161</v>
      </c>
      <c r="D2078" s="1" t="s">
        <v>162</v>
      </c>
      <c r="E2078" s="1" t="s">
        <v>61</v>
      </c>
      <c r="F2078" s="1" t="s">
        <v>101</v>
      </c>
      <c r="G2078" s="1" t="s">
        <v>93</v>
      </c>
      <c r="H2078" s="1" t="s">
        <v>64</v>
      </c>
      <c r="K2078" s="1" t="s">
        <v>163</v>
      </c>
      <c r="L2078" s="1" t="s">
        <v>164</v>
      </c>
      <c r="M2078" s="1" t="s">
        <v>104</v>
      </c>
      <c r="N2078" s="1" t="s">
        <v>166</v>
      </c>
      <c r="O2078" s="1" t="s">
        <v>167</v>
      </c>
      <c r="P2078" s="1" t="s">
        <v>4462</v>
      </c>
      <c r="U2078" s="1" t="s">
        <v>7038</v>
      </c>
      <c r="Z2078" s="1" t="s">
        <v>71</v>
      </c>
      <c r="AE2078" s="1" t="s">
        <v>7040</v>
      </c>
      <c r="AH2078" s="1" t="s">
        <v>73</v>
      </c>
      <c r="AK2078" s="1" t="s">
        <v>71</v>
      </c>
      <c r="AM2078" s="1" t="s">
        <v>71</v>
      </c>
      <c r="AN2078" s="1" t="s">
        <v>71</v>
      </c>
      <c r="AS2078" s="1" t="s">
        <v>71</v>
      </c>
      <c r="AX2078" s="1" t="s">
        <v>71</v>
      </c>
      <c r="AY2078" s="1" t="s">
        <v>59</v>
      </c>
      <c r="AZ2078" s="1" t="s">
        <v>74</v>
      </c>
      <c r="BH2078" s="1" t="s">
        <v>71</v>
      </c>
    </row>
    <row r="2079" customFormat="false" ht="15" hidden="false" customHeight="false" outlineLevel="0" collapsed="false">
      <c r="A2079" s="1" t="s">
        <v>7041</v>
      </c>
      <c r="B2079" s="1" t="s">
        <v>7042</v>
      </c>
      <c r="C2079" s="1" t="s">
        <v>161</v>
      </c>
      <c r="D2079" s="1" t="s">
        <v>162</v>
      </c>
      <c r="E2079" s="1" t="s">
        <v>61</v>
      </c>
      <c r="F2079" s="1" t="s">
        <v>101</v>
      </c>
      <c r="G2079" s="1" t="s">
        <v>93</v>
      </c>
      <c r="H2079" s="1" t="s">
        <v>64</v>
      </c>
      <c r="K2079" s="1" t="s">
        <v>224</v>
      </c>
      <c r="L2079" s="1" t="s">
        <v>225</v>
      </c>
      <c r="M2079" s="1" t="s">
        <v>122</v>
      </c>
      <c r="N2079" s="1" t="s">
        <v>105</v>
      </c>
      <c r="O2079" s="1" t="s">
        <v>106</v>
      </c>
      <c r="P2079" s="1" t="s">
        <v>3539</v>
      </c>
      <c r="U2079" s="1" t="s">
        <v>7041</v>
      </c>
      <c r="Z2079" s="1" t="s">
        <v>71</v>
      </c>
      <c r="AE2079" s="1" t="s">
        <v>7040</v>
      </c>
      <c r="AH2079" s="1" t="s">
        <v>73</v>
      </c>
      <c r="AK2079" s="1" t="s">
        <v>71</v>
      </c>
      <c r="AM2079" s="1" t="s">
        <v>71</v>
      </c>
      <c r="AN2079" s="1" t="s">
        <v>71</v>
      </c>
      <c r="AS2079" s="1" t="s">
        <v>71</v>
      </c>
      <c r="AX2079" s="1" t="s">
        <v>71</v>
      </c>
      <c r="AY2079" s="1" t="s">
        <v>59</v>
      </c>
      <c r="AZ2079" s="1" t="s">
        <v>74</v>
      </c>
      <c r="BH2079" s="1" t="s">
        <v>71</v>
      </c>
    </row>
    <row r="2080" customFormat="false" ht="15" hidden="false" customHeight="false" outlineLevel="0" collapsed="false">
      <c r="A2080" s="1" t="s">
        <v>7043</v>
      </c>
      <c r="B2080" s="1" t="s">
        <v>7044</v>
      </c>
      <c r="C2080" s="1" t="s">
        <v>182</v>
      </c>
      <c r="D2080" s="1" t="s">
        <v>239</v>
      </c>
      <c r="E2080" s="1" t="s">
        <v>61</v>
      </c>
      <c r="F2080" s="1" t="s">
        <v>101</v>
      </c>
      <c r="G2080" s="1" t="s">
        <v>108</v>
      </c>
      <c r="H2080" s="1" t="s">
        <v>1495</v>
      </c>
      <c r="K2080" s="1" t="s">
        <v>201</v>
      </c>
      <c r="L2080" s="1" t="s">
        <v>7045</v>
      </c>
      <c r="M2080" s="1" t="s">
        <v>7046</v>
      </c>
      <c r="N2080" s="1" t="s">
        <v>5941</v>
      </c>
      <c r="O2080" s="1" t="s">
        <v>5942</v>
      </c>
      <c r="P2080" s="1" t="s">
        <v>5943</v>
      </c>
      <c r="U2080" s="1" t="s">
        <v>6794</v>
      </c>
      <c r="Z2080" s="1" t="s">
        <v>71</v>
      </c>
      <c r="AE2080" s="1" t="s">
        <v>7040</v>
      </c>
      <c r="AH2080" s="1" t="s">
        <v>73</v>
      </c>
      <c r="AK2080" s="1" t="s">
        <v>71</v>
      </c>
      <c r="AM2080" s="1" t="s">
        <v>71</v>
      </c>
      <c r="AN2080" s="1" t="s">
        <v>71</v>
      </c>
      <c r="AS2080" s="1" t="s">
        <v>71</v>
      </c>
      <c r="AX2080" s="1" t="s">
        <v>71</v>
      </c>
      <c r="AY2080" s="1" t="s">
        <v>59</v>
      </c>
      <c r="AZ2080" s="1" t="s">
        <v>74</v>
      </c>
      <c r="BH2080" s="1" t="s">
        <v>71</v>
      </c>
    </row>
    <row r="2081" customFormat="false" ht="15" hidden="false" customHeight="false" outlineLevel="0" collapsed="false">
      <c r="A2081" s="1" t="s">
        <v>7047</v>
      </c>
      <c r="B2081" s="1" t="s">
        <v>7048</v>
      </c>
      <c r="C2081" s="1" t="s">
        <v>182</v>
      </c>
      <c r="D2081" s="1" t="s">
        <v>239</v>
      </c>
      <c r="E2081" s="1" t="s">
        <v>61</v>
      </c>
      <c r="F2081" s="1" t="s">
        <v>101</v>
      </c>
      <c r="G2081" s="1" t="s">
        <v>275</v>
      </c>
      <c r="H2081" s="1" t="s">
        <v>276</v>
      </c>
      <c r="K2081" s="1" t="s">
        <v>126</v>
      </c>
      <c r="L2081" s="1" t="s">
        <v>4894</v>
      </c>
      <c r="M2081" s="1" t="s">
        <v>278</v>
      </c>
      <c r="N2081" s="1" t="s">
        <v>5904</v>
      </c>
      <c r="O2081" s="1" t="s">
        <v>5905</v>
      </c>
      <c r="P2081" s="1" t="s">
        <v>5906</v>
      </c>
      <c r="U2081" s="1" t="s">
        <v>245</v>
      </c>
      <c r="Z2081" s="1" t="s">
        <v>71</v>
      </c>
      <c r="AE2081" s="1" t="s">
        <v>7049</v>
      </c>
      <c r="AH2081" s="1" t="s">
        <v>73</v>
      </c>
      <c r="AK2081" s="1" t="s">
        <v>71</v>
      </c>
      <c r="AM2081" s="1" t="s">
        <v>71</v>
      </c>
      <c r="AN2081" s="1" t="s">
        <v>71</v>
      </c>
      <c r="AS2081" s="1" t="s">
        <v>71</v>
      </c>
      <c r="AX2081" s="1" t="s">
        <v>71</v>
      </c>
      <c r="AY2081" s="1" t="s">
        <v>59</v>
      </c>
      <c r="AZ2081" s="1" t="s">
        <v>74</v>
      </c>
      <c r="BH2081" s="1" t="s">
        <v>71</v>
      </c>
    </row>
    <row r="2082" customFormat="false" ht="15" hidden="false" customHeight="false" outlineLevel="0" collapsed="false">
      <c r="A2082" s="1" t="s">
        <v>7050</v>
      </c>
      <c r="B2082" s="1" t="s">
        <v>7051</v>
      </c>
      <c r="C2082" s="1" t="s">
        <v>161</v>
      </c>
      <c r="D2082" s="1" t="s">
        <v>162</v>
      </c>
      <c r="E2082" s="1" t="s">
        <v>61</v>
      </c>
      <c r="F2082" s="1" t="s">
        <v>101</v>
      </c>
      <c r="G2082" s="1" t="s">
        <v>130</v>
      </c>
      <c r="H2082" s="1" t="s">
        <v>5179</v>
      </c>
      <c r="K2082" s="1" t="s">
        <v>6035</v>
      </c>
      <c r="L2082" s="1" t="s">
        <v>6036</v>
      </c>
      <c r="M2082" s="1" t="s">
        <v>122</v>
      </c>
      <c r="N2082" s="1" t="s">
        <v>105</v>
      </c>
      <c r="O2082" s="1" t="s">
        <v>106</v>
      </c>
      <c r="P2082" s="1" t="s">
        <v>3539</v>
      </c>
      <c r="U2082" s="1" t="s">
        <v>7050</v>
      </c>
      <c r="Z2082" s="1" t="s">
        <v>71</v>
      </c>
      <c r="AE2082" s="1" t="s">
        <v>7052</v>
      </c>
      <c r="AH2082" s="1" t="s">
        <v>73</v>
      </c>
      <c r="AK2082" s="1" t="s">
        <v>71</v>
      </c>
      <c r="AM2082" s="1" t="s">
        <v>71</v>
      </c>
      <c r="AN2082" s="1" t="s">
        <v>71</v>
      </c>
      <c r="AS2082" s="1" t="s">
        <v>71</v>
      </c>
      <c r="AX2082" s="1" t="s">
        <v>71</v>
      </c>
      <c r="AY2082" s="1" t="s">
        <v>59</v>
      </c>
      <c r="AZ2082" s="1" t="s">
        <v>74</v>
      </c>
      <c r="BH2082" s="1" t="s">
        <v>71</v>
      </c>
    </row>
    <row r="2083" customFormat="false" ht="15" hidden="false" customHeight="false" outlineLevel="0" collapsed="false">
      <c r="A2083" s="1" t="s">
        <v>7053</v>
      </c>
      <c r="B2083" s="1" t="s">
        <v>7054</v>
      </c>
      <c r="C2083" s="1" t="s">
        <v>1795</v>
      </c>
      <c r="D2083" s="1" t="s">
        <v>6570</v>
      </c>
      <c r="E2083" s="1" t="s">
        <v>82</v>
      </c>
      <c r="F2083" s="1" t="s">
        <v>391</v>
      </c>
      <c r="G2083" s="1" t="s">
        <v>97</v>
      </c>
      <c r="H2083" s="1" t="s">
        <v>406</v>
      </c>
      <c r="K2083" s="1" t="s">
        <v>453</v>
      </c>
      <c r="L2083" s="1" t="s">
        <v>454</v>
      </c>
      <c r="M2083" s="1" t="s">
        <v>496</v>
      </c>
      <c r="N2083" s="1" t="s">
        <v>1049</v>
      </c>
      <c r="O2083" s="1" t="s">
        <v>400</v>
      </c>
      <c r="P2083" s="1" t="s">
        <v>4213</v>
      </c>
      <c r="Z2083" s="1" t="s">
        <v>71</v>
      </c>
      <c r="AE2083" s="1" t="s">
        <v>7052</v>
      </c>
      <c r="AH2083" s="1" t="s">
        <v>73</v>
      </c>
      <c r="AK2083" s="1" t="s">
        <v>71</v>
      </c>
      <c r="AM2083" s="1" t="s">
        <v>71</v>
      </c>
      <c r="AN2083" s="1" t="s">
        <v>71</v>
      </c>
      <c r="AS2083" s="1" t="s">
        <v>71</v>
      </c>
      <c r="AX2083" s="1" t="s">
        <v>71</v>
      </c>
      <c r="BH2083" s="1" t="s">
        <v>71</v>
      </c>
    </row>
    <row r="2084" customFormat="false" ht="15" hidden="false" customHeight="false" outlineLevel="0" collapsed="false">
      <c r="A2084" s="1" t="s">
        <v>7055</v>
      </c>
      <c r="B2084" s="1" t="s">
        <v>7056</v>
      </c>
      <c r="C2084" s="1" t="s">
        <v>182</v>
      </c>
      <c r="D2084" s="1" t="s">
        <v>239</v>
      </c>
      <c r="E2084" s="1" t="s">
        <v>61</v>
      </c>
      <c r="F2084" s="1" t="s">
        <v>101</v>
      </c>
      <c r="G2084" s="1" t="s">
        <v>275</v>
      </c>
      <c r="H2084" s="1" t="s">
        <v>276</v>
      </c>
      <c r="K2084" s="1" t="s">
        <v>142</v>
      </c>
      <c r="L2084" s="1" t="s">
        <v>295</v>
      </c>
      <c r="M2084" s="1" t="s">
        <v>258</v>
      </c>
      <c r="N2084" s="1" t="s">
        <v>1470</v>
      </c>
      <c r="O2084" s="1" t="s">
        <v>1471</v>
      </c>
      <c r="P2084" s="1" t="s">
        <v>4824</v>
      </c>
      <c r="U2084" s="1" t="s">
        <v>245</v>
      </c>
      <c r="Z2084" s="1" t="s">
        <v>71</v>
      </c>
      <c r="AE2084" s="1" t="s">
        <v>7057</v>
      </c>
      <c r="AH2084" s="1" t="s">
        <v>73</v>
      </c>
      <c r="AK2084" s="1" t="s">
        <v>71</v>
      </c>
      <c r="AM2084" s="1" t="s">
        <v>71</v>
      </c>
      <c r="AN2084" s="1" t="s">
        <v>71</v>
      </c>
      <c r="AS2084" s="1" t="s">
        <v>71</v>
      </c>
      <c r="AX2084" s="1" t="s">
        <v>71</v>
      </c>
      <c r="AY2084" s="1" t="s">
        <v>59</v>
      </c>
      <c r="AZ2084" s="1" t="s">
        <v>74</v>
      </c>
      <c r="BH2084" s="1" t="s">
        <v>71</v>
      </c>
    </row>
    <row r="2085" customFormat="false" ht="15" hidden="false" customHeight="false" outlineLevel="0" collapsed="false">
      <c r="A2085" s="1" t="s">
        <v>7058</v>
      </c>
      <c r="B2085" s="1" t="s">
        <v>7059</v>
      </c>
      <c r="C2085" s="1" t="s">
        <v>2001</v>
      </c>
      <c r="D2085" s="1" t="s">
        <v>7060</v>
      </c>
      <c r="E2085" s="1" t="s">
        <v>65</v>
      </c>
      <c r="F2085" s="1" t="s">
        <v>119</v>
      </c>
      <c r="G2085" s="1" t="s">
        <v>65</v>
      </c>
      <c r="H2085" s="1" t="s">
        <v>64</v>
      </c>
      <c r="K2085" s="1" t="s">
        <v>2495</v>
      </c>
      <c r="L2085" s="1" t="s">
        <v>7061</v>
      </c>
      <c r="M2085" s="1" t="s">
        <v>242</v>
      </c>
      <c r="N2085" s="1" t="s">
        <v>5592</v>
      </c>
      <c r="O2085" s="1" t="s">
        <v>5593</v>
      </c>
      <c r="P2085" s="1" t="s">
        <v>5594</v>
      </c>
      <c r="U2085" s="1" t="s">
        <v>7058</v>
      </c>
      <c r="Z2085" s="1" t="s">
        <v>71</v>
      </c>
      <c r="AE2085" s="1" t="s">
        <v>7057</v>
      </c>
      <c r="AH2085" s="1" t="s">
        <v>73</v>
      </c>
      <c r="AK2085" s="1" t="s">
        <v>71</v>
      </c>
      <c r="AM2085" s="1" t="s">
        <v>71</v>
      </c>
      <c r="AN2085" s="1" t="s">
        <v>71</v>
      </c>
      <c r="AS2085" s="1" t="s">
        <v>71</v>
      </c>
      <c r="AX2085" s="1" t="s">
        <v>71</v>
      </c>
      <c r="AY2085" s="1" t="s">
        <v>59</v>
      </c>
      <c r="AZ2085" s="1" t="s">
        <v>74</v>
      </c>
      <c r="BH2085" s="1" t="s">
        <v>71</v>
      </c>
    </row>
    <row r="2086" customFormat="false" ht="15" hidden="false" customHeight="false" outlineLevel="0" collapsed="false">
      <c r="A2086" s="1" t="s">
        <v>7062</v>
      </c>
      <c r="B2086" s="1" t="s">
        <v>7063</v>
      </c>
      <c r="C2086" s="1" t="s">
        <v>2001</v>
      </c>
      <c r="D2086" s="1" t="s">
        <v>7060</v>
      </c>
      <c r="E2086" s="1" t="s">
        <v>65</v>
      </c>
      <c r="F2086" s="1" t="s">
        <v>119</v>
      </c>
      <c r="G2086" s="1" t="s">
        <v>65</v>
      </c>
      <c r="H2086" s="1" t="s">
        <v>64</v>
      </c>
      <c r="K2086" s="1" t="s">
        <v>2495</v>
      </c>
      <c r="L2086" s="1" t="s">
        <v>7061</v>
      </c>
      <c r="M2086" s="1" t="s">
        <v>7064</v>
      </c>
      <c r="N2086" s="1" t="s">
        <v>5592</v>
      </c>
      <c r="O2086" s="1" t="s">
        <v>5593</v>
      </c>
      <c r="P2086" s="1" t="s">
        <v>5594</v>
      </c>
      <c r="U2086" s="1" t="s">
        <v>7062</v>
      </c>
      <c r="Z2086" s="1" t="s">
        <v>71</v>
      </c>
      <c r="AE2086" s="1" t="s">
        <v>7057</v>
      </c>
      <c r="AH2086" s="1" t="s">
        <v>73</v>
      </c>
      <c r="AK2086" s="1" t="s">
        <v>71</v>
      </c>
      <c r="AM2086" s="1" t="s">
        <v>71</v>
      </c>
      <c r="AN2086" s="1" t="s">
        <v>71</v>
      </c>
      <c r="AS2086" s="1" t="s">
        <v>71</v>
      </c>
      <c r="AX2086" s="1" t="s">
        <v>71</v>
      </c>
      <c r="AY2086" s="1" t="s">
        <v>59</v>
      </c>
      <c r="AZ2086" s="1" t="s">
        <v>74</v>
      </c>
      <c r="BH2086" s="1" t="s">
        <v>71</v>
      </c>
    </row>
    <row r="2087" customFormat="false" ht="15" hidden="false" customHeight="false" outlineLevel="0" collapsed="false">
      <c r="A2087" s="1" t="s">
        <v>7065</v>
      </c>
      <c r="B2087" s="1" t="s">
        <v>7066</v>
      </c>
      <c r="C2087" s="1" t="s">
        <v>2001</v>
      </c>
      <c r="D2087" s="1" t="s">
        <v>7060</v>
      </c>
      <c r="E2087" s="1" t="s">
        <v>65</v>
      </c>
      <c r="F2087" s="1" t="s">
        <v>119</v>
      </c>
      <c r="G2087" s="1" t="s">
        <v>65</v>
      </c>
      <c r="H2087" s="1" t="s">
        <v>64</v>
      </c>
      <c r="K2087" s="1" t="s">
        <v>2495</v>
      </c>
      <c r="L2087" s="1" t="s">
        <v>7061</v>
      </c>
      <c r="M2087" s="1" t="s">
        <v>242</v>
      </c>
      <c r="N2087" s="1" t="s">
        <v>5592</v>
      </c>
      <c r="O2087" s="1" t="s">
        <v>5593</v>
      </c>
      <c r="P2087" s="1" t="s">
        <v>5594</v>
      </c>
      <c r="U2087" s="1" t="s">
        <v>7065</v>
      </c>
      <c r="Z2087" s="1" t="s">
        <v>71</v>
      </c>
      <c r="AE2087" s="1" t="s">
        <v>7057</v>
      </c>
      <c r="AH2087" s="1" t="s">
        <v>73</v>
      </c>
      <c r="AK2087" s="1" t="s">
        <v>71</v>
      </c>
      <c r="AM2087" s="1" t="s">
        <v>71</v>
      </c>
      <c r="AN2087" s="1" t="s">
        <v>71</v>
      </c>
      <c r="AS2087" s="1" t="s">
        <v>71</v>
      </c>
      <c r="AX2087" s="1" t="s">
        <v>71</v>
      </c>
      <c r="AY2087" s="1" t="s">
        <v>59</v>
      </c>
      <c r="AZ2087" s="1" t="s">
        <v>74</v>
      </c>
      <c r="BH2087" s="1" t="s">
        <v>71</v>
      </c>
    </row>
    <row r="2088" customFormat="false" ht="15" hidden="false" customHeight="false" outlineLevel="0" collapsed="false">
      <c r="A2088" s="1" t="s">
        <v>7067</v>
      </c>
      <c r="B2088" s="1" t="s">
        <v>7068</v>
      </c>
      <c r="C2088" s="1" t="s">
        <v>2001</v>
      </c>
      <c r="D2088" s="1" t="s">
        <v>7060</v>
      </c>
      <c r="E2088" s="1" t="s">
        <v>65</v>
      </c>
      <c r="F2088" s="1" t="s">
        <v>119</v>
      </c>
      <c r="G2088" s="1" t="s">
        <v>65</v>
      </c>
      <c r="H2088" s="1" t="s">
        <v>64</v>
      </c>
      <c r="K2088" s="1" t="s">
        <v>2495</v>
      </c>
      <c r="L2088" s="1" t="s">
        <v>7061</v>
      </c>
      <c r="M2088" s="1" t="s">
        <v>7064</v>
      </c>
      <c r="N2088" s="1" t="s">
        <v>5592</v>
      </c>
      <c r="O2088" s="1" t="s">
        <v>5593</v>
      </c>
      <c r="P2088" s="1" t="s">
        <v>5594</v>
      </c>
      <c r="U2088" s="1" t="s">
        <v>7067</v>
      </c>
      <c r="Z2088" s="1" t="s">
        <v>71</v>
      </c>
      <c r="AE2088" s="1" t="s">
        <v>7057</v>
      </c>
      <c r="AH2088" s="1" t="s">
        <v>73</v>
      </c>
      <c r="AK2088" s="1" t="s">
        <v>71</v>
      </c>
      <c r="AM2088" s="1" t="s">
        <v>71</v>
      </c>
      <c r="AN2088" s="1" t="s">
        <v>71</v>
      </c>
      <c r="AS2088" s="1" t="s">
        <v>71</v>
      </c>
      <c r="AX2088" s="1" t="s">
        <v>71</v>
      </c>
      <c r="AY2088" s="1" t="s">
        <v>59</v>
      </c>
      <c r="AZ2088" s="1" t="s">
        <v>74</v>
      </c>
      <c r="BH2088" s="1" t="s">
        <v>71</v>
      </c>
    </row>
    <row r="2089" customFormat="false" ht="15" hidden="false" customHeight="false" outlineLevel="0" collapsed="false">
      <c r="A2089" s="1" t="s">
        <v>7069</v>
      </c>
      <c r="B2089" s="1" t="s">
        <v>7070</v>
      </c>
      <c r="C2089" s="1" t="s">
        <v>318</v>
      </c>
      <c r="D2089" s="1" t="s">
        <v>1466</v>
      </c>
      <c r="E2089" s="1" t="s">
        <v>61</v>
      </c>
      <c r="F2089" s="1" t="s">
        <v>101</v>
      </c>
      <c r="G2089" s="1" t="s">
        <v>275</v>
      </c>
      <c r="H2089" s="1" t="s">
        <v>276</v>
      </c>
      <c r="K2089" s="1" t="s">
        <v>657</v>
      </c>
      <c r="L2089" s="1" t="s">
        <v>5279</v>
      </c>
      <c r="M2089" s="1" t="s">
        <v>296</v>
      </c>
      <c r="N2089" s="1" t="s">
        <v>279</v>
      </c>
      <c r="O2089" s="1" t="s">
        <v>280</v>
      </c>
      <c r="P2089" s="1" t="s">
        <v>4895</v>
      </c>
      <c r="U2089" s="1" t="s">
        <v>7069</v>
      </c>
      <c r="Z2089" s="1" t="s">
        <v>71</v>
      </c>
      <c r="AE2089" s="1" t="s">
        <v>7071</v>
      </c>
      <c r="AH2089" s="1" t="s">
        <v>73</v>
      </c>
      <c r="AK2089" s="1" t="s">
        <v>71</v>
      </c>
      <c r="AM2089" s="1" t="s">
        <v>71</v>
      </c>
      <c r="AN2089" s="1" t="s">
        <v>71</v>
      </c>
      <c r="AS2089" s="1" t="s">
        <v>71</v>
      </c>
      <c r="AX2089" s="1" t="s">
        <v>71</v>
      </c>
      <c r="AY2089" s="1" t="s">
        <v>59</v>
      </c>
      <c r="AZ2089" s="1" t="s">
        <v>74</v>
      </c>
      <c r="BH2089" s="1" t="s">
        <v>71</v>
      </c>
    </row>
    <row r="2090" customFormat="false" ht="15" hidden="false" customHeight="false" outlineLevel="0" collapsed="false">
      <c r="A2090" s="1" t="s">
        <v>7072</v>
      </c>
      <c r="B2090" s="1" t="s">
        <v>7073</v>
      </c>
      <c r="C2090" s="1" t="s">
        <v>318</v>
      </c>
      <c r="D2090" s="1" t="s">
        <v>1466</v>
      </c>
      <c r="E2090" s="1" t="s">
        <v>61</v>
      </c>
      <c r="F2090" s="1" t="s">
        <v>101</v>
      </c>
      <c r="G2090" s="1" t="s">
        <v>275</v>
      </c>
      <c r="H2090" s="1" t="s">
        <v>276</v>
      </c>
      <c r="K2090" s="1" t="s">
        <v>157</v>
      </c>
      <c r="L2090" s="1" t="s">
        <v>1363</v>
      </c>
      <c r="M2090" s="1" t="s">
        <v>296</v>
      </c>
      <c r="N2090" s="1" t="s">
        <v>5824</v>
      </c>
      <c r="O2090" s="1" t="s">
        <v>5825</v>
      </c>
      <c r="P2090" s="1" t="s">
        <v>5826</v>
      </c>
      <c r="U2090" s="1" t="s">
        <v>7072</v>
      </c>
      <c r="Z2090" s="1" t="s">
        <v>71</v>
      </c>
      <c r="AE2090" s="1" t="s">
        <v>7071</v>
      </c>
      <c r="AH2090" s="1" t="s">
        <v>73</v>
      </c>
      <c r="AK2090" s="1" t="s">
        <v>71</v>
      </c>
      <c r="AM2090" s="1" t="s">
        <v>71</v>
      </c>
      <c r="AN2090" s="1" t="s">
        <v>71</v>
      </c>
      <c r="AS2090" s="1" t="s">
        <v>71</v>
      </c>
      <c r="AX2090" s="1" t="s">
        <v>71</v>
      </c>
      <c r="AY2090" s="1" t="s">
        <v>59</v>
      </c>
      <c r="AZ2090" s="1" t="s">
        <v>74</v>
      </c>
      <c r="BH2090" s="1" t="s">
        <v>71</v>
      </c>
    </row>
    <row r="2091" customFormat="false" ht="15" hidden="false" customHeight="false" outlineLevel="0" collapsed="false">
      <c r="A2091" s="1" t="s">
        <v>7074</v>
      </c>
      <c r="B2091" s="1" t="s">
        <v>7075</v>
      </c>
      <c r="C2091" s="1" t="s">
        <v>1999</v>
      </c>
      <c r="D2091" s="1" t="s">
        <v>7076</v>
      </c>
      <c r="E2091" s="1" t="s">
        <v>93</v>
      </c>
      <c r="F2091" s="1" t="s">
        <v>6348</v>
      </c>
      <c r="G2091" s="1" t="s">
        <v>5357</v>
      </c>
      <c r="H2091" s="1" t="s">
        <v>7077</v>
      </c>
      <c r="K2091" s="1" t="s">
        <v>1118</v>
      </c>
      <c r="L2091" s="1" t="s">
        <v>7078</v>
      </c>
      <c r="M2091" s="1" t="s">
        <v>7079</v>
      </c>
      <c r="N2091" s="1" t="s">
        <v>7080</v>
      </c>
      <c r="O2091" s="1" t="s">
        <v>7081</v>
      </c>
      <c r="P2091" s="1" t="s">
        <v>7082</v>
      </c>
      <c r="U2091" s="1" t="s">
        <v>7074</v>
      </c>
      <c r="Z2091" s="1" t="s">
        <v>71</v>
      </c>
      <c r="AE2091" s="1" t="s">
        <v>7071</v>
      </c>
      <c r="AH2091" s="1" t="s">
        <v>73</v>
      </c>
      <c r="AK2091" s="1" t="s">
        <v>71</v>
      </c>
      <c r="AM2091" s="1" t="s">
        <v>71</v>
      </c>
      <c r="AN2091" s="1" t="s">
        <v>71</v>
      </c>
      <c r="AS2091" s="1" t="s">
        <v>71</v>
      </c>
      <c r="AX2091" s="1" t="s">
        <v>71</v>
      </c>
      <c r="AY2091" s="1" t="s">
        <v>59</v>
      </c>
      <c r="AZ2091" s="1" t="s">
        <v>74</v>
      </c>
      <c r="BH2091" s="1" t="s">
        <v>71</v>
      </c>
    </row>
    <row r="2092" customFormat="false" ht="15" hidden="false" customHeight="false" outlineLevel="0" collapsed="false">
      <c r="A2092" s="1" t="s">
        <v>7083</v>
      </c>
      <c r="B2092" s="1" t="s">
        <v>7084</v>
      </c>
      <c r="C2092" s="1" t="s">
        <v>2011</v>
      </c>
      <c r="D2092" s="1" t="s">
        <v>7085</v>
      </c>
      <c r="E2092" s="1" t="s">
        <v>82</v>
      </c>
      <c r="F2092" s="1" t="s">
        <v>391</v>
      </c>
      <c r="G2092" s="1" t="s">
        <v>97</v>
      </c>
      <c r="H2092" s="1" t="s">
        <v>406</v>
      </c>
      <c r="K2092" s="1" t="s">
        <v>65</v>
      </c>
      <c r="L2092" s="1" t="s">
        <v>860</v>
      </c>
      <c r="M2092" s="1" t="s">
        <v>496</v>
      </c>
      <c r="N2092" s="1" t="s">
        <v>7086</v>
      </c>
      <c r="O2092" s="1" t="s">
        <v>7087</v>
      </c>
      <c r="P2092" s="1" t="s">
        <v>7088</v>
      </c>
      <c r="Z2092" s="1" t="s">
        <v>71</v>
      </c>
      <c r="AE2092" s="1" t="s">
        <v>7089</v>
      </c>
      <c r="AH2092" s="1" t="s">
        <v>73</v>
      </c>
      <c r="AK2092" s="1" t="s">
        <v>71</v>
      </c>
      <c r="AM2092" s="1" t="s">
        <v>71</v>
      </c>
      <c r="AN2092" s="1" t="s">
        <v>71</v>
      </c>
      <c r="AS2092" s="1" t="s">
        <v>71</v>
      </c>
      <c r="AX2092" s="1" t="s">
        <v>71</v>
      </c>
      <c r="BH2092" s="1" t="s">
        <v>71</v>
      </c>
    </row>
    <row r="2093" customFormat="false" ht="15" hidden="false" customHeight="false" outlineLevel="0" collapsed="false">
      <c r="A2093" s="1" t="s">
        <v>7090</v>
      </c>
      <c r="B2093" s="1" t="s">
        <v>7091</v>
      </c>
      <c r="C2093" s="1" t="s">
        <v>1412</v>
      </c>
      <c r="D2093" s="1" t="s">
        <v>1413</v>
      </c>
      <c r="E2093" s="1" t="s">
        <v>61</v>
      </c>
      <c r="F2093" s="1" t="s">
        <v>101</v>
      </c>
      <c r="G2093" s="1" t="s">
        <v>148</v>
      </c>
      <c r="H2093" s="1" t="s">
        <v>231</v>
      </c>
      <c r="K2093" s="1" t="s">
        <v>240</v>
      </c>
      <c r="L2093" s="1" t="s">
        <v>241</v>
      </c>
      <c r="M2093" s="1" t="s">
        <v>7092</v>
      </c>
      <c r="N2093" s="1" t="s">
        <v>243</v>
      </c>
      <c r="O2093" s="1" t="s">
        <v>244</v>
      </c>
      <c r="P2093" s="1" t="s">
        <v>3503</v>
      </c>
      <c r="U2093" s="1" t="s">
        <v>7090</v>
      </c>
      <c r="Z2093" s="1" t="s">
        <v>71</v>
      </c>
      <c r="AE2093" s="1" t="s">
        <v>7093</v>
      </c>
      <c r="AH2093" s="1" t="s">
        <v>73</v>
      </c>
      <c r="AK2093" s="1" t="s">
        <v>71</v>
      </c>
      <c r="AM2093" s="1" t="s">
        <v>71</v>
      </c>
      <c r="AN2093" s="1" t="s">
        <v>71</v>
      </c>
      <c r="AS2093" s="1" t="s">
        <v>71</v>
      </c>
      <c r="AX2093" s="1" t="s">
        <v>71</v>
      </c>
      <c r="AY2093" s="1" t="s">
        <v>59</v>
      </c>
      <c r="AZ2093" s="1" t="s">
        <v>74</v>
      </c>
      <c r="BH2093" s="1" t="s">
        <v>71</v>
      </c>
    </row>
    <row r="2094" customFormat="false" ht="15" hidden="false" customHeight="false" outlineLevel="0" collapsed="false">
      <c r="A2094" s="1" t="s">
        <v>7094</v>
      </c>
      <c r="B2094" s="1" t="s">
        <v>7095</v>
      </c>
      <c r="C2094" s="1" t="s">
        <v>182</v>
      </c>
      <c r="D2094" s="1" t="s">
        <v>239</v>
      </c>
      <c r="E2094" s="1" t="s">
        <v>65</v>
      </c>
      <c r="F2094" s="1" t="s">
        <v>119</v>
      </c>
      <c r="G2094" s="1" t="s">
        <v>61</v>
      </c>
      <c r="H2094" s="1" t="s">
        <v>231</v>
      </c>
      <c r="K2094" s="1" t="s">
        <v>1385</v>
      </c>
      <c r="L2094" s="1" t="s">
        <v>1386</v>
      </c>
      <c r="M2094" s="1" t="s">
        <v>5708</v>
      </c>
      <c r="N2094" s="1" t="s">
        <v>1388</v>
      </c>
      <c r="O2094" s="1" t="s">
        <v>1389</v>
      </c>
      <c r="P2094" s="1" t="s">
        <v>5676</v>
      </c>
      <c r="U2094" s="1" t="s">
        <v>245</v>
      </c>
      <c r="Z2094" s="1" t="s">
        <v>71</v>
      </c>
      <c r="AE2094" s="1" t="s">
        <v>7093</v>
      </c>
      <c r="AH2094" s="1" t="s">
        <v>73</v>
      </c>
      <c r="AK2094" s="1" t="s">
        <v>71</v>
      </c>
      <c r="AM2094" s="1" t="s">
        <v>71</v>
      </c>
      <c r="AN2094" s="1" t="s">
        <v>71</v>
      </c>
      <c r="AS2094" s="1" t="s">
        <v>71</v>
      </c>
      <c r="AX2094" s="1" t="s">
        <v>71</v>
      </c>
      <c r="AY2094" s="1" t="s">
        <v>59</v>
      </c>
      <c r="AZ2094" s="1" t="s">
        <v>74</v>
      </c>
      <c r="BH2094" s="1" t="s">
        <v>71</v>
      </c>
    </row>
    <row r="2095" customFormat="false" ht="15" hidden="false" customHeight="false" outlineLevel="0" collapsed="false">
      <c r="A2095" s="1" t="s">
        <v>7096</v>
      </c>
      <c r="B2095" s="1" t="s">
        <v>7097</v>
      </c>
      <c r="C2095" s="1" t="s">
        <v>182</v>
      </c>
      <c r="D2095" s="1" t="s">
        <v>239</v>
      </c>
      <c r="E2095" s="1" t="s">
        <v>65</v>
      </c>
      <c r="F2095" s="1" t="s">
        <v>119</v>
      </c>
      <c r="G2095" s="1" t="s">
        <v>88</v>
      </c>
      <c r="H2095" s="1" t="s">
        <v>255</v>
      </c>
      <c r="K2095" s="1" t="s">
        <v>1596</v>
      </c>
      <c r="L2095" s="1" t="s">
        <v>1597</v>
      </c>
      <c r="M2095" s="1" t="s">
        <v>6059</v>
      </c>
      <c r="N2095" s="1" t="s">
        <v>7098</v>
      </c>
      <c r="O2095" s="1" t="s">
        <v>7099</v>
      </c>
      <c r="P2095" s="1" t="s">
        <v>7100</v>
      </c>
      <c r="U2095" s="1" t="s">
        <v>245</v>
      </c>
      <c r="Z2095" s="1" t="s">
        <v>71</v>
      </c>
      <c r="AE2095" s="1" t="s">
        <v>7101</v>
      </c>
      <c r="AH2095" s="1" t="s">
        <v>73</v>
      </c>
      <c r="AK2095" s="1" t="s">
        <v>71</v>
      </c>
      <c r="AM2095" s="1" t="s">
        <v>71</v>
      </c>
      <c r="AN2095" s="1" t="s">
        <v>71</v>
      </c>
      <c r="AS2095" s="1" t="s">
        <v>71</v>
      </c>
      <c r="AX2095" s="1" t="s">
        <v>71</v>
      </c>
      <c r="AY2095" s="1" t="s">
        <v>59</v>
      </c>
      <c r="AZ2095" s="1" t="s">
        <v>74</v>
      </c>
      <c r="BH2095" s="1" t="s">
        <v>71</v>
      </c>
    </row>
    <row r="2096" customFormat="false" ht="15" hidden="false" customHeight="false" outlineLevel="0" collapsed="false">
      <c r="A2096" s="1" t="s">
        <v>7102</v>
      </c>
      <c r="B2096" s="1" t="s">
        <v>7103</v>
      </c>
      <c r="C2096" s="1" t="s">
        <v>5543</v>
      </c>
      <c r="D2096" s="1" t="s">
        <v>5544</v>
      </c>
      <c r="E2096" s="1" t="s">
        <v>148</v>
      </c>
      <c r="F2096" s="1" t="s">
        <v>1495</v>
      </c>
      <c r="G2096" s="1" t="s">
        <v>224</v>
      </c>
      <c r="H2096" s="1" t="s">
        <v>5736</v>
      </c>
      <c r="K2096" s="1" t="s">
        <v>59</v>
      </c>
      <c r="L2096" s="1" t="s">
        <v>5737</v>
      </c>
      <c r="M2096" s="1" t="s">
        <v>5738</v>
      </c>
      <c r="N2096" s="1" t="s">
        <v>7104</v>
      </c>
      <c r="O2096" s="1" t="s">
        <v>7105</v>
      </c>
      <c r="P2096" s="1" t="s">
        <v>7106</v>
      </c>
      <c r="U2096" s="1" t="s">
        <v>7102</v>
      </c>
      <c r="Z2096" s="1" t="s">
        <v>71</v>
      </c>
      <c r="AE2096" s="1" t="s">
        <v>7101</v>
      </c>
      <c r="AH2096" s="1" t="s">
        <v>73</v>
      </c>
      <c r="AK2096" s="1" t="s">
        <v>71</v>
      </c>
      <c r="AM2096" s="1" t="s">
        <v>71</v>
      </c>
      <c r="AN2096" s="1" t="s">
        <v>71</v>
      </c>
      <c r="AS2096" s="1" t="s">
        <v>71</v>
      </c>
      <c r="AX2096" s="1" t="s">
        <v>71</v>
      </c>
      <c r="AY2096" s="1" t="s">
        <v>59</v>
      </c>
      <c r="AZ2096" s="1" t="s">
        <v>74</v>
      </c>
      <c r="BH2096" s="1" t="s">
        <v>71</v>
      </c>
    </row>
    <row r="2097" customFormat="false" ht="15" hidden="false" customHeight="false" outlineLevel="0" collapsed="false">
      <c r="A2097" s="1" t="s">
        <v>7107</v>
      </c>
      <c r="B2097" s="1" t="s">
        <v>7108</v>
      </c>
      <c r="C2097" s="1" t="s">
        <v>182</v>
      </c>
      <c r="D2097" s="1" t="s">
        <v>239</v>
      </c>
      <c r="E2097" s="1" t="s">
        <v>65</v>
      </c>
      <c r="F2097" s="1" t="s">
        <v>119</v>
      </c>
      <c r="G2097" s="1" t="s">
        <v>88</v>
      </c>
      <c r="H2097" s="1" t="s">
        <v>255</v>
      </c>
      <c r="K2097" s="1" t="s">
        <v>548</v>
      </c>
      <c r="L2097" s="1" t="s">
        <v>7109</v>
      </c>
      <c r="M2097" s="1" t="s">
        <v>7110</v>
      </c>
      <c r="N2097" s="1" t="s">
        <v>259</v>
      </c>
      <c r="O2097" s="1" t="s">
        <v>260</v>
      </c>
      <c r="P2097" s="1" t="s">
        <v>3768</v>
      </c>
      <c r="U2097" s="1" t="s">
        <v>6794</v>
      </c>
      <c r="Z2097" s="1" t="s">
        <v>71</v>
      </c>
      <c r="AE2097" s="1" t="s">
        <v>7111</v>
      </c>
      <c r="AH2097" s="1" t="s">
        <v>73</v>
      </c>
      <c r="AK2097" s="1" t="s">
        <v>71</v>
      </c>
      <c r="AM2097" s="1" t="s">
        <v>71</v>
      </c>
      <c r="AN2097" s="1" t="s">
        <v>71</v>
      </c>
      <c r="AS2097" s="1" t="s">
        <v>71</v>
      </c>
      <c r="AX2097" s="1" t="s">
        <v>71</v>
      </c>
      <c r="AY2097" s="1" t="s">
        <v>59</v>
      </c>
      <c r="AZ2097" s="1" t="s">
        <v>74</v>
      </c>
      <c r="BH2097" s="1" t="s">
        <v>71</v>
      </c>
    </row>
    <row r="2098" customFormat="false" ht="15" hidden="false" customHeight="false" outlineLevel="0" collapsed="false">
      <c r="A2098" s="1" t="s">
        <v>7112</v>
      </c>
      <c r="B2098" s="1" t="s">
        <v>7113</v>
      </c>
      <c r="C2098" s="1" t="s">
        <v>182</v>
      </c>
      <c r="D2098" s="1" t="s">
        <v>239</v>
      </c>
      <c r="E2098" s="1" t="s">
        <v>61</v>
      </c>
      <c r="F2098" s="1" t="s">
        <v>101</v>
      </c>
      <c r="G2098" s="1" t="s">
        <v>108</v>
      </c>
      <c r="H2098" s="1" t="s">
        <v>1495</v>
      </c>
      <c r="K2098" s="1" t="s">
        <v>1118</v>
      </c>
      <c r="L2098" s="1" t="s">
        <v>7114</v>
      </c>
      <c r="M2098" s="1" t="s">
        <v>7110</v>
      </c>
      <c r="N2098" s="1" t="s">
        <v>4469</v>
      </c>
      <c r="O2098" s="1" t="s">
        <v>400</v>
      </c>
      <c r="P2098" s="1" t="s">
        <v>4470</v>
      </c>
      <c r="U2098" s="1" t="s">
        <v>245</v>
      </c>
      <c r="Z2098" s="1" t="s">
        <v>71</v>
      </c>
      <c r="AE2098" s="1" t="s">
        <v>7111</v>
      </c>
      <c r="AH2098" s="1" t="s">
        <v>73</v>
      </c>
      <c r="AK2098" s="1" t="s">
        <v>71</v>
      </c>
      <c r="AM2098" s="1" t="s">
        <v>71</v>
      </c>
      <c r="AN2098" s="1" t="s">
        <v>71</v>
      </c>
      <c r="AS2098" s="1" t="s">
        <v>71</v>
      </c>
      <c r="AX2098" s="1" t="s">
        <v>71</v>
      </c>
      <c r="AY2098" s="1" t="s">
        <v>59</v>
      </c>
      <c r="AZ2098" s="1" t="s">
        <v>74</v>
      </c>
      <c r="BH2098" s="1" t="s">
        <v>71</v>
      </c>
    </row>
    <row r="2099" customFormat="false" ht="15" hidden="false" customHeight="false" outlineLevel="0" collapsed="false">
      <c r="A2099" s="1" t="s">
        <v>7115</v>
      </c>
      <c r="B2099" s="1" t="s">
        <v>7116</v>
      </c>
      <c r="C2099" s="1" t="s">
        <v>182</v>
      </c>
      <c r="D2099" s="1" t="s">
        <v>239</v>
      </c>
      <c r="E2099" s="1" t="s">
        <v>61</v>
      </c>
      <c r="F2099" s="1" t="s">
        <v>101</v>
      </c>
      <c r="G2099" s="1" t="s">
        <v>275</v>
      </c>
      <c r="H2099" s="1" t="s">
        <v>276</v>
      </c>
      <c r="K2099" s="1" t="s">
        <v>1118</v>
      </c>
      <c r="L2099" s="1" t="s">
        <v>3151</v>
      </c>
      <c r="M2099" s="1" t="s">
        <v>278</v>
      </c>
      <c r="N2099" s="1" t="s">
        <v>5064</v>
      </c>
      <c r="O2099" s="1" t="s">
        <v>5065</v>
      </c>
      <c r="P2099" s="1" t="s">
        <v>5066</v>
      </c>
      <c r="U2099" s="1" t="s">
        <v>245</v>
      </c>
      <c r="Z2099" s="1" t="s">
        <v>71</v>
      </c>
      <c r="AE2099" s="1" t="s">
        <v>7117</v>
      </c>
      <c r="AH2099" s="1" t="s">
        <v>73</v>
      </c>
      <c r="AK2099" s="1" t="s">
        <v>71</v>
      </c>
      <c r="AM2099" s="1" t="s">
        <v>71</v>
      </c>
      <c r="AN2099" s="1" t="s">
        <v>71</v>
      </c>
      <c r="AS2099" s="1" t="s">
        <v>71</v>
      </c>
      <c r="AX2099" s="1" t="s">
        <v>71</v>
      </c>
      <c r="AY2099" s="1" t="s">
        <v>59</v>
      </c>
      <c r="AZ2099" s="1" t="s">
        <v>74</v>
      </c>
      <c r="BH2099" s="1" t="s">
        <v>71</v>
      </c>
    </row>
    <row r="2100" customFormat="false" ht="15" hidden="false" customHeight="false" outlineLevel="0" collapsed="false">
      <c r="A2100" s="1" t="s">
        <v>7118</v>
      </c>
      <c r="B2100" s="1" t="s">
        <v>7119</v>
      </c>
      <c r="C2100" s="1" t="s">
        <v>182</v>
      </c>
      <c r="D2100" s="1" t="s">
        <v>239</v>
      </c>
      <c r="E2100" s="1" t="s">
        <v>65</v>
      </c>
      <c r="F2100" s="1" t="s">
        <v>119</v>
      </c>
      <c r="G2100" s="1" t="s">
        <v>61</v>
      </c>
      <c r="H2100" s="1" t="s">
        <v>231</v>
      </c>
      <c r="K2100" s="1" t="s">
        <v>1385</v>
      </c>
      <c r="L2100" s="1" t="s">
        <v>1386</v>
      </c>
      <c r="M2100" s="1" t="s">
        <v>7120</v>
      </c>
      <c r="N2100" s="1" t="s">
        <v>1388</v>
      </c>
      <c r="O2100" s="1" t="s">
        <v>1389</v>
      </c>
      <c r="P2100" s="1" t="s">
        <v>5676</v>
      </c>
      <c r="U2100" s="1" t="s">
        <v>245</v>
      </c>
      <c r="Z2100" s="1" t="s">
        <v>71</v>
      </c>
      <c r="AE2100" s="1" t="s">
        <v>7117</v>
      </c>
      <c r="AH2100" s="1" t="s">
        <v>73</v>
      </c>
      <c r="AK2100" s="1" t="s">
        <v>71</v>
      </c>
      <c r="AM2100" s="1" t="s">
        <v>71</v>
      </c>
      <c r="AN2100" s="1" t="s">
        <v>71</v>
      </c>
      <c r="AS2100" s="1" t="s">
        <v>71</v>
      </c>
      <c r="AX2100" s="1" t="s">
        <v>71</v>
      </c>
      <c r="AY2100" s="1" t="s">
        <v>59</v>
      </c>
      <c r="AZ2100" s="1" t="s">
        <v>74</v>
      </c>
      <c r="BH2100" s="1" t="s">
        <v>71</v>
      </c>
    </row>
    <row r="2101" customFormat="false" ht="15" hidden="false" customHeight="false" outlineLevel="0" collapsed="false">
      <c r="A2101" s="1" t="s">
        <v>7121</v>
      </c>
      <c r="B2101" s="1" t="s">
        <v>7122</v>
      </c>
      <c r="C2101" s="1" t="s">
        <v>2046</v>
      </c>
      <c r="D2101" s="1" t="s">
        <v>7123</v>
      </c>
      <c r="E2101" s="1" t="s">
        <v>61</v>
      </c>
      <c r="F2101" s="1" t="s">
        <v>101</v>
      </c>
      <c r="G2101" s="1" t="s">
        <v>1772</v>
      </c>
      <c r="H2101" s="1" t="s">
        <v>6148</v>
      </c>
      <c r="K2101" s="1" t="s">
        <v>59</v>
      </c>
      <c r="L2101" s="1" t="s">
        <v>6149</v>
      </c>
      <c r="M2101" s="1" t="s">
        <v>242</v>
      </c>
      <c r="N2101" s="1" t="s">
        <v>6151</v>
      </c>
      <c r="O2101" s="1" t="s">
        <v>6152</v>
      </c>
      <c r="P2101" s="1" t="s">
        <v>6153</v>
      </c>
      <c r="S2101" s="1" t="s">
        <v>229</v>
      </c>
      <c r="U2101" s="1" t="s">
        <v>7121</v>
      </c>
      <c r="Z2101" s="1" t="s">
        <v>71</v>
      </c>
      <c r="AE2101" s="1" t="s">
        <v>7124</v>
      </c>
      <c r="AH2101" s="1" t="s">
        <v>73</v>
      </c>
      <c r="AK2101" s="1" t="s">
        <v>71</v>
      </c>
      <c r="AM2101" s="1" t="s">
        <v>71</v>
      </c>
      <c r="AN2101" s="1" t="s">
        <v>71</v>
      </c>
      <c r="AS2101" s="1" t="s">
        <v>71</v>
      </c>
      <c r="AX2101" s="1" t="s">
        <v>71</v>
      </c>
      <c r="AY2101" s="1" t="s">
        <v>59</v>
      </c>
      <c r="AZ2101" s="1" t="s">
        <v>74</v>
      </c>
      <c r="BH2101" s="1" t="s">
        <v>71</v>
      </c>
    </row>
    <row r="2102" customFormat="false" ht="15" hidden="false" customHeight="false" outlineLevel="0" collapsed="false">
      <c r="A2102" s="1" t="s">
        <v>7125</v>
      </c>
      <c r="B2102" s="1" t="s">
        <v>7126</v>
      </c>
      <c r="C2102" s="1" t="s">
        <v>2046</v>
      </c>
      <c r="D2102" s="1" t="s">
        <v>7123</v>
      </c>
      <c r="E2102" s="1" t="s">
        <v>61</v>
      </c>
      <c r="F2102" s="1" t="s">
        <v>101</v>
      </c>
      <c r="G2102" s="1" t="s">
        <v>1772</v>
      </c>
      <c r="H2102" s="1" t="s">
        <v>6148</v>
      </c>
      <c r="K2102" s="1" t="s">
        <v>59</v>
      </c>
      <c r="L2102" s="1" t="s">
        <v>6149</v>
      </c>
      <c r="M2102" s="1" t="s">
        <v>242</v>
      </c>
      <c r="N2102" s="1" t="s">
        <v>6151</v>
      </c>
      <c r="O2102" s="1" t="s">
        <v>6152</v>
      </c>
      <c r="P2102" s="1" t="s">
        <v>6153</v>
      </c>
      <c r="S2102" s="1" t="s">
        <v>229</v>
      </c>
      <c r="U2102" s="1" t="s">
        <v>7125</v>
      </c>
      <c r="Z2102" s="1" t="s">
        <v>71</v>
      </c>
      <c r="AE2102" s="1" t="s">
        <v>7124</v>
      </c>
      <c r="AH2102" s="1" t="s">
        <v>73</v>
      </c>
      <c r="AK2102" s="1" t="s">
        <v>71</v>
      </c>
      <c r="AM2102" s="1" t="s">
        <v>71</v>
      </c>
      <c r="AN2102" s="1" t="s">
        <v>71</v>
      </c>
      <c r="AS2102" s="1" t="s">
        <v>71</v>
      </c>
      <c r="AX2102" s="1" t="s">
        <v>71</v>
      </c>
      <c r="AY2102" s="1" t="s">
        <v>59</v>
      </c>
      <c r="AZ2102" s="1" t="s">
        <v>74</v>
      </c>
      <c r="BH2102" s="1" t="s">
        <v>71</v>
      </c>
    </row>
    <row r="2103" customFormat="false" ht="15" hidden="false" customHeight="false" outlineLevel="0" collapsed="false">
      <c r="A2103" s="1" t="s">
        <v>7127</v>
      </c>
      <c r="B2103" s="1" t="s">
        <v>7128</v>
      </c>
      <c r="C2103" s="1" t="s">
        <v>1795</v>
      </c>
      <c r="D2103" s="1" t="s">
        <v>6570</v>
      </c>
      <c r="E2103" s="1" t="s">
        <v>82</v>
      </c>
      <c r="F2103" s="1" t="s">
        <v>391</v>
      </c>
      <c r="G2103" s="1" t="s">
        <v>97</v>
      </c>
      <c r="H2103" s="1" t="s">
        <v>406</v>
      </c>
      <c r="K2103" s="1" t="s">
        <v>65</v>
      </c>
      <c r="L2103" s="1" t="s">
        <v>860</v>
      </c>
      <c r="M2103" s="1" t="s">
        <v>496</v>
      </c>
      <c r="N2103" s="1" t="s">
        <v>2691</v>
      </c>
      <c r="O2103" s="1" t="s">
        <v>400</v>
      </c>
      <c r="P2103" s="1" t="s">
        <v>3527</v>
      </c>
      <c r="Z2103" s="1" t="s">
        <v>71</v>
      </c>
      <c r="AE2103" s="1" t="s">
        <v>7129</v>
      </c>
      <c r="AH2103" s="1" t="s">
        <v>73</v>
      </c>
      <c r="AK2103" s="1" t="s">
        <v>71</v>
      </c>
      <c r="AM2103" s="1" t="s">
        <v>71</v>
      </c>
      <c r="AN2103" s="1" t="s">
        <v>71</v>
      </c>
      <c r="AS2103" s="1" t="s">
        <v>71</v>
      </c>
      <c r="AX2103" s="1" t="s">
        <v>71</v>
      </c>
      <c r="BH2103" s="1" t="s">
        <v>71</v>
      </c>
    </row>
    <row r="2104" customFormat="false" ht="15" hidden="false" customHeight="false" outlineLevel="0" collapsed="false">
      <c r="A2104" s="1" t="s">
        <v>7130</v>
      </c>
      <c r="B2104" s="1" t="s">
        <v>7131</v>
      </c>
      <c r="C2104" s="1" t="s">
        <v>1795</v>
      </c>
      <c r="D2104" s="1" t="s">
        <v>6570</v>
      </c>
      <c r="E2104" s="1" t="s">
        <v>82</v>
      </c>
      <c r="F2104" s="1" t="s">
        <v>391</v>
      </c>
      <c r="G2104" s="1" t="s">
        <v>97</v>
      </c>
      <c r="H2104" s="1" t="s">
        <v>406</v>
      </c>
      <c r="K2104" s="1" t="s">
        <v>65</v>
      </c>
      <c r="L2104" s="1" t="s">
        <v>860</v>
      </c>
      <c r="M2104" s="1" t="s">
        <v>496</v>
      </c>
      <c r="N2104" s="1" t="s">
        <v>2691</v>
      </c>
      <c r="O2104" s="1" t="s">
        <v>400</v>
      </c>
      <c r="P2104" s="1" t="s">
        <v>3527</v>
      </c>
      <c r="Z2104" s="1" t="s">
        <v>71</v>
      </c>
      <c r="AE2104" s="1" t="s">
        <v>7129</v>
      </c>
      <c r="AH2104" s="1" t="s">
        <v>73</v>
      </c>
      <c r="AK2104" s="1" t="s">
        <v>71</v>
      </c>
      <c r="AM2104" s="1" t="s">
        <v>71</v>
      </c>
      <c r="AN2104" s="1" t="s">
        <v>71</v>
      </c>
      <c r="AS2104" s="1" t="s">
        <v>71</v>
      </c>
      <c r="AX2104" s="1" t="s">
        <v>71</v>
      </c>
      <c r="BH2104" s="1" t="s">
        <v>71</v>
      </c>
    </row>
    <row r="2105" customFormat="false" ht="15" hidden="false" customHeight="false" outlineLevel="0" collapsed="false">
      <c r="A2105" s="1" t="s">
        <v>7132</v>
      </c>
      <c r="B2105" s="1" t="s">
        <v>7133</v>
      </c>
      <c r="C2105" s="1" t="s">
        <v>161</v>
      </c>
      <c r="D2105" s="1" t="s">
        <v>162</v>
      </c>
      <c r="E2105" s="1" t="s">
        <v>61</v>
      </c>
      <c r="F2105" s="1" t="s">
        <v>101</v>
      </c>
      <c r="G2105" s="1" t="s">
        <v>93</v>
      </c>
      <c r="H2105" s="1" t="s">
        <v>64</v>
      </c>
      <c r="K2105" s="1" t="s">
        <v>229</v>
      </c>
      <c r="L2105" s="1" t="s">
        <v>605</v>
      </c>
      <c r="M2105" s="1" t="s">
        <v>310</v>
      </c>
      <c r="N2105" s="1" t="s">
        <v>105</v>
      </c>
      <c r="O2105" s="1" t="s">
        <v>106</v>
      </c>
      <c r="P2105" s="1" t="s">
        <v>3539</v>
      </c>
      <c r="U2105" s="1" t="s">
        <v>7132</v>
      </c>
      <c r="Z2105" s="1" t="s">
        <v>71</v>
      </c>
      <c r="AE2105" s="1" t="s">
        <v>7129</v>
      </c>
      <c r="AH2105" s="1" t="s">
        <v>73</v>
      </c>
      <c r="AK2105" s="1" t="s">
        <v>71</v>
      </c>
      <c r="AM2105" s="1" t="s">
        <v>71</v>
      </c>
      <c r="AN2105" s="1" t="s">
        <v>71</v>
      </c>
      <c r="AS2105" s="1" t="s">
        <v>71</v>
      </c>
      <c r="AX2105" s="1" t="s">
        <v>71</v>
      </c>
      <c r="AY2105" s="1" t="s">
        <v>59</v>
      </c>
      <c r="AZ2105" s="1" t="s">
        <v>74</v>
      </c>
      <c r="BH2105" s="1" t="s">
        <v>71</v>
      </c>
    </row>
    <row r="2106" customFormat="false" ht="15" hidden="false" customHeight="false" outlineLevel="0" collapsed="false">
      <c r="A2106" s="1" t="s">
        <v>7134</v>
      </c>
      <c r="B2106" s="1" t="s">
        <v>7135</v>
      </c>
      <c r="C2106" s="1" t="s">
        <v>117</v>
      </c>
      <c r="D2106" s="1" t="s">
        <v>118</v>
      </c>
      <c r="E2106" s="1" t="s">
        <v>59</v>
      </c>
      <c r="F2106" s="1" t="s">
        <v>63</v>
      </c>
      <c r="G2106" s="1" t="s">
        <v>59</v>
      </c>
      <c r="H2106" s="1" t="s">
        <v>64</v>
      </c>
      <c r="K2106" s="1" t="s">
        <v>65</v>
      </c>
      <c r="L2106" s="1" t="s">
        <v>66</v>
      </c>
      <c r="M2106" s="1" t="s">
        <v>382</v>
      </c>
      <c r="N2106" s="1" t="s">
        <v>68</v>
      </c>
      <c r="O2106" s="1" t="s">
        <v>69</v>
      </c>
      <c r="P2106" s="1" t="s">
        <v>4942</v>
      </c>
      <c r="U2106" s="1" t="s">
        <v>7134</v>
      </c>
      <c r="Z2106" s="1" t="s">
        <v>71</v>
      </c>
      <c r="AE2106" s="1" t="s">
        <v>7129</v>
      </c>
      <c r="AH2106" s="1" t="s">
        <v>73</v>
      </c>
      <c r="AK2106" s="1" t="s">
        <v>71</v>
      </c>
      <c r="AM2106" s="1" t="s">
        <v>71</v>
      </c>
      <c r="AN2106" s="1" t="s">
        <v>71</v>
      </c>
      <c r="AS2106" s="1" t="s">
        <v>71</v>
      </c>
      <c r="AX2106" s="1" t="s">
        <v>71</v>
      </c>
      <c r="AY2106" s="1" t="s">
        <v>59</v>
      </c>
      <c r="AZ2106" s="1" t="s">
        <v>74</v>
      </c>
      <c r="BH2106" s="1" t="s">
        <v>71</v>
      </c>
    </row>
    <row r="2107" customFormat="false" ht="15" hidden="false" customHeight="false" outlineLevel="0" collapsed="false">
      <c r="A2107" s="1" t="s">
        <v>7136</v>
      </c>
      <c r="B2107" s="1" t="s">
        <v>7137</v>
      </c>
      <c r="C2107" s="1" t="s">
        <v>117</v>
      </c>
      <c r="D2107" s="1" t="s">
        <v>118</v>
      </c>
      <c r="E2107" s="1" t="s">
        <v>59</v>
      </c>
      <c r="F2107" s="1" t="s">
        <v>63</v>
      </c>
      <c r="G2107" s="1" t="s">
        <v>59</v>
      </c>
      <c r="H2107" s="1" t="s">
        <v>64</v>
      </c>
      <c r="K2107" s="1" t="s">
        <v>82</v>
      </c>
      <c r="L2107" s="1" t="s">
        <v>83</v>
      </c>
      <c r="M2107" s="1" t="s">
        <v>1330</v>
      </c>
      <c r="N2107" s="1" t="s">
        <v>68</v>
      </c>
      <c r="O2107" s="1" t="s">
        <v>69</v>
      </c>
      <c r="P2107" s="1" t="s">
        <v>4942</v>
      </c>
      <c r="U2107" s="1" t="s">
        <v>7136</v>
      </c>
      <c r="Z2107" s="1" t="s">
        <v>71</v>
      </c>
      <c r="AE2107" s="1" t="s">
        <v>7129</v>
      </c>
      <c r="AH2107" s="1" t="s">
        <v>73</v>
      </c>
      <c r="AK2107" s="1" t="s">
        <v>71</v>
      </c>
      <c r="AM2107" s="1" t="s">
        <v>71</v>
      </c>
      <c r="AN2107" s="1" t="s">
        <v>71</v>
      </c>
      <c r="AS2107" s="1" t="s">
        <v>71</v>
      </c>
      <c r="AX2107" s="1" t="s">
        <v>71</v>
      </c>
      <c r="AY2107" s="1" t="s">
        <v>59</v>
      </c>
      <c r="AZ2107" s="1" t="s">
        <v>74</v>
      </c>
      <c r="BH2107" s="1" t="s">
        <v>71</v>
      </c>
    </row>
    <row r="2108" customFormat="false" ht="15" hidden="false" customHeight="false" outlineLevel="0" collapsed="false">
      <c r="A2108" s="1" t="s">
        <v>7138</v>
      </c>
      <c r="B2108" s="1" t="s">
        <v>7139</v>
      </c>
      <c r="C2108" s="1" t="s">
        <v>2051</v>
      </c>
      <c r="D2108" s="1" t="s">
        <v>7140</v>
      </c>
      <c r="E2108" s="1" t="s">
        <v>61</v>
      </c>
      <c r="F2108" s="1" t="s">
        <v>101</v>
      </c>
      <c r="G2108" s="1" t="s">
        <v>1772</v>
      </c>
      <c r="H2108" s="1" t="s">
        <v>6148</v>
      </c>
      <c r="K2108" s="1" t="s">
        <v>88</v>
      </c>
      <c r="L2108" s="1" t="s">
        <v>6455</v>
      </c>
      <c r="M2108" s="1" t="s">
        <v>242</v>
      </c>
      <c r="N2108" s="1" t="s">
        <v>6456</v>
      </c>
      <c r="O2108" s="1" t="s">
        <v>6457</v>
      </c>
      <c r="P2108" s="1" t="s">
        <v>6458</v>
      </c>
      <c r="U2108" s="1" t="s">
        <v>7138</v>
      </c>
      <c r="Z2108" s="1" t="s">
        <v>71</v>
      </c>
      <c r="AE2108" s="1" t="s">
        <v>7141</v>
      </c>
      <c r="AH2108" s="1" t="s">
        <v>73</v>
      </c>
      <c r="AK2108" s="1" t="s">
        <v>71</v>
      </c>
      <c r="AM2108" s="1" t="s">
        <v>71</v>
      </c>
      <c r="AN2108" s="1" t="s">
        <v>71</v>
      </c>
      <c r="AS2108" s="1" t="s">
        <v>71</v>
      </c>
      <c r="AX2108" s="1" t="s">
        <v>71</v>
      </c>
      <c r="AY2108" s="1" t="s">
        <v>59</v>
      </c>
      <c r="AZ2108" s="1" t="s">
        <v>74</v>
      </c>
      <c r="BH2108" s="1" t="s">
        <v>71</v>
      </c>
    </row>
    <row r="2109" customFormat="false" ht="15" hidden="false" customHeight="false" outlineLevel="0" collapsed="false">
      <c r="A2109" s="1" t="s">
        <v>7142</v>
      </c>
      <c r="B2109" s="1" t="s">
        <v>7143</v>
      </c>
      <c r="C2109" s="1" t="s">
        <v>2051</v>
      </c>
      <c r="D2109" s="1" t="s">
        <v>7140</v>
      </c>
      <c r="E2109" s="1" t="s">
        <v>61</v>
      </c>
      <c r="F2109" s="1" t="s">
        <v>101</v>
      </c>
      <c r="G2109" s="1" t="s">
        <v>1772</v>
      </c>
      <c r="H2109" s="1" t="s">
        <v>6148</v>
      </c>
      <c r="K2109" s="1" t="s">
        <v>88</v>
      </c>
      <c r="L2109" s="1" t="s">
        <v>6455</v>
      </c>
      <c r="M2109" s="1" t="s">
        <v>242</v>
      </c>
      <c r="N2109" s="1" t="s">
        <v>6456</v>
      </c>
      <c r="O2109" s="1" t="s">
        <v>6457</v>
      </c>
      <c r="P2109" s="1" t="s">
        <v>6458</v>
      </c>
      <c r="U2109" s="1" t="s">
        <v>7142</v>
      </c>
      <c r="Z2109" s="1" t="s">
        <v>71</v>
      </c>
      <c r="AE2109" s="1" t="s">
        <v>7141</v>
      </c>
      <c r="AH2109" s="1" t="s">
        <v>73</v>
      </c>
      <c r="AK2109" s="1" t="s">
        <v>71</v>
      </c>
      <c r="AM2109" s="1" t="s">
        <v>71</v>
      </c>
      <c r="AN2109" s="1" t="s">
        <v>71</v>
      </c>
      <c r="AS2109" s="1" t="s">
        <v>71</v>
      </c>
      <c r="AX2109" s="1" t="s">
        <v>71</v>
      </c>
      <c r="AY2109" s="1" t="s">
        <v>59</v>
      </c>
      <c r="AZ2109" s="1" t="s">
        <v>74</v>
      </c>
      <c r="BH2109" s="1" t="s">
        <v>71</v>
      </c>
    </row>
    <row r="2110" customFormat="false" ht="15" hidden="false" customHeight="false" outlineLevel="0" collapsed="false">
      <c r="A2110" s="1" t="s">
        <v>7144</v>
      </c>
      <c r="B2110" s="1" t="s">
        <v>7145</v>
      </c>
      <c r="C2110" s="1" t="s">
        <v>182</v>
      </c>
      <c r="D2110" s="1" t="s">
        <v>239</v>
      </c>
      <c r="E2110" s="1" t="s">
        <v>61</v>
      </c>
      <c r="F2110" s="1" t="s">
        <v>101</v>
      </c>
      <c r="G2110" s="1" t="s">
        <v>148</v>
      </c>
      <c r="H2110" s="1" t="s">
        <v>231</v>
      </c>
      <c r="K2110" s="1" t="s">
        <v>195</v>
      </c>
      <c r="L2110" s="1" t="s">
        <v>3502</v>
      </c>
      <c r="M2110" s="1" t="s">
        <v>1364</v>
      </c>
      <c r="N2110" s="1" t="s">
        <v>243</v>
      </c>
      <c r="O2110" s="1" t="s">
        <v>244</v>
      </c>
      <c r="P2110" s="1" t="s">
        <v>3503</v>
      </c>
      <c r="U2110" s="1" t="s">
        <v>245</v>
      </c>
      <c r="Z2110" s="1" t="s">
        <v>71</v>
      </c>
      <c r="AE2110" s="1" t="s">
        <v>7146</v>
      </c>
      <c r="AH2110" s="1" t="s">
        <v>73</v>
      </c>
      <c r="AK2110" s="1" t="s">
        <v>71</v>
      </c>
      <c r="AM2110" s="1" t="s">
        <v>71</v>
      </c>
      <c r="AN2110" s="1" t="s">
        <v>71</v>
      </c>
      <c r="AS2110" s="1" t="s">
        <v>71</v>
      </c>
      <c r="AX2110" s="1" t="s">
        <v>71</v>
      </c>
      <c r="AY2110" s="1" t="s">
        <v>59</v>
      </c>
      <c r="AZ2110" s="1" t="s">
        <v>74</v>
      </c>
      <c r="BH2110" s="1" t="s">
        <v>71</v>
      </c>
    </row>
    <row r="2111" customFormat="false" ht="15" hidden="false" customHeight="false" outlineLevel="0" collapsed="false">
      <c r="A2111" s="1" t="s">
        <v>7147</v>
      </c>
      <c r="B2111" s="1" t="s">
        <v>7148</v>
      </c>
      <c r="C2111" s="1" t="s">
        <v>182</v>
      </c>
      <c r="D2111" s="1" t="s">
        <v>239</v>
      </c>
      <c r="E2111" s="1" t="s">
        <v>65</v>
      </c>
      <c r="F2111" s="1" t="s">
        <v>119</v>
      </c>
      <c r="G2111" s="1" t="s">
        <v>61</v>
      </c>
      <c r="H2111" s="1" t="s">
        <v>231</v>
      </c>
      <c r="K2111" s="1" t="s">
        <v>1385</v>
      </c>
      <c r="L2111" s="1" t="s">
        <v>1386</v>
      </c>
      <c r="M2111" s="1" t="s">
        <v>1607</v>
      </c>
      <c r="N2111" s="1" t="s">
        <v>1388</v>
      </c>
      <c r="O2111" s="1" t="s">
        <v>1389</v>
      </c>
      <c r="P2111" s="1" t="s">
        <v>5676</v>
      </c>
      <c r="U2111" s="1" t="s">
        <v>245</v>
      </c>
      <c r="Z2111" s="1" t="s">
        <v>71</v>
      </c>
      <c r="AE2111" s="1" t="s">
        <v>7146</v>
      </c>
      <c r="AH2111" s="1" t="s">
        <v>73</v>
      </c>
      <c r="AK2111" s="1" t="s">
        <v>71</v>
      </c>
      <c r="AM2111" s="1" t="s">
        <v>71</v>
      </c>
      <c r="AN2111" s="1" t="s">
        <v>71</v>
      </c>
      <c r="AS2111" s="1" t="s">
        <v>71</v>
      </c>
      <c r="AX2111" s="1" t="s">
        <v>71</v>
      </c>
      <c r="AY2111" s="1" t="s">
        <v>59</v>
      </c>
      <c r="AZ2111" s="1" t="s">
        <v>74</v>
      </c>
      <c r="BH2111" s="1" t="s">
        <v>71</v>
      </c>
    </row>
    <row r="2112" customFormat="false" ht="15" hidden="false" customHeight="false" outlineLevel="0" collapsed="false">
      <c r="A2112" s="1" t="s">
        <v>7149</v>
      </c>
      <c r="B2112" s="1" t="s">
        <v>7150</v>
      </c>
      <c r="C2112" s="1" t="s">
        <v>163</v>
      </c>
      <c r="D2112" s="1" t="s">
        <v>267</v>
      </c>
      <c r="E2112" s="1" t="s">
        <v>61</v>
      </c>
      <c r="F2112" s="1" t="s">
        <v>101</v>
      </c>
      <c r="G2112" s="1" t="s">
        <v>148</v>
      </c>
      <c r="H2112" s="1" t="s">
        <v>231</v>
      </c>
      <c r="K2112" s="1" t="s">
        <v>240</v>
      </c>
      <c r="L2112" s="1" t="s">
        <v>241</v>
      </c>
      <c r="M2112" s="1" t="s">
        <v>296</v>
      </c>
      <c r="N2112" s="1" t="s">
        <v>243</v>
      </c>
      <c r="O2112" s="1" t="s">
        <v>244</v>
      </c>
      <c r="P2112" s="1" t="s">
        <v>3503</v>
      </c>
      <c r="U2112" s="1" t="s">
        <v>7149</v>
      </c>
      <c r="Z2112" s="1" t="s">
        <v>71</v>
      </c>
      <c r="AE2112" s="1" t="s">
        <v>7151</v>
      </c>
      <c r="AH2112" s="1" t="s">
        <v>73</v>
      </c>
      <c r="AK2112" s="1" t="s">
        <v>71</v>
      </c>
      <c r="AM2112" s="1" t="s">
        <v>71</v>
      </c>
      <c r="AN2112" s="1" t="s">
        <v>71</v>
      </c>
      <c r="AS2112" s="1" t="s">
        <v>71</v>
      </c>
      <c r="AX2112" s="1" t="s">
        <v>71</v>
      </c>
      <c r="AY2112" s="1" t="s">
        <v>59</v>
      </c>
      <c r="AZ2112" s="1" t="s">
        <v>74</v>
      </c>
      <c r="BH2112" s="1" t="s">
        <v>71</v>
      </c>
    </row>
    <row r="2113" customFormat="false" ht="15" hidden="false" customHeight="false" outlineLevel="0" collapsed="false">
      <c r="A2113" s="1" t="s">
        <v>7152</v>
      </c>
      <c r="B2113" s="1" t="s">
        <v>7153</v>
      </c>
      <c r="C2113" s="1" t="s">
        <v>2051</v>
      </c>
      <c r="D2113" s="1" t="s">
        <v>7140</v>
      </c>
      <c r="E2113" s="1" t="s">
        <v>61</v>
      </c>
      <c r="F2113" s="1" t="s">
        <v>101</v>
      </c>
      <c r="G2113" s="1" t="s">
        <v>1772</v>
      </c>
      <c r="H2113" s="1" t="s">
        <v>6148</v>
      </c>
      <c r="K2113" s="1" t="s">
        <v>59</v>
      </c>
      <c r="L2113" s="1" t="s">
        <v>6149</v>
      </c>
      <c r="M2113" s="1" t="s">
        <v>242</v>
      </c>
      <c r="N2113" s="1" t="s">
        <v>6151</v>
      </c>
      <c r="O2113" s="1" t="s">
        <v>6152</v>
      </c>
      <c r="P2113" s="1" t="s">
        <v>6153</v>
      </c>
      <c r="S2113" s="1" t="s">
        <v>229</v>
      </c>
      <c r="U2113" s="1" t="s">
        <v>7152</v>
      </c>
      <c r="Z2113" s="1" t="s">
        <v>71</v>
      </c>
      <c r="AE2113" s="1" t="s">
        <v>7151</v>
      </c>
      <c r="AH2113" s="1" t="s">
        <v>73</v>
      </c>
      <c r="AK2113" s="1" t="s">
        <v>71</v>
      </c>
      <c r="AM2113" s="1" t="s">
        <v>71</v>
      </c>
      <c r="AN2113" s="1" t="s">
        <v>71</v>
      </c>
      <c r="AS2113" s="1" t="s">
        <v>71</v>
      </c>
      <c r="AX2113" s="1" t="s">
        <v>71</v>
      </c>
      <c r="AY2113" s="1" t="s">
        <v>59</v>
      </c>
      <c r="AZ2113" s="1" t="s">
        <v>74</v>
      </c>
      <c r="BH2113" s="1" t="s">
        <v>71</v>
      </c>
    </row>
    <row r="2114" customFormat="false" ht="15" hidden="false" customHeight="false" outlineLevel="0" collapsed="false">
      <c r="A2114" s="1" t="s">
        <v>7154</v>
      </c>
      <c r="B2114" s="1" t="s">
        <v>7155</v>
      </c>
      <c r="C2114" s="1" t="s">
        <v>2051</v>
      </c>
      <c r="D2114" s="1" t="s">
        <v>7140</v>
      </c>
      <c r="E2114" s="1" t="s">
        <v>61</v>
      </c>
      <c r="F2114" s="1" t="s">
        <v>101</v>
      </c>
      <c r="G2114" s="1" t="s">
        <v>1772</v>
      </c>
      <c r="H2114" s="1" t="s">
        <v>6148</v>
      </c>
      <c r="K2114" s="1" t="s">
        <v>65</v>
      </c>
      <c r="L2114" s="1" t="s">
        <v>6374</v>
      </c>
      <c r="M2114" s="1" t="s">
        <v>242</v>
      </c>
      <c r="N2114" s="1" t="s">
        <v>6375</v>
      </c>
      <c r="O2114" s="1" t="s">
        <v>6376</v>
      </c>
      <c r="P2114" s="1" t="s">
        <v>6377</v>
      </c>
      <c r="S2114" s="1" t="s">
        <v>229</v>
      </c>
      <c r="U2114" s="1" t="s">
        <v>7156</v>
      </c>
      <c r="Z2114" s="1" t="s">
        <v>71</v>
      </c>
      <c r="AE2114" s="1" t="s">
        <v>7157</v>
      </c>
      <c r="AH2114" s="1" t="s">
        <v>73</v>
      </c>
      <c r="AK2114" s="1" t="s">
        <v>71</v>
      </c>
      <c r="AM2114" s="1" t="s">
        <v>71</v>
      </c>
      <c r="AN2114" s="1" t="s">
        <v>71</v>
      </c>
      <c r="AS2114" s="1" t="s">
        <v>71</v>
      </c>
      <c r="AX2114" s="1" t="s">
        <v>71</v>
      </c>
      <c r="AY2114" s="1" t="s">
        <v>59</v>
      </c>
      <c r="AZ2114" s="1" t="s">
        <v>74</v>
      </c>
      <c r="BH2114" s="1" t="s">
        <v>71</v>
      </c>
    </row>
    <row r="2115" customFormat="false" ht="15" hidden="false" customHeight="false" outlineLevel="0" collapsed="false">
      <c r="A2115" s="1" t="s">
        <v>7158</v>
      </c>
      <c r="B2115" s="1" t="s">
        <v>7159</v>
      </c>
      <c r="C2115" s="1" t="s">
        <v>161</v>
      </c>
      <c r="D2115" s="1" t="s">
        <v>162</v>
      </c>
      <c r="E2115" s="1" t="s">
        <v>61</v>
      </c>
      <c r="F2115" s="1" t="s">
        <v>101</v>
      </c>
      <c r="G2115" s="1" t="s">
        <v>130</v>
      </c>
      <c r="H2115" s="1" t="s">
        <v>5179</v>
      </c>
      <c r="K2115" s="1" t="s">
        <v>5180</v>
      </c>
      <c r="L2115" s="1" t="s">
        <v>5181</v>
      </c>
      <c r="M2115" s="1" t="s">
        <v>592</v>
      </c>
      <c r="N2115" s="1" t="s">
        <v>1177</v>
      </c>
      <c r="O2115" s="1" t="s">
        <v>1178</v>
      </c>
      <c r="P2115" s="1" t="s">
        <v>4732</v>
      </c>
      <c r="U2115" s="1" t="s">
        <v>7158</v>
      </c>
      <c r="Z2115" s="1" t="s">
        <v>71</v>
      </c>
      <c r="AE2115" s="1" t="s">
        <v>7160</v>
      </c>
      <c r="AH2115" s="1" t="s">
        <v>73</v>
      </c>
      <c r="AK2115" s="1" t="s">
        <v>71</v>
      </c>
      <c r="AM2115" s="1" t="s">
        <v>71</v>
      </c>
      <c r="AN2115" s="1" t="s">
        <v>71</v>
      </c>
      <c r="AS2115" s="1" t="s">
        <v>71</v>
      </c>
      <c r="AX2115" s="1" t="s">
        <v>71</v>
      </c>
      <c r="AY2115" s="1" t="s">
        <v>59</v>
      </c>
      <c r="AZ2115" s="1" t="s">
        <v>74</v>
      </c>
      <c r="BH2115" s="1" t="s">
        <v>71</v>
      </c>
    </row>
    <row r="2116" customFormat="false" ht="15" hidden="false" customHeight="false" outlineLevel="0" collapsed="false">
      <c r="A2116" s="1" t="s">
        <v>7161</v>
      </c>
      <c r="B2116" s="1" t="s">
        <v>7162</v>
      </c>
      <c r="C2116" s="1" t="s">
        <v>161</v>
      </c>
      <c r="D2116" s="1" t="s">
        <v>162</v>
      </c>
      <c r="E2116" s="1" t="s">
        <v>61</v>
      </c>
      <c r="F2116" s="1" t="s">
        <v>101</v>
      </c>
      <c r="G2116" s="1" t="s">
        <v>130</v>
      </c>
      <c r="H2116" s="1" t="s">
        <v>5179</v>
      </c>
      <c r="K2116" s="1" t="s">
        <v>5180</v>
      </c>
      <c r="L2116" s="1" t="s">
        <v>5181</v>
      </c>
      <c r="M2116" s="1" t="s">
        <v>592</v>
      </c>
      <c r="N2116" s="1" t="s">
        <v>1177</v>
      </c>
      <c r="O2116" s="1" t="s">
        <v>1178</v>
      </c>
      <c r="P2116" s="1" t="s">
        <v>4732</v>
      </c>
      <c r="U2116" s="1" t="s">
        <v>7161</v>
      </c>
      <c r="Z2116" s="1" t="s">
        <v>71</v>
      </c>
      <c r="AE2116" s="1" t="s">
        <v>7160</v>
      </c>
      <c r="AH2116" s="1" t="s">
        <v>73</v>
      </c>
      <c r="AK2116" s="1" t="s">
        <v>71</v>
      </c>
      <c r="AM2116" s="1" t="s">
        <v>71</v>
      </c>
      <c r="AN2116" s="1" t="s">
        <v>71</v>
      </c>
      <c r="AS2116" s="1" t="s">
        <v>71</v>
      </c>
      <c r="AX2116" s="1" t="s">
        <v>71</v>
      </c>
      <c r="AY2116" s="1" t="s">
        <v>59</v>
      </c>
      <c r="AZ2116" s="1" t="s">
        <v>74</v>
      </c>
      <c r="BH2116" s="1" t="s">
        <v>71</v>
      </c>
    </row>
    <row r="2117" customFormat="false" ht="15" hidden="false" customHeight="false" outlineLevel="0" collapsed="false">
      <c r="A2117" s="1" t="s">
        <v>7163</v>
      </c>
      <c r="B2117" s="1" t="s">
        <v>7164</v>
      </c>
      <c r="C2117" s="1" t="s">
        <v>161</v>
      </c>
      <c r="D2117" s="1" t="s">
        <v>162</v>
      </c>
      <c r="E2117" s="1" t="s">
        <v>61</v>
      </c>
      <c r="F2117" s="1" t="s">
        <v>101</v>
      </c>
      <c r="G2117" s="1" t="s">
        <v>130</v>
      </c>
      <c r="H2117" s="1" t="s">
        <v>5179</v>
      </c>
      <c r="K2117" s="1" t="s">
        <v>5180</v>
      </c>
      <c r="L2117" s="1" t="s">
        <v>5181</v>
      </c>
      <c r="M2117" s="1" t="s">
        <v>1555</v>
      </c>
      <c r="N2117" s="1" t="s">
        <v>105</v>
      </c>
      <c r="O2117" s="1" t="s">
        <v>106</v>
      </c>
      <c r="P2117" s="1" t="s">
        <v>3539</v>
      </c>
      <c r="U2117" s="1" t="s">
        <v>7163</v>
      </c>
      <c r="Z2117" s="1" t="s">
        <v>71</v>
      </c>
      <c r="AE2117" s="1" t="s">
        <v>7160</v>
      </c>
      <c r="AH2117" s="1" t="s">
        <v>73</v>
      </c>
      <c r="AK2117" s="1" t="s">
        <v>71</v>
      </c>
      <c r="AM2117" s="1" t="s">
        <v>71</v>
      </c>
      <c r="AN2117" s="1" t="s">
        <v>71</v>
      </c>
      <c r="AS2117" s="1" t="s">
        <v>71</v>
      </c>
      <c r="AX2117" s="1" t="s">
        <v>71</v>
      </c>
      <c r="AY2117" s="1" t="s">
        <v>59</v>
      </c>
      <c r="AZ2117" s="1" t="s">
        <v>74</v>
      </c>
      <c r="BH2117" s="1" t="s">
        <v>71</v>
      </c>
    </row>
    <row r="2118" customFormat="false" ht="15" hidden="false" customHeight="false" outlineLevel="0" collapsed="false">
      <c r="A2118" s="1" t="s">
        <v>7165</v>
      </c>
      <c r="B2118" s="1" t="s">
        <v>7166</v>
      </c>
      <c r="C2118" s="1" t="s">
        <v>161</v>
      </c>
      <c r="D2118" s="1" t="s">
        <v>162</v>
      </c>
      <c r="E2118" s="1" t="s">
        <v>61</v>
      </c>
      <c r="F2118" s="1" t="s">
        <v>101</v>
      </c>
      <c r="G2118" s="1" t="s">
        <v>130</v>
      </c>
      <c r="H2118" s="1" t="s">
        <v>5179</v>
      </c>
      <c r="K2118" s="1" t="s">
        <v>5180</v>
      </c>
      <c r="L2118" s="1" t="s">
        <v>5181</v>
      </c>
      <c r="M2118" s="1" t="s">
        <v>1555</v>
      </c>
      <c r="N2118" s="1" t="s">
        <v>105</v>
      </c>
      <c r="O2118" s="1" t="s">
        <v>106</v>
      </c>
      <c r="P2118" s="1" t="s">
        <v>3539</v>
      </c>
      <c r="U2118" s="1" t="s">
        <v>7165</v>
      </c>
      <c r="Z2118" s="1" t="s">
        <v>71</v>
      </c>
      <c r="AE2118" s="1" t="s">
        <v>7160</v>
      </c>
      <c r="AH2118" s="1" t="s">
        <v>73</v>
      </c>
      <c r="AK2118" s="1" t="s">
        <v>71</v>
      </c>
      <c r="AM2118" s="1" t="s">
        <v>71</v>
      </c>
      <c r="AN2118" s="1" t="s">
        <v>71</v>
      </c>
      <c r="AS2118" s="1" t="s">
        <v>71</v>
      </c>
      <c r="AX2118" s="1" t="s">
        <v>71</v>
      </c>
      <c r="AY2118" s="1" t="s">
        <v>59</v>
      </c>
      <c r="AZ2118" s="1" t="s">
        <v>74</v>
      </c>
      <c r="BH2118" s="1" t="s">
        <v>71</v>
      </c>
    </row>
    <row r="2119" customFormat="false" ht="15" hidden="false" customHeight="false" outlineLevel="0" collapsed="false">
      <c r="A2119" s="1" t="s">
        <v>7167</v>
      </c>
      <c r="B2119" s="1" t="s">
        <v>7168</v>
      </c>
      <c r="C2119" s="1" t="s">
        <v>161</v>
      </c>
      <c r="D2119" s="1" t="s">
        <v>162</v>
      </c>
      <c r="E2119" s="1" t="s">
        <v>61</v>
      </c>
      <c r="F2119" s="1" t="s">
        <v>101</v>
      </c>
      <c r="G2119" s="1" t="s">
        <v>130</v>
      </c>
      <c r="H2119" s="1" t="s">
        <v>5179</v>
      </c>
      <c r="K2119" s="1" t="s">
        <v>5180</v>
      </c>
      <c r="L2119" s="1" t="s">
        <v>5181</v>
      </c>
      <c r="M2119" s="1" t="s">
        <v>592</v>
      </c>
      <c r="N2119" s="1" t="s">
        <v>1177</v>
      </c>
      <c r="O2119" s="1" t="s">
        <v>1178</v>
      </c>
      <c r="P2119" s="1" t="s">
        <v>4732</v>
      </c>
      <c r="U2119" s="1" t="s">
        <v>7167</v>
      </c>
      <c r="Z2119" s="1" t="s">
        <v>71</v>
      </c>
      <c r="AE2119" s="1" t="s">
        <v>7160</v>
      </c>
      <c r="AH2119" s="1" t="s">
        <v>73</v>
      </c>
      <c r="AK2119" s="1" t="s">
        <v>71</v>
      </c>
      <c r="AM2119" s="1" t="s">
        <v>71</v>
      </c>
      <c r="AN2119" s="1" t="s">
        <v>71</v>
      </c>
      <c r="AS2119" s="1" t="s">
        <v>71</v>
      </c>
      <c r="AX2119" s="1" t="s">
        <v>71</v>
      </c>
      <c r="AY2119" s="1" t="s">
        <v>59</v>
      </c>
      <c r="AZ2119" s="1" t="s">
        <v>74</v>
      </c>
      <c r="BH2119" s="1" t="s">
        <v>71</v>
      </c>
    </row>
    <row r="2120" customFormat="false" ht="15" hidden="false" customHeight="false" outlineLevel="0" collapsed="false">
      <c r="A2120" s="1" t="s">
        <v>7169</v>
      </c>
      <c r="B2120" s="1" t="s">
        <v>7170</v>
      </c>
      <c r="C2120" s="1" t="s">
        <v>161</v>
      </c>
      <c r="D2120" s="1" t="s">
        <v>162</v>
      </c>
      <c r="E2120" s="1" t="s">
        <v>61</v>
      </c>
      <c r="F2120" s="1" t="s">
        <v>101</v>
      </c>
      <c r="G2120" s="1" t="s">
        <v>130</v>
      </c>
      <c r="H2120" s="1" t="s">
        <v>5179</v>
      </c>
      <c r="K2120" s="1" t="s">
        <v>5180</v>
      </c>
      <c r="L2120" s="1" t="s">
        <v>5181</v>
      </c>
      <c r="M2120" s="1" t="s">
        <v>1555</v>
      </c>
      <c r="N2120" s="1" t="s">
        <v>68</v>
      </c>
      <c r="O2120" s="1" t="s">
        <v>69</v>
      </c>
      <c r="P2120" s="1" t="s">
        <v>4942</v>
      </c>
      <c r="U2120" s="1" t="s">
        <v>7169</v>
      </c>
      <c r="Z2120" s="1" t="s">
        <v>71</v>
      </c>
      <c r="AE2120" s="1" t="s">
        <v>7160</v>
      </c>
      <c r="AH2120" s="1" t="s">
        <v>73</v>
      </c>
      <c r="AK2120" s="1" t="s">
        <v>71</v>
      </c>
      <c r="AM2120" s="1" t="s">
        <v>71</v>
      </c>
      <c r="AN2120" s="1" t="s">
        <v>71</v>
      </c>
      <c r="AS2120" s="1" t="s">
        <v>71</v>
      </c>
      <c r="AX2120" s="1" t="s">
        <v>71</v>
      </c>
      <c r="AY2120" s="1" t="s">
        <v>59</v>
      </c>
      <c r="AZ2120" s="1" t="s">
        <v>74</v>
      </c>
      <c r="BH2120" s="1" t="s">
        <v>71</v>
      </c>
    </row>
    <row r="2121" customFormat="false" ht="15" hidden="false" customHeight="false" outlineLevel="0" collapsed="false">
      <c r="A2121" s="1" t="s">
        <v>7171</v>
      </c>
      <c r="B2121" s="1" t="s">
        <v>7172</v>
      </c>
      <c r="C2121" s="1" t="s">
        <v>161</v>
      </c>
      <c r="D2121" s="1" t="s">
        <v>162</v>
      </c>
      <c r="E2121" s="1" t="s">
        <v>61</v>
      </c>
      <c r="F2121" s="1" t="s">
        <v>101</v>
      </c>
      <c r="G2121" s="1" t="s">
        <v>130</v>
      </c>
      <c r="H2121" s="1" t="s">
        <v>5179</v>
      </c>
      <c r="K2121" s="1" t="s">
        <v>5180</v>
      </c>
      <c r="L2121" s="1" t="s">
        <v>5181</v>
      </c>
      <c r="M2121" s="1" t="s">
        <v>104</v>
      </c>
      <c r="N2121" s="1" t="s">
        <v>105</v>
      </c>
      <c r="O2121" s="1" t="s">
        <v>106</v>
      </c>
      <c r="P2121" s="1" t="s">
        <v>3539</v>
      </c>
      <c r="U2121" s="1" t="s">
        <v>7171</v>
      </c>
      <c r="Z2121" s="1" t="s">
        <v>71</v>
      </c>
      <c r="AE2121" s="1" t="s">
        <v>7160</v>
      </c>
      <c r="AH2121" s="1" t="s">
        <v>73</v>
      </c>
      <c r="AK2121" s="1" t="s">
        <v>71</v>
      </c>
      <c r="AM2121" s="1" t="s">
        <v>71</v>
      </c>
      <c r="AN2121" s="1" t="s">
        <v>71</v>
      </c>
      <c r="AS2121" s="1" t="s">
        <v>71</v>
      </c>
      <c r="AX2121" s="1" t="s">
        <v>71</v>
      </c>
      <c r="AY2121" s="1" t="s">
        <v>59</v>
      </c>
      <c r="AZ2121" s="1" t="s">
        <v>74</v>
      </c>
      <c r="BH2121" s="1" t="s">
        <v>71</v>
      </c>
    </row>
    <row r="2122" customFormat="false" ht="15" hidden="false" customHeight="false" outlineLevel="0" collapsed="false">
      <c r="A2122" s="1" t="s">
        <v>7173</v>
      </c>
      <c r="B2122" s="1" t="s">
        <v>7174</v>
      </c>
      <c r="C2122" s="1" t="s">
        <v>161</v>
      </c>
      <c r="D2122" s="1" t="s">
        <v>162</v>
      </c>
      <c r="E2122" s="1" t="s">
        <v>61</v>
      </c>
      <c r="F2122" s="1" t="s">
        <v>101</v>
      </c>
      <c r="G2122" s="1" t="s">
        <v>93</v>
      </c>
      <c r="H2122" s="1" t="s">
        <v>64</v>
      </c>
      <c r="K2122" s="1" t="s">
        <v>290</v>
      </c>
      <c r="L2122" s="1" t="s">
        <v>291</v>
      </c>
      <c r="M2122" s="1" t="s">
        <v>104</v>
      </c>
      <c r="N2122" s="1" t="s">
        <v>105</v>
      </c>
      <c r="O2122" s="1" t="s">
        <v>106</v>
      </c>
      <c r="P2122" s="1" t="s">
        <v>3539</v>
      </c>
      <c r="U2122" s="1" t="s">
        <v>7173</v>
      </c>
      <c r="Z2122" s="1" t="s">
        <v>71</v>
      </c>
      <c r="AE2122" s="1" t="s">
        <v>7160</v>
      </c>
      <c r="AH2122" s="1" t="s">
        <v>73</v>
      </c>
      <c r="AK2122" s="1" t="s">
        <v>71</v>
      </c>
      <c r="AM2122" s="1" t="s">
        <v>71</v>
      </c>
      <c r="AN2122" s="1" t="s">
        <v>71</v>
      </c>
      <c r="AS2122" s="1" t="s">
        <v>71</v>
      </c>
      <c r="AX2122" s="1" t="s">
        <v>71</v>
      </c>
      <c r="AY2122" s="1" t="s">
        <v>59</v>
      </c>
      <c r="AZ2122" s="1" t="s">
        <v>74</v>
      </c>
      <c r="BH2122" s="1" t="s">
        <v>71</v>
      </c>
    </row>
    <row r="2123" customFormat="false" ht="15" hidden="false" customHeight="false" outlineLevel="0" collapsed="false">
      <c r="A2123" s="1" t="s">
        <v>7175</v>
      </c>
      <c r="B2123" s="1" t="s">
        <v>7176</v>
      </c>
      <c r="C2123" s="1" t="s">
        <v>2060</v>
      </c>
      <c r="D2123" s="1" t="s">
        <v>7177</v>
      </c>
      <c r="E2123" s="1" t="s">
        <v>61</v>
      </c>
      <c r="F2123" s="1" t="s">
        <v>101</v>
      </c>
      <c r="G2123" s="1" t="s">
        <v>93</v>
      </c>
      <c r="H2123" s="1" t="s">
        <v>64</v>
      </c>
      <c r="K2123" s="1" t="s">
        <v>229</v>
      </c>
      <c r="L2123" s="1" t="s">
        <v>605</v>
      </c>
      <c r="M2123" s="1" t="s">
        <v>104</v>
      </c>
      <c r="N2123" s="1" t="s">
        <v>105</v>
      </c>
      <c r="O2123" s="1" t="s">
        <v>106</v>
      </c>
      <c r="P2123" s="1" t="s">
        <v>3539</v>
      </c>
      <c r="U2123" s="1" t="s">
        <v>7175</v>
      </c>
      <c r="Z2123" s="1" t="s">
        <v>71</v>
      </c>
      <c r="AE2123" s="1" t="s">
        <v>7178</v>
      </c>
      <c r="AH2123" s="1" t="s">
        <v>73</v>
      </c>
      <c r="AK2123" s="1" t="s">
        <v>71</v>
      </c>
      <c r="AM2123" s="1" t="s">
        <v>71</v>
      </c>
      <c r="AN2123" s="1" t="s">
        <v>71</v>
      </c>
      <c r="AS2123" s="1" t="s">
        <v>71</v>
      </c>
      <c r="AX2123" s="1" t="s">
        <v>71</v>
      </c>
      <c r="AY2123" s="1" t="s">
        <v>59</v>
      </c>
      <c r="AZ2123" s="1" t="s">
        <v>74</v>
      </c>
      <c r="BH2123" s="1" t="s">
        <v>71</v>
      </c>
    </row>
    <row r="2124" customFormat="false" ht="15" hidden="false" customHeight="false" outlineLevel="0" collapsed="false">
      <c r="A2124" s="1" t="s">
        <v>7179</v>
      </c>
      <c r="B2124" s="1" t="s">
        <v>7180</v>
      </c>
      <c r="C2124" s="1" t="s">
        <v>161</v>
      </c>
      <c r="D2124" s="1" t="s">
        <v>162</v>
      </c>
      <c r="E2124" s="1" t="s">
        <v>61</v>
      </c>
      <c r="F2124" s="1" t="s">
        <v>101</v>
      </c>
      <c r="G2124" s="1" t="s">
        <v>130</v>
      </c>
      <c r="H2124" s="1" t="s">
        <v>5179</v>
      </c>
      <c r="K2124" s="1" t="s">
        <v>5180</v>
      </c>
      <c r="L2124" s="1" t="s">
        <v>5181</v>
      </c>
      <c r="M2124" s="1" t="s">
        <v>104</v>
      </c>
      <c r="N2124" s="1" t="s">
        <v>1177</v>
      </c>
      <c r="O2124" s="1" t="s">
        <v>1178</v>
      </c>
      <c r="P2124" s="1" t="s">
        <v>4732</v>
      </c>
      <c r="U2124" s="1" t="s">
        <v>7179</v>
      </c>
      <c r="Z2124" s="1" t="s">
        <v>71</v>
      </c>
      <c r="AE2124" s="1" t="s">
        <v>7178</v>
      </c>
      <c r="AH2124" s="1" t="s">
        <v>73</v>
      </c>
      <c r="AK2124" s="1" t="s">
        <v>71</v>
      </c>
      <c r="AM2124" s="1" t="s">
        <v>71</v>
      </c>
      <c r="AN2124" s="1" t="s">
        <v>71</v>
      </c>
      <c r="AS2124" s="1" t="s">
        <v>71</v>
      </c>
      <c r="AX2124" s="1" t="s">
        <v>71</v>
      </c>
      <c r="AY2124" s="1" t="s">
        <v>59</v>
      </c>
      <c r="AZ2124" s="1" t="s">
        <v>74</v>
      </c>
      <c r="BH2124" s="1" t="s">
        <v>71</v>
      </c>
    </row>
    <row r="2125" customFormat="false" ht="15" hidden="false" customHeight="false" outlineLevel="0" collapsed="false">
      <c r="A2125" s="1" t="s">
        <v>7181</v>
      </c>
      <c r="B2125" s="1" t="s">
        <v>7182</v>
      </c>
      <c r="C2125" s="1" t="s">
        <v>1795</v>
      </c>
      <c r="D2125" s="1" t="s">
        <v>6570</v>
      </c>
      <c r="E2125" s="1" t="s">
        <v>82</v>
      </c>
      <c r="F2125" s="1" t="s">
        <v>391</v>
      </c>
      <c r="G2125" s="1" t="s">
        <v>97</v>
      </c>
      <c r="H2125" s="1" t="s">
        <v>406</v>
      </c>
      <c r="K2125" s="1" t="s">
        <v>407</v>
      </c>
      <c r="L2125" s="1" t="s">
        <v>408</v>
      </c>
      <c r="M2125" s="1" t="s">
        <v>496</v>
      </c>
      <c r="N2125" s="1" t="s">
        <v>1881</v>
      </c>
      <c r="O2125" s="1" t="s">
        <v>1882</v>
      </c>
      <c r="P2125" s="1" t="s">
        <v>5314</v>
      </c>
      <c r="U2125" s="1" t="s">
        <v>7181</v>
      </c>
      <c r="Z2125" s="1" t="s">
        <v>71</v>
      </c>
      <c r="AE2125" s="1" t="s">
        <v>7183</v>
      </c>
      <c r="AH2125" s="1" t="s">
        <v>73</v>
      </c>
      <c r="AK2125" s="1" t="s">
        <v>71</v>
      </c>
      <c r="AM2125" s="1" t="s">
        <v>71</v>
      </c>
      <c r="AN2125" s="1" t="s">
        <v>71</v>
      </c>
      <c r="AS2125" s="1" t="s">
        <v>71</v>
      </c>
      <c r="AX2125" s="1" t="s">
        <v>71</v>
      </c>
      <c r="BH2125" s="1" t="s">
        <v>71</v>
      </c>
    </row>
    <row r="2126" customFormat="false" ht="15" hidden="false" customHeight="false" outlineLevel="0" collapsed="false">
      <c r="A2126" s="1" t="s">
        <v>7184</v>
      </c>
      <c r="B2126" s="1" t="s">
        <v>7185</v>
      </c>
      <c r="C2126" s="1" t="s">
        <v>718</v>
      </c>
      <c r="D2126" s="1" t="s">
        <v>900</v>
      </c>
      <c r="E2126" s="1" t="s">
        <v>82</v>
      </c>
      <c r="F2126" s="1" t="s">
        <v>391</v>
      </c>
      <c r="G2126" s="1" t="s">
        <v>213</v>
      </c>
      <c r="H2126" s="1" t="s">
        <v>477</v>
      </c>
      <c r="K2126" s="1" t="s">
        <v>478</v>
      </c>
      <c r="L2126" s="1" t="s">
        <v>479</v>
      </c>
      <c r="M2126" s="1" t="s">
        <v>496</v>
      </c>
      <c r="N2126" s="1" t="s">
        <v>7186</v>
      </c>
      <c r="O2126" s="1" t="s">
        <v>400</v>
      </c>
      <c r="P2126" s="1" t="s">
        <v>7187</v>
      </c>
      <c r="U2126" s="1" t="s">
        <v>7184</v>
      </c>
      <c r="Z2126" s="1" t="s">
        <v>71</v>
      </c>
      <c r="AE2126" s="1" t="s">
        <v>7183</v>
      </c>
      <c r="AH2126" s="1" t="s">
        <v>73</v>
      </c>
      <c r="AK2126" s="1" t="s">
        <v>71</v>
      </c>
      <c r="AM2126" s="1" t="s">
        <v>71</v>
      </c>
      <c r="AN2126" s="1" t="s">
        <v>71</v>
      </c>
      <c r="AS2126" s="1" t="s">
        <v>71</v>
      </c>
      <c r="AX2126" s="1" t="s">
        <v>71</v>
      </c>
      <c r="BH2126" s="1" t="s">
        <v>71</v>
      </c>
    </row>
    <row r="2127" customFormat="false" ht="15" hidden="false" customHeight="false" outlineLevel="0" collapsed="false">
      <c r="A2127" s="1" t="s">
        <v>7188</v>
      </c>
      <c r="B2127" s="1" t="s">
        <v>7189</v>
      </c>
      <c r="C2127" s="1" t="s">
        <v>718</v>
      </c>
      <c r="D2127" s="1" t="s">
        <v>900</v>
      </c>
      <c r="E2127" s="1" t="s">
        <v>82</v>
      </c>
      <c r="F2127" s="1" t="s">
        <v>391</v>
      </c>
      <c r="G2127" s="1" t="s">
        <v>213</v>
      </c>
      <c r="H2127" s="1" t="s">
        <v>477</v>
      </c>
      <c r="K2127" s="1" t="s">
        <v>478</v>
      </c>
      <c r="L2127" s="1" t="s">
        <v>479</v>
      </c>
      <c r="M2127" s="1" t="s">
        <v>496</v>
      </c>
      <c r="N2127" s="1" t="s">
        <v>7190</v>
      </c>
      <c r="O2127" s="1" t="s">
        <v>400</v>
      </c>
      <c r="P2127" s="1" t="s">
        <v>7191</v>
      </c>
      <c r="U2127" s="1" t="s">
        <v>7188</v>
      </c>
      <c r="Z2127" s="1" t="s">
        <v>71</v>
      </c>
      <c r="AE2127" s="1" t="s">
        <v>7183</v>
      </c>
      <c r="AH2127" s="1" t="s">
        <v>73</v>
      </c>
      <c r="AK2127" s="1" t="s">
        <v>71</v>
      </c>
      <c r="AM2127" s="1" t="s">
        <v>71</v>
      </c>
      <c r="AN2127" s="1" t="s">
        <v>71</v>
      </c>
      <c r="AS2127" s="1" t="s">
        <v>71</v>
      </c>
      <c r="AX2127" s="1" t="s">
        <v>71</v>
      </c>
      <c r="BH2127" s="1" t="s">
        <v>71</v>
      </c>
    </row>
    <row r="2128" customFormat="false" ht="15" hidden="false" customHeight="false" outlineLevel="0" collapsed="false">
      <c r="A2128" s="1" t="s">
        <v>7192</v>
      </c>
      <c r="B2128" s="1" t="s">
        <v>7193</v>
      </c>
      <c r="C2128" s="1" t="s">
        <v>718</v>
      </c>
      <c r="D2128" s="1" t="s">
        <v>900</v>
      </c>
      <c r="E2128" s="1" t="s">
        <v>82</v>
      </c>
      <c r="F2128" s="1" t="s">
        <v>391</v>
      </c>
      <c r="G2128" s="1" t="s">
        <v>213</v>
      </c>
      <c r="H2128" s="1" t="s">
        <v>477</v>
      </c>
      <c r="K2128" s="1" t="s">
        <v>478</v>
      </c>
      <c r="L2128" s="1" t="s">
        <v>479</v>
      </c>
      <c r="M2128" s="1" t="s">
        <v>496</v>
      </c>
      <c r="N2128" s="1" t="s">
        <v>2370</v>
      </c>
      <c r="O2128" s="1" t="s">
        <v>400</v>
      </c>
      <c r="P2128" s="1" t="s">
        <v>7194</v>
      </c>
      <c r="U2128" s="1" t="s">
        <v>7192</v>
      </c>
      <c r="Z2128" s="1" t="s">
        <v>71</v>
      </c>
      <c r="AE2128" s="1" t="s">
        <v>7183</v>
      </c>
      <c r="AH2128" s="1" t="s">
        <v>73</v>
      </c>
      <c r="AK2128" s="1" t="s">
        <v>71</v>
      </c>
      <c r="AM2128" s="1" t="s">
        <v>71</v>
      </c>
      <c r="AN2128" s="1" t="s">
        <v>71</v>
      </c>
      <c r="AS2128" s="1" t="s">
        <v>71</v>
      </c>
      <c r="AX2128" s="1" t="s">
        <v>71</v>
      </c>
      <c r="BH2128" s="1" t="s">
        <v>71</v>
      </c>
    </row>
    <row r="2129" customFormat="false" ht="15" hidden="false" customHeight="false" outlineLevel="0" collapsed="false">
      <c r="A2129" s="1" t="s">
        <v>7195</v>
      </c>
      <c r="B2129" s="1" t="s">
        <v>7196</v>
      </c>
      <c r="C2129" s="1" t="s">
        <v>1762</v>
      </c>
      <c r="D2129" s="1" t="s">
        <v>6427</v>
      </c>
      <c r="E2129" s="1" t="s">
        <v>61</v>
      </c>
      <c r="F2129" s="1" t="s">
        <v>101</v>
      </c>
      <c r="G2129" s="1" t="s">
        <v>1772</v>
      </c>
      <c r="H2129" s="1" t="s">
        <v>6148</v>
      </c>
      <c r="K2129" s="1" t="s">
        <v>59</v>
      </c>
      <c r="L2129" s="1" t="s">
        <v>6149</v>
      </c>
      <c r="M2129" s="1" t="s">
        <v>242</v>
      </c>
      <c r="N2129" s="1" t="s">
        <v>6151</v>
      </c>
      <c r="O2129" s="1" t="s">
        <v>6152</v>
      </c>
      <c r="P2129" s="1" t="s">
        <v>6153</v>
      </c>
      <c r="S2129" s="1" t="s">
        <v>229</v>
      </c>
      <c r="U2129" s="1" t="s">
        <v>7195</v>
      </c>
      <c r="Z2129" s="1" t="s">
        <v>71</v>
      </c>
      <c r="AE2129" s="1" t="s">
        <v>7183</v>
      </c>
      <c r="AH2129" s="1" t="s">
        <v>73</v>
      </c>
      <c r="AK2129" s="1" t="s">
        <v>71</v>
      </c>
      <c r="AM2129" s="1" t="s">
        <v>71</v>
      </c>
      <c r="AN2129" s="1" t="s">
        <v>71</v>
      </c>
      <c r="AS2129" s="1" t="s">
        <v>71</v>
      </c>
      <c r="AX2129" s="1" t="s">
        <v>71</v>
      </c>
      <c r="AY2129" s="1" t="s">
        <v>59</v>
      </c>
      <c r="AZ2129" s="1" t="s">
        <v>74</v>
      </c>
      <c r="BH2129" s="1" t="s">
        <v>71</v>
      </c>
    </row>
    <row r="2130" customFormat="false" ht="15" hidden="false" customHeight="false" outlineLevel="0" collapsed="false">
      <c r="A2130" s="1" t="s">
        <v>7197</v>
      </c>
      <c r="B2130" s="1" t="s">
        <v>7198</v>
      </c>
      <c r="C2130" s="1" t="s">
        <v>7199</v>
      </c>
      <c r="D2130" s="1" t="s">
        <v>7200</v>
      </c>
      <c r="E2130" s="1" t="s">
        <v>82</v>
      </c>
      <c r="F2130" s="1" t="s">
        <v>391</v>
      </c>
      <c r="G2130" s="1" t="s">
        <v>97</v>
      </c>
      <c r="H2130" s="1" t="s">
        <v>406</v>
      </c>
      <c r="K2130" s="1" t="s">
        <v>65</v>
      </c>
      <c r="L2130" s="1" t="s">
        <v>860</v>
      </c>
      <c r="M2130" s="1" t="s">
        <v>496</v>
      </c>
      <c r="N2130" s="1" t="s">
        <v>7201</v>
      </c>
      <c r="O2130" s="1" t="s">
        <v>400</v>
      </c>
      <c r="P2130" s="1" t="s">
        <v>7202</v>
      </c>
      <c r="U2130" s="1" t="s">
        <v>7197</v>
      </c>
      <c r="Z2130" s="1" t="s">
        <v>71</v>
      </c>
      <c r="AE2130" s="1" t="s">
        <v>7203</v>
      </c>
      <c r="AH2130" s="1" t="s">
        <v>73</v>
      </c>
      <c r="AK2130" s="1" t="s">
        <v>71</v>
      </c>
      <c r="AM2130" s="1" t="s">
        <v>71</v>
      </c>
      <c r="AN2130" s="1" t="s">
        <v>71</v>
      </c>
      <c r="AS2130" s="1" t="s">
        <v>71</v>
      </c>
      <c r="AX2130" s="1" t="s">
        <v>71</v>
      </c>
      <c r="BH2130" s="1" t="s">
        <v>71</v>
      </c>
    </row>
    <row r="2131" customFormat="false" ht="15" hidden="false" customHeight="false" outlineLevel="0" collapsed="false">
      <c r="A2131" s="1" t="s">
        <v>7204</v>
      </c>
      <c r="B2131" s="1" t="s">
        <v>7205</v>
      </c>
      <c r="C2131" s="1" t="s">
        <v>2071</v>
      </c>
      <c r="D2131" s="1" t="s">
        <v>7206</v>
      </c>
      <c r="E2131" s="1" t="s">
        <v>61</v>
      </c>
      <c r="F2131" s="1" t="s">
        <v>101</v>
      </c>
      <c r="G2131" s="1" t="s">
        <v>275</v>
      </c>
      <c r="H2131" s="1" t="s">
        <v>276</v>
      </c>
      <c r="K2131" s="1" t="s">
        <v>256</v>
      </c>
      <c r="L2131" s="1" t="s">
        <v>6281</v>
      </c>
      <c r="M2131" s="1" t="s">
        <v>296</v>
      </c>
      <c r="N2131" s="1" t="s">
        <v>1365</v>
      </c>
      <c r="O2131" s="1" t="s">
        <v>1366</v>
      </c>
      <c r="P2131" s="1" t="s">
        <v>4820</v>
      </c>
      <c r="U2131" s="1" t="s">
        <v>7207</v>
      </c>
      <c r="Z2131" s="1" t="s">
        <v>71</v>
      </c>
      <c r="AE2131" s="1" t="s">
        <v>7203</v>
      </c>
      <c r="AH2131" s="1" t="s">
        <v>73</v>
      </c>
      <c r="AK2131" s="1" t="s">
        <v>71</v>
      </c>
      <c r="AM2131" s="1" t="s">
        <v>71</v>
      </c>
      <c r="AN2131" s="1" t="s">
        <v>71</v>
      </c>
      <c r="AS2131" s="1" t="s">
        <v>71</v>
      </c>
      <c r="AX2131" s="1" t="s">
        <v>71</v>
      </c>
      <c r="AY2131" s="1" t="s">
        <v>59</v>
      </c>
      <c r="AZ2131" s="1" t="s">
        <v>74</v>
      </c>
      <c r="BH2131" s="1" t="s">
        <v>71</v>
      </c>
    </row>
    <row r="2132" customFormat="false" ht="15" hidden="false" customHeight="false" outlineLevel="0" collapsed="false">
      <c r="A2132" s="1" t="s">
        <v>7208</v>
      </c>
      <c r="B2132" s="1" t="s">
        <v>7209</v>
      </c>
      <c r="C2132" s="1" t="s">
        <v>182</v>
      </c>
      <c r="D2132" s="1" t="s">
        <v>239</v>
      </c>
      <c r="E2132" s="1" t="s">
        <v>61</v>
      </c>
      <c r="F2132" s="1" t="s">
        <v>101</v>
      </c>
      <c r="G2132" s="1" t="s">
        <v>177</v>
      </c>
      <c r="H2132" s="1" t="s">
        <v>255</v>
      </c>
      <c r="K2132" s="1" t="s">
        <v>115</v>
      </c>
      <c r="L2132" s="1" t="s">
        <v>1236</v>
      </c>
      <c r="M2132" s="1" t="s">
        <v>278</v>
      </c>
      <c r="N2132" s="1" t="s">
        <v>259</v>
      </c>
      <c r="O2132" s="1" t="s">
        <v>260</v>
      </c>
      <c r="P2132" s="1" t="s">
        <v>3768</v>
      </c>
      <c r="U2132" s="1" t="s">
        <v>245</v>
      </c>
      <c r="Z2132" s="1" t="s">
        <v>71</v>
      </c>
      <c r="AE2132" s="1" t="s">
        <v>7210</v>
      </c>
      <c r="AH2132" s="1" t="s">
        <v>73</v>
      </c>
      <c r="AK2132" s="1" t="s">
        <v>71</v>
      </c>
      <c r="AM2132" s="1" t="s">
        <v>71</v>
      </c>
      <c r="AN2132" s="1" t="s">
        <v>71</v>
      </c>
      <c r="AS2132" s="1" t="s">
        <v>71</v>
      </c>
      <c r="AX2132" s="1" t="s">
        <v>71</v>
      </c>
      <c r="AY2132" s="1" t="s">
        <v>59</v>
      </c>
      <c r="AZ2132" s="1" t="s">
        <v>74</v>
      </c>
      <c r="BH2132" s="1" t="s">
        <v>71</v>
      </c>
    </row>
    <row r="2133" customFormat="false" ht="15" hidden="false" customHeight="false" outlineLevel="0" collapsed="false">
      <c r="A2133" s="1" t="s">
        <v>7211</v>
      </c>
      <c r="B2133" s="1" t="s">
        <v>7212</v>
      </c>
      <c r="C2133" s="1" t="s">
        <v>1855</v>
      </c>
      <c r="D2133" s="1" t="s">
        <v>6651</v>
      </c>
      <c r="E2133" s="1" t="s">
        <v>61</v>
      </c>
      <c r="F2133" s="1" t="s">
        <v>101</v>
      </c>
      <c r="G2133" s="1" t="s">
        <v>1772</v>
      </c>
      <c r="H2133" s="1" t="s">
        <v>6148</v>
      </c>
      <c r="K2133" s="1" t="s">
        <v>275</v>
      </c>
      <c r="L2133" s="1" t="s">
        <v>6652</v>
      </c>
      <c r="M2133" s="1" t="s">
        <v>258</v>
      </c>
      <c r="N2133" s="1" t="s">
        <v>6659</v>
      </c>
      <c r="O2133" s="1" t="s">
        <v>6660</v>
      </c>
      <c r="P2133" s="1" t="s">
        <v>6661</v>
      </c>
      <c r="U2133" s="1" t="s">
        <v>7211</v>
      </c>
      <c r="Z2133" s="1" t="s">
        <v>71</v>
      </c>
      <c r="AE2133" s="1" t="s">
        <v>7213</v>
      </c>
      <c r="AH2133" s="1" t="s">
        <v>73</v>
      </c>
      <c r="AK2133" s="1" t="s">
        <v>71</v>
      </c>
      <c r="AM2133" s="1" t="s">
        <v>71</v>
      </c>
      <c r="AN2133" s="1" t="s">
        <v>71</v>
      </c>
      <c r="AS2133" s="1" t="s">
        <v>71</v>
      </c>
      <c r="AX2133" s="1" t="s">
        <v>71</v>
      </c>
      <c r="AY2133" s="1" t="s">
        <v>59</v>
      </c>
      <c r="AZ2133" s="1" t="s">
        <v>74</v>
      </c>
      <c r="BH2133" s="1" t="s">
        <v>71</v>
      </c>
    </row>
    <row r="2134" customFormat="false" ht="15" hidden="false" customHeight="false" outlineLevel="0" collapsed="false">
      <c r="A2134" s="1" t="s">
        <v>7214</v>
      </c>
      <c r="B2134" s="1" t="s">
        <v>7215</v>
      </c>
      <c r="C2134" s="1" t="s">
        <v>1855</v>
      </c>
      <c r="D2134" s="1" t="s">
        <v>6651</v>
      </c>
      <c r="E2134" s="1" t="s">
        <v>61</v>
      </c>
      <c r="F2134" s="1" t="s">
        <v>101</v>
      </c>
      <c r="G2134" s="1" t="s">
        <v>1772</v>
      </c>
      <c r="H2134" s="1" t="s">
        <v>6148</v>
      </c>
      <c r="K2134" s="1" t="s">
        <v>275</v>
      </c>
      <c r="L2134" s="1" t="s">
        <v>6652</v>
      </c>
      <c r="M2134" s="1" t="s">
        <v>258</v>
      </c>
      <c r="N2134" s="1" t="s">
        <v>6659</v>
      </c>
      <c r="O2134" s="1" t="s">
        <v>6660</v>
      </c>
      <c r="P2134" s="1" t="s">
        <v>6661</v>
      </c>
      <c r="U2134" s="1" t="s">
        <v>7214</v>
      </c>
      <c r="Z2134" s="1" t="s">
        <v>71</v>
      </c>
      <c r="AE2134" s="1" t="s">
        <v>7213</v>
      </c>
      <c r="AH2134" s="1" t="s">
        <v>73</v>
      </c>
      <c r="AK2134" s="1" t="s">
        <v>71</v>
      </c>
      <c r="AM2134" s="1" t="s">
        <v>71</v>
      </c>
      <c r="AN2134" s="1" t="s">
        <v>71</v>
      </c>
      <c r="AS2134" s="1" t="s">
        <v>71</v>
      </c>
      <c r="AX2134" s="1" t="s">
        <v>71</v>
      </c>
      <c r="AY2134" s="1" t="s">
        <v>59</v>
      </c>
      <c r="AZ2134" s="1" t="s">
        <v>74</v>
      </c>
      <c r="BH2134" s="1" t="s">
        <v>71</v>
      </c>
    </row>
    <row r="2135" customFormat="false" ht="15" hidden="false" customHeight="false" outlineLevel="0" collapsed="false">
      <c r="A2135" s="1" t="s">
        <v>7216</v>
      </c>
      <c r="B2135" s="1" t="s">
        <v>7217</v>
      </c>
      <c r="C2135" s="1" t="s">
        <v>1855</v>
      </c>
      <c r="D2135" s="1" t="s">
        <v>6651</v>
      </c>
      <c r="E2135" s="1" t="s">
        <v>61</v>
      </c>
      <c r="F2135" s="1" t="s">
        <v>101</v>
      </c>
      <c r="G2135" s="1" t="s">
        <v>1772</v>
      </c>
      <c r="H2135" s="1" t="s">
        <v>6148</v>
      </c>
      <c r="K2135" s="1" t="s">
        <v>275</v>
      </c>
      <c r="L2135" s="1" t="s">
        <v>6652</v>
      </c>
      <c r="M2135" s="1" t="s">
        <v>258</v>
      </c>
      <c r="N2135" s="1" t="s">
        <v>6666</v>
      </c>
      <c r="O2135" s="1" t="s">
        <v>6667</v>
      </c>
      <c r="P2135" s="1" t="s">
        <v>6668</v>
      </c>
      <c r="U2135" s="1" t="s">
        <v>7216</v>
      </c>
      <c r="Z2135" s="1" t="s">
        <v>71</v>
      </c>
      <c r="AE2135" s="1" t="s">
        <v>7213</v>
      </c>
      <c r="AH2135" s="1" t="s">
        <v>73</v>
      </c>
      <c r="AK2135" s="1" t="s">
        <v>71</v>
      </c>
      <c r="AM2135" s="1" t="s">
        <v>71</v>
      </c>
      <c r="AN2135" s="1" t="s">
        <v>71</v>
      </c>
      <c r="AS2135" s="1" t="s">
        <v>71</v>
      </c>
      <c r="AX2135" s="1" t="s">
        <v>71</v>
      </c>
      <c r="AY2135" s="1" t="s">
        <v>59</v>
      </c>
      <c r="AZ2135" s="1" t="s">
        <v>74</v>
      </c>
      <c r="BH2135" s="1" t="s">
        <v>71</v>
      </c>
    </row>
    <row r="2136" customFormat="false" ht="15" hidden="false" customHeight="false" outlineLevel="0" collapsed="false">
      <c r="A2136" s="1" t="s">
        <v>7218</v>
      </c>
      <c r="B2136" s="1" t="s">
        <v>7219</v>
      </c>
      <c r="C2136" s="1" t="s">
        <v>1855</v>
      </c>
      <c r="D2136" s="1" t="s">
        <v>6651</v>
      </c>
      <c r="E2136" s="1" t="s">
        <v>61</v>
      </c>
      <c r="F2136" s="1" t="s">
        <v>101</v>
      </c>
      <c r="G2136" s="1" t="s">
        <v>1772</v>
      </c>
      <c r="H2136" s="1" t="s">
        <v>6148</v>
      </c>
      <c r="K2136" s="1" t="s">
        <v>275</v>
      </c>
      <c r="L2136" s="1" t="s">
        <v>6652</v>
      </c>
      <c r="M2136" s="1" t="s">
        <v>5063</v>
      </c>
      <c r="N2136" s="1" t="s">
        <v>6666</v>
      </c>
      <c r="O2136" s="1" t="s">
        <v>6667</v>
      </c>
      <c r="P2136" s="1" t="s">
        <v>6668</v>
      </c>
      <c r="S2136" s="1" t="s">
        <v>229</v>
      </c>
      <c r="U2136" s="1" t="s">
        <v>7218</v>
      </c>
      <c r="Z2136" s="1" t="s">
        <v>71</v>
      </c>
      <c r="AE2136" s="1" t="s">
        <v>7213</v>
      </c>
      <c r="AH2136" s="1" t="s">
        <v>73</v>
      </c>
      <c r="AK2136" s="1" t="s">
        <v>71</v>
      </c>
      <c r="AM2136" s="1" t="s">
        <v>71</v>
      </c>
      <c r="AN2136" s="1" t="s">
        <v>71</v>
      </c>
      <c r="AS2136" s="1" t="s">
        <v>71</v>
      </c>
      <c r="AX2136" s="1" t="s">
        <v>71</v>
      </c>
      <c r="AY2136" s="1" t="s">
        <v>59</v>
      </c>
      <c r="AZ2136" s="1" t="s">
        <v>74</v>
      </c>
      <c r="BH2136" s="1" t="s">
        <v>71</v>
      </c>
    </row>
    <row r="2137" customFormat="false" ht="15" hidden="false" customHeight="false" outlineLevel="0" collapsed="false">
      <c r="A2137" s="1" t="s">
        <v>7220</v>
      </c>
      <c r="B2137" s="1" t="s">
        <v>7221</v>
      </c>
      <c r="C2137" s="1" t="s">
        <v>2051</v>
      </c>
      <c r="D2137" s="1" t="s">
        <v>7140</v>
      </c>
      <c r="E2137" s="1" t="s">
        <v>61</v>
      </c>
      <c r="F2137" s="1" t="s">
        <v>101</v>
      </c>
      <c r="G2137" s="1" t="s">
        <v>2495</v>
      </c>
      <c r="H2137" s="1" t="s">
        <v>6428</v>
      </c>
      <c r="K2137" s="1" t="s">
        <v>59</v>
      </c>
      <c r="L2137" s="1" t="s">
        <v>6429</v>
      </c>
      <c r="M2137" s="1" t="s">
        <v>242</v>
      </c>
      <c r="N2137" s="1" t="s">
        <v>6431</v>
      </c>
      <c r="O2137" s="1" t="s">
        <v>6432</v>
      </c>
      <c r="P2137" s="1" t="s">
        <v>6433</v>
      </c>
      <c r="S2137" s="1" t="s">
        <v>229</v>
      </c>
      <c r="U2137" s="1" t="s">
        <v>7220</v>
      </c>
      <c r="Z2137" s="1" t="s">
        <v>71</v>
      </c>
      <c r="AE2137" s="1" t="s">
        <v>7213</v>
      </c>
      <c r="AH2137" s="1" t="s">
        <v>73</v>
      </c>
      <c r="AK2137" s="1" t="s">
        <v>71</v>
      </c>
      <c r="AM2137" s="1" t="s">
        <v>71</v>
      </c>
      <c r="AN2137" s="1" t="s">
        <v>71</v>
      </c>
      <c r="AS2137" s="1" t="s">
        <v>71</v>
      </c>
      <c r="AX2137" s="1" t="s">
        <v>71</v>
      </c>
      <c r="AY2137" s="1" t="s">
        <v>59</v>
      </c>
      <c r="AZ2137" s="1" t="s">
        <v>74</v>
      </c>
      <c r="BH2137" s="1" t="s">
        <v>71</v>
      </c>
    </row>
    <row r="2138" customFormat="false" ht="15" hidden="false" customHeight="false" outlineLevel="0" collapsed="false">
      <c r="A2138" s="1" t="s">
        <v>7222</v>
      </c>
      <c r="B2138" s="1" t="s">
        <v>7223</v>
      </c>
      <c r="C2138" s="1" t="s">
        <v>1736</v>
      </c>
      <c r="D2138" s="1" t="s">
        <v>4953</v>
      </c>
      <c r="E2138" s="1" t="s">
        <v>61</v>
      </c>
      <c r="F2138" s="1" t="s">
        <v>101</v>
      </c>
      <c r="G2138" s="1" t="s">
        <v>93</v>
      </c>
      <c r="H2138" s="1" t="s">
        <v>64</v>
      </c>
      <c r="K2138" s="1" t="s">
        <v>126</v>
      </c>
      <c r="L2138" s="1" t="s">
        <v>335</v>
      </c>
      <c r="M2138" s="1" t="s">
        <v>310</v>
      </c>
      <c r="N2138" s="1" t="s">
        <v>105</v>
      </c>
      <c r="O2138" s="1" t="s">
        <v>106</v>
      </c>
      <c r="P2138" s="1" t="s">
        <v>3539</v>
      </c>
      <c r="U2138" s="1" t="s">
        <v>7222</v>
      </c>
      <c r="Z2138" s="1" t="s">
        <v>71</v>
      </c>
      <c r="AE2138" s="1" t="s">
        <v>7224</v>
      </c>
      <c r="AH2138" s="1" t="s">
        <v>73</v>
      </c>
      <c r="AK2138" s="1" t="s">
        <v>71</v>
      </c>
      <c r="AM2138" s="1" t="s">
        <v>71</v>
      </c>
      <c r="AN2138" s="1" t="s">
        <v>71</v>
      </c>
      <c r="AS2138" s="1" t="s">
        <v>71</v>
      </c>
      <c r="AX2138" s="1" t="s">
        <v>71</v>
      </c>
      <c r="AY2138" s="1" t="s">
        <v>59</v>
      </c>
      <c r="AZ2138" s="1" t="s">
        <v>74</v>
      </c>
      <c r="BH2138" s="1" t="s">
        <v>71</v>
      </c>
    </row>
    <row r="2139" customFormat="false" ht="15" hidden="false" customHeight="false" outlineLevel="0" collapsed="false">
      <c r="A2139" s="1" t="s">
        <v>7225</v>
      </c>
      <c r="B2139" s="1" t="s">
        <v>7226</v>
      </c>
      <c r="C2139" s="1" t="s">
        <v>182</v>
      </c>
      <c r="D2139" s="1" t="s">
        <v>239</v>
      </c>
      <c r="E2139" s="1" t="s">
        <v>61</v>
      </c>
      <c r="F2139" s="1" t="s">
        <v>101</v>
      </c>
      <c r="G2139" s="1" t="s">
        <v>1479</v>
      </c>
      <c r="H2139" s="1" t="s">
        <v>5583</v>
      </c>
      <c r="K2139" s="1" t="s">
        <v>93</v>
      </c>
      <c r="L2139" s="1" t="s">
        <v>6362</v>
      </c>
      <c r="M2139" s="1" t="s">
        <v>6866</v>
      </c>
      <c r="N2139" s="1" t="s">
        <v>6357</v>
      </c>
      <c r="O2139" s="1" t="s">
        <v>6358</v>
      </c>
      <c r="P2139" s="1" t="s">
        <v>6359</v>
      </c>
      <c r="U2139" s="1" t="s">
        <v>245</v>
      </c>
      <c r="Z2139" s="1" t="s">
        <v>71</v>
      </c>
      <c r="AE2139" s="1" t="s">
        <v>7227</v>
      </c>
      <c r="AH2139" s="1" t="s">
        <v>73</v>
      </c>
      <c r="AK2139" s="1" t="s">
        <v>71</v>
      </c>
      <c r="AM2139" s="1" t="s">
        <v>71</v>
      </c>
      <c r="AN2139" s="1" t="s">
        <v>71</v>
      </c>
      <c r="AS2139" s="1" t="s">
        <v>71</v>
      </c>
      <c r="AX2139" s="1" t="s">
        <v>71</v>
      </c>
      <c r="AY2139" s="1" t="s">
        <v>59</v>
      </c>
      <c r="AZ2139" s="1" t="s">
        <v>74</v>
      </c>
      <c r="BH2139" s="1" t="s">
        <v>71</v>
      </c>
    </row>
    <row r="2140" customFormat="false" ht="15" hidden="false" customHeight="false" outlineLevel="0" collapsed="false">
      <c r="A2140" s="1" t="s">
        <v>7228</v>
      </c>
      <c r="B2140" s="1" t="s">
        <v>7229</v>
      </c>
      <c r="C2140" s="1" t="s">
        <v>161</v>
      </c>
      <c r="D2140" s="1" t="s">
        <v>162</v>
      </c>
      <c r="E2140" s="1" t="s">
        <v>61</v>
      </c>
      <c r="F2140" s="1" t="s">
        <v>101</v>
      </c>
      <c r="G2140" s="1" t="s">
        <v>130</v>
      </c>
      <c r="H2140" s="1" t="s">
        <v>5179</v>
      </c>
      <c r="K2140" s="1" t="s">
        <v>5180</v>
      </c>
      <c r="L2140" s="1" t="s">
        <v>5181</v>
      </c>
      <c r="M2140" s="1" t="s">
        <v>104</v>
      </c>
      <c r="N2140" s="1" t="s">
        <v>105</v>
      </c>
      <c r="O2140" s="1" t="s">
        <v>106</v>
      </c>
      <c r="P2140" s="1" t="s">
        <v>3539</v>
      </c>
      <c r="U2140" s="1" t="s">
        <v>7228</v>
      </c>
      <c r="Z2140" s="1" t="s">
        <v>71</v>
      </c>
      <c r="AE2140" s="1" t="s">
        <v>7230</v>
      </c>
      <c r="AH2140" s="1" t="s">
        <v>73</v>
      </c>
      <c r="AK2140" s="1" t="s">
        <v>71</v>
      </c>
      <c r="AM2140" s="1" t="s">
        <v>71</v>
      </c>
      <c r="AN2140" s="1" t="s">
        <v>71</v>
      </c>
      <c r="AS2140" s="1" t="s">
        <v>71</v>
      </c>
      <c r="AX2140" s="1" t="s">
        <v>71</v>
      </c>
      <c r="AY2140" s="1" t="s">
        <v>59</v>
      </c>
      <c r="AZ2140" s="1" t="s">
        <v>74</v>
      </c>
      <c r="BH2140" s="1" t="s">
        <v>71</v>
      </c>
    </row>
    <row r="2141" customFormat="false" ht="15" hidden="false" customHeight="false" outlineLevel="0" collapsed="false">
      <c r="A2141" s="1" t="s">
        <v>7231</v>
      </c>
      <c r="B2141" s="1" t="s">
        <v>7232</v>
      </c>
      <c r="C2141" s="1" t="s">
        <v>161</v>
      </c>
      <c r="D2141" s="1" t="s">
        <v>162</v>
      </c>
      <c r="E2141" s="1" t="s">
        <v>61</v>
      </c>
      <c r="F2141" s="1" t="s">
        <v>101</v>
      </c>
      <c r="G2141" s="1" t="s">
        <v>130</v>
      </c>
      <c r="H2141" s="1" t="s">
        <v>5179</v>
      </c>
      <c r="K2141" s="1" t="s">
        <v>5180</v>
      </c>
      <c r="L2141" s="1" t="s">
        <v>5181</v>
      </c>
      <c r="M2141" s="1" t="s">
        <v>592</v>
      </c>
      <c r="N2141" s="1" t="s">
        <v>1177</v>
      </c>
      <c r="O2141" s="1" t="s">
        <v>1178</v>
      </c>
      <c r="P2141" s="1" t="s">
        <v>4732</v>
      </c>
      <c r="U2141" s="1" t="s">
        <v>7233</v>
      </c>
      <c r="Z2141" s="1" t="s">
        <v>71</v>
      </c>
      <c r="AE2141" s="1" t="s">
        <v>7230</v>
      </c>
      <c r="AH2141" s="1" t="s">
        <v>73</v>
      </c>
      <c r="AK2141" s="1" t="s">
        <v>71</v>
      </c>
      <c r="AM2141" s="1" t="s">
        <v>71</v>
      </c>
      <c r="AN2141" s="1" t="s">
        <v>71</v>
      </c>
      <c r="AS2141" s="1" t="s">
        <v>71</v>
      </c>
      <c r="AX2141" s="1" t="s">
        <v>71</v>
      </c>
      <c r="AY2141" s="1" t="s">
        <v>59</v>
      </c>
      <c r="AZ2141" s="1" t="s">
        <v>74</v>
      </c>
      <c r="BH2141" s="1" t="s">
        <v>71</v>
      </c>
    </row>
    <row r="2142" customFormat="false" ht="15" hidden="false" customHeight="false" outlineLevel="0" collapsed="false">
      <c r="A2142" s="1" t="s">
        <v>7234</v>
      </c>
      <c r="B2142" s="1" t="s">
        <v>7235</v>
      </c>
      <c r="C2142" s="1" t="s">
        <v>161</v>
      </c>
      <c r="D2142" s="1" t="s">
        <v>162</v>
      </c>
      <c r="E2142" s="1" t="s">
        <v>61</v>
      </c>
      <c r="F2142" s="1" t="s">
        <v>101</v>
      </c>
      <c r="G2142" s="1" t="s">
        <v>93</v>
      </c>
      <c r="H2142" s="1" t="s">
        <v>64</v>
      </c>
      <c r="K2142" s="1" t="s">
        <v>1784</v>
      </c>
      <c r="L2142" s="1" t="s">
        <v>1785</v>
      </c>
      <c r="M2142" s="1" t="s">
        <v>104</v>
      </c>
      <c r="N2142" s="1" t="s">
        <v>123</v>
      </c>
      <c r="O2142" s="1" t="s">
        <v>124</v>
      </c>
      <c r="P2142" s="1" t="s">
        <v>4161</v>
      </c>
      <c r="U2142" s="1" t="s">
        <v>7234</v>
      </c>
      <c r="Z2142" s="1" t="s">
        <v>71</v>
      </c>
      <c r="AE2142" s="1" t="s">
        <v>7230</v>
      </c>
      <c r="AH2142" s="1" t="s">
        <v>73</v>
      </c>
      <c r="AK2142" s="1" t="s">
        <v>71</v>
      </c>
      <c r="AM2142" s="1" t="s">
        <v>71</v>
      </c>
      <c r="AN2142" s="1" t="s">
        <v>71</v>
      </c>
      <c r="AS2142" s="1" t="s">
        <v>71</v>
      </c>
      <c r="AX2142" s="1" t="s">
        <v>71</v>
      </c>
      <c r="AY2142" s="1" t="s">
        <v>59</v>
      </c>
      <c r="AZ2142" s="1" t="s">
        <v>74</v>
      </c>
      <c r="BH2142" s="1" t="s">
        <v>71</v>
      </c>
    </row>
    <row r="2143" customFormat="false" ht="15" hidden="false" customHeight="false" outlineLevel="0" collapsed="false">
      <c r="A2143" s="1" t="s">
        <v>7236</v>
      </c>
      <c r="B2143" s="1" t="s">
        <v>7237</v>
      </c>
      <c r="C2143" s="1" t="s">
        <v>2090</v>
      </c>
      <c r="D2143" s="1" t="s">
        <v>7238</v>
      </c>
      <c r="E2143" s="1" t="s">
        <v>61</v>
      </c>
      <c r="F2143" s="1" t="s">
        <v>101</v>
      </c>
      <c r="G2143" s="1" t="s">
        <v>93</v>
      </c>
      <c r="H2143" s="1" t="s">
        <v>64</v>
      </c>
      <c r="K2143" s="1" t="s">
        <v>126</v>
      </c>
      <c r="L2143" s="1" t="s">
        <v>335</v>
      </c>
      <c r="M2143" s="1" t="s">
        <v>828</v>
      </c>
      <c r="N2143" s="1" t="s">
        <v>105</v>
      </c>
      <c r="O2143" s="1" t="s">
        <v>106</v>
      </c>
      <c r="P2143" s="1" t="s">
        <v>3539</v>
      </c>
      <c r="U2143" s="1" t="s">
        <v>7236</v>
      </c>
      <c r="V2143" s="1" t="s">
        <v>7239</v>
      </c>
      <c r="Z2143" s="1" t="s">
        <v>71</v>
      </c>
      <c r="AE2143" s="1" t="s">
        <v>7240</v>
      </c>
      <c r="AH2143" s="1" t="s">
        <v>73</v>
      </c>
      <c r="AK2143" s="1" t="s">
        <v>71</v>
      </c>
      <c r="AM2143" s="1" t="s">
        <v>71</v>
      </c>
      <c r="AN2143" s="1" t="s">
        <v>71</v>
      </c>
      <c r="AS2143" s="1" t="s">
        <v>71</v>
      </c>
      <c r="AX2143" s="1" t="s">
        <v>71</v>
      </c>
      <c r="AY2143" s="1" t="s">
        <v>59</v>
      </c>
      <c r="AZ2143" s="1" t="s">
        <v>74</v>
      </c>
      <c r="BH2143" s="1" t="s">
        <v>71</v>
      </c>
    </row>
    <row r="2144" customFormat="false" ht="15" hidden="false" customHeight="false" outlineLevel="0" collapsed="false">
      <c r="A2144" s="1" t="s">
        <v>7241</v>
      </c>
      <c r="B2144" s="1" t="s">
        <v>7242</v>
      </c>
      <c r="C2144" s="1" t="s">
        <v>2090</v>
      </c>
      <c r="D2144" s="1" t="s">
        <v>7238</v>
      </c>
      <c r="E2144" s="1" t="s">
        <v>61</v>
      </c>
      <c r="F2144" s="1" t="s">
        <v>101</v>
      </c>
      <c r="G2144" s="1" t="s">
        <v>93</v>
      </c>
      <c r="H2144" s="1" t="s">
        <v>64</v>
      </c>
      <c r="K2144" s="1" t="s">
        <v>290</v>
      </c>
      <c r="L2144" s="1" t="s">
        <v>291</v>
      </c>
      <c r="M2144" s="1" t="s">
        <v>104</v>
      </c>
      <c r="N2144" s="1" t="s">
        <v>105</v>
      </c>
      <c r="O2144" s="1" t="s">
        <v>106</v>
      </c>
      <c r="P2144" s="1" t="s">
        <v>3539</v>
      </c>
      <c r="U2144" s="1" t="s">
        <v>7241</v>
      </c>
      <c r="V2144" s="1" t="s">
        <v>7239</v>
      </c>
      <c r="Z2144" s="1" t="s">
        <v>71</v>
      </c>
      <c r="AE2144" s="1" t="s">
        <v>7240</v>
      </c>
      <c r="AH2144" s="1" t="s">
        <v>73</v>
      </c>
      <c r="AK2144" s="1" t="s">
        <v>71</v>
      </c>
      <c r="AM2144" s="1" t="s">
        <v>71</v>
      </c>
      <c r="AN2144" s="1" t="s">
        <v>71</v>
      </c>
      <c r="AS2144" s="1" t="s">
        <v>71</v>
      </c>
      <c r="AX2144" s="1" t="s">
        <v>71</v>
      </c>
      <c r="AY2144" s="1" t="s">
        <v>59</v>
      </c>
      <c r="AZ2144" s="1" t="s">
        <v>74</v>
      </c>
      <c r="BH2144" s="1" t="s">
        <v>71</v>
      </c>
    </row>
    <row r="2145" customFormat="false" ht="15" hidden="false" customHeight="false" outlineLevel="0" collapsed="false">
      <c r="A2145" s="1" t="s">
        <v>7243</v>
      </c>
      <c r="B2145" s="1" t="s">
        <v>7244</v>
      </c>
      <c r="C2145" s="1" t="s">
        <v>2090</v>
      </c>
      <c r="D2145" s="1" t="s">
        <v>7238</v>
      </c>
      <c r="E2145" s="1" t="s">
        <v>61</v>
      </c>
      <c r="F2145" s="1" t="s">
        <v>101</v>
      </c>
      <c r="G2145" s="1" t="s">
        <v>108</v>
      </c>
      <c r="H2145" s="1" t="s">
        <v>1495</v>
      </c>
      <c r="K2145" s="1" t="s">
        <v>155</v>
      </c>
      <c r="L2145" s="1" t="s">
        <v>7015</v>
      </c>
      <c r="M2145" s="1" t="s">
        <v>7046</v>
      </c>
      <c r="N2145" s="1" t="s">
        <v>105</v>
      </c>
      <c r="O2145" s="1" t="s">
        <v>106</v>
      </c>
      <c r="P2145" s="1" t="s">
        <v>3539</v>
      </c>
      <c r="U2145" s="1" t="s">
        <v>7243</v>
      </c>
      <c r="V2145" s="1" t="s">
        <v>7239</v>
      </c>
      <c r="Z2145" s="1" t="s">
        <v>71</v>
      </c>
      <c r="AE2145" s="1" t="s">
        <v>7240</v>
      </c>
      <c r="AH2145" s="1" t="s">
        <v>73</v>
      </c>
      <c r="AK2145" s="1" t="s">
        <v>71</v>
      </c>
      <c r="AM2145" s="1" t="s">
        <v>71</v>
      </c>
      <c r="AN2145" s="1" t="s">
        <v>71</v>
      </c>
      <c r="AS2145" s="1" t="s">
        <v>71</v>
      </c>
      <c r="AX2145" s="1" t="s">
        <v>71</v>
      </c>
      <c r="AY2145" s="1" t="s">
        <v>59</v>
      </c>
      <c r="AZ2145" s="1" t="s">
        <v>74</v>
      </c>
      <c r="BH2145" s="1" t="s">
        <v>71</v>
      </c>
    </row>
    <row r="2146" customFormat="false" ht="15" hidden="false" customHeight="false" outlineLevel="0" collapsed="false">
      <c r="A2146" s="1" t="s">
        <v>7245</v>
      </c>
      <c r="B2146" s="1" t="s">
        <v>7246</v>
      </c>
      <c r="C2146" s="1" t="s">
        <v>2090</v>
      </c>
      <c r="D2146" s="1" t="s">
        <v>7238</v>
      </c>
      <c r="E2146" s="1" t="s">
        <v>61</v>
      </c>
      <c r="F2146" s="1" t="s">
        <v>101</v>
      </c>
      <c r="G2146" s="1" t="s">
        <v>93</v>
      </c>
      <c r="H2146" s="1" t="s">
        <v>64</v>
      </c>
      <c r="K2146" s="1" t="s">
        <v>224</v>
      </c>
      <c r="L2146" s="1" t="s">
        <v>225</v>
      </c>
      <c r="M2146" s="1" t="s">
        <v>1555</v>
      </c>
      <c r="N2146" s="1" t="s">
        <v>105</v>
      </c>
      <c r="O2146" s="1" t="s">
        <v>106</v>
      </c>
      <c r="P2146" s="1" t="s">
        <v>3539</v>
      </c>
      <c r="U2146" s="1" t="s">
        <v>7245</v>
      </c>
      <c r="V2146" s="1" t="s">
        <v>7239</v>
      </c>
      <c r="Z2146" s="1" t="s">
        <v>71</v>
      </c>
      <c r="AE2146" s="1" t="s">
        <v>7240</v>
      </c>
      <c r="AH2146" s="1" t="s">
        <v>73</v>
      </c>
      <c r="AK2146" s="1" t="s">
        <v>71</v>
      </c>
      <c r="AM2146" s="1" t="s">
        <v>71</v>
      </c>
      <c r="AN2146" s="1" t="s">
        <v>71</v>
      </c>
      <c r="AS2146" s="1" t="s">
        <v>71</v>
      </c>
      <c r="AX2146" s="1" t="s">
        <v>71</v>
      </c>
      <c r="AY2146" s="1" t="s">
        <v>59</v>
      </c>
      <c r="AZ2146" s="1" t="s">
        <v>74</v>
      </c>
      <c r="BH2146" s="1" t="s">
        <v>71</v>
      </c>
    </row>
    <row r="2147" customFormat="false" ht="15" hidden="false" customHeight="false" outlineLevel="0" collapsed="false">
      <c r="A2147" s="1" t="s">
        <v>7247</v>
      </c>
      <c r="B2147" s="1" t="s">
        <v>7248</v>
      </c>
      <c r="C2147" s="1" t="s">
        <v>2090</v>
      </c>
      <c r="D2147" s="1" t="s">
        <v>7238</v>
      </c>
      <c r="E2147" s="1" t="s">
        <v>61</v>
      </c>
      <c r="F2147" s="1" t="s">
        <v>101</v>
      </c>
      <c r="G2147" s="1" t="s">
        <v>108</v>
      </c>
      <c r="H2147" s="1" t="s">
        <v>1495</v>
      </c>
      <c r="K2147" s="1" t="s">
        <v>155</v>
      </c>
      <c r="L2147" s="1" t="s">
        <v>7015</v>
      </c>
      <c r="M2147" s="1" t="s">
        <v>6813</v>
      </c>
      <c r="N2147" s="1" t="s">
        <v>105</v>
      </c>
      <c r="O2147" s="1" t="s">
        <v>106</v>
      </c>
      <c r="P2147" s="1" t="s">
        <v>3539</v>
      </c>
      <c r="U2147" s="1" t="s">
        <v>7247</v>
      </c>
      <c r="V2147" s="1" t="s">
        <v>7239</v>
      </c>
      <c r="Z2147" s="1" t="s">
        <v>71</v>
      </c>
      <c r="AE2147" s="1" t="s">
        <v>7240</v>
      </c>
      <c r="AH2147" s="1" t="s">
        <v>73</v>
      </c>
      <c r="AK2147" s="1" t="s">
        <v>71</v>
      </c>
      <c r="AM2147" s="1" t="s">
        <v>71</v>
      </c>
      <c r="AN2147" s="1" t="s">
        <v>71</v>
      </c>
      <c r="AS2147" s="1" t="s">
        <v>71</v>
      </c>
      <c r="AX2147" s="1" t="s">
        <v>71</v>
      </c>
      <c r="AY2147" s="1" t="s">
        <v>59</v>
      </c>
      <c r="AZ2147" s="1" t="s">
        <v>74</v>
      </c>
      <c r="BH2147" s="1" t="s">
        <v>71</v>
      </c>
    </row>
    <row r="2148" customFormat="false" ht="15" hidden="false" customHeight="false" outlineLevel="0" collapsed="false">
      <c r="A2148" s="1" t="s">
        <v>7249</v>
      </c>
      <c r="B2148" s="1" t="s">
        <v>7250</v>
      </c>
      <c r="C2148" s="1" t="s">
        <v>2090</v>
      </c>
      <c r="D2148" s="1" t="s">
        <v>7238</v>
      </c>
      <c r="E2148" s="1" t="s">
        <v>61</v>
      </c>
      <c r="F2148" s="1" t="s">
        <v>101</v>
      </c>
      <c r="G2148" s="1" t="s">
        <v>93</v>
      </c>
      <c r="H2148" s="1" t="s">
        <v>64</v>
      </c>
      <c r="K2148" s="1" t="s">
        <v>2219</v>
      </c>
      <c r="L2148" s="1" t="s">
        <v>7251</v>
      </c>
      <c r="M2148" s="1" t="s">
        <v>1555</v>
      </c>
      <c r="N2148" s="1" t="s">
        <v>105</v>
      </c>
      <c r="O2148" s="1" t="s">
        <v>106</v>
      </c>
      <c r="P2148" s="1" t="s">
        <v>3539</v>
      </c>
      <c r="U2148" s="1" t="s">
        <v>7249</v>
      </c>
      <c r="V2148" s="1" t="s">
        <v>7239</v>
      </c>
      <c r="Z2148" s="1" t="s">
        <v>71</v>
      </c>
      <c r="AE2148" s="1" t="s">
        <v>7240</v>
      </c>
      <c r="AH2148" s="1" t="s">
        <v>73</v>
      </c>
      <c r="AK2148" s="1" t="s">
        <v>71</v>
      </c>
      <c r="AM2148" s="1" t="s">
        <v>71</v>
      </c>
      <c r="AN2148" s="1" t="s">
        <v>71</v>
      </c>
      <c r="AS2148" s="1" t="s">
        <v>71</v>
      </c>
      <c r="AX2148" s="1" t="s">
        <v>71</v>
      </c>
      <c r="AY2148" s="1" t="s">
        <v>59</v>
      </c>
      <c r="AZ2148" s="1" t="s">
        <v>74</v>
      </c>
      <c r="BH2148" s="1" t="s">
        <v>71</v>
      </c>
    </row>
    <row r="2149" customFormat="false" ht="15" hidden="false" customHeight="false" outlineLevel="0" collapsed="false">
      <c r="A2149" s="1" t="s">
        <v>7252</v>
      </c>
      <c r="B2149" s="1" t="s">
        <v>7253</v>
      </c>
      <c r="C2149" s="1" t="s">
        <v>2090</v>
      </c>
      <c r="D2149" s="1" t="s">
        <v>7238</v>
      </c>
      <c r="E2149" s="1" t="s">
        <v>61</v>
      </c>
      <c r="F2149" s="1" t="s">
        <v>101</v>
      </c>
      <c r="G2149" s="1" t="s">
        <v>93</v>
      </c>
      <c r="H2149" s="1" t="s">
        <v>64</v>
      </c>
      <c r="K2149" s="1" t="s">
        <v>108</v>
      </c>
      <c r="L2149" s="1" t="s">
        <v>2547</v>
      </c>
      <c r="M2149" s="1" t="s">
        <v>828</v>
      </c>
      <c r="N2149" s="1" t="s">
        <v>105</v>
      </c>
      <c r="O2149" s="1" t="s">
        <v>106</v>
      </c>
      <c r="P2149" s="1" t="s">
        <v>3539</v>
      </c>
      <c r="U2149" s="1" t="s">
        <v>7239</v>
      </c>
      <c r="V2149" s="1" t="s">
        <v>7239</v>
      </c>
      <c r="Z2149" s="1" t="s">
        <v>71</v>
      </c>
      <c r="AE2149" s="1" t="s">
        <v>7240</v>
      </c>
      <c r="AH2149" s="1" t="s">
        <v>73</v>
      </c>
      <c r="AK2149" s="1" t="s">
        <v>71</v>
      </c>
      <c r="AM2149" s="1" t="s">
        <v>71</v>
      </c>
      <c r="AN2149" s="1" t="s">
        <v>71</v>
      </c>
      <c r="AS2149" s="1" t="s">
        <v>71</v>
      </c>
      <c r="AX2149" s="1" t="s">
        <v>71</v>
      </c>
      <c r="AY2149" s="1" t="s">
        <v>59</v>
      </c>
      <c r="AZ2149" s="1" t="s">
        <v>74</v>
      </c>
      <c r="BH2149" s="1" t="s">
        <v>71</v>
      </c>
    </row>
    <row r="2150" customFormat="false" ht="15" hidden="false" customHeight="false" outlineLevel="0" collapsed="false">
      <c r="A2150" s="1" t="s">
        <v>7254</v>
      </c>
      <c r="B2150" s="1" t="s">
        <v>7255</v>
      </c>
      <c r="C2150" s="1" t="s">
        <v>2090</v>
      </c>
      <c r="D2150" s="1" t="s">
        <v>7238</v>
      </c>
      <c r="E2150" s="1" t="s">
        <v>61</v>
      </c>
      <c r="F2150" s="1" t="s">
        <v>101</v>
      </c>
      <c r="G2150" s="1" t="s">
        <v>177</v>
      </c>
      <c r="H2150" s="1" t="s">
        <v>255</v>
      </c>
      <c r="K2150" s="1" t="s">
        <v>136</v>
      </c>
      <c r="L2150" s="1" t="s">
        <v>6018</v>
      </c>
      <c r="M2150" s="1" t="s">
        <v>6813</v>
      </c>
      <c r="N2150" s="1" t="s">
        <v>259</v>
      </c>
      <c r="O2150" s="1" t="s">
        <v>260</v>
      </c>
      <c r="P2150" s="1" t="s">
        <v>3768</v>
      </c>
      <c r="U2150" s="1" t="s">
        <v>7254</v>
      </c>
      <c r="V2150" s="1" t="s">
        <v>7239</v>
      </c>
      <c r="Z2150" s="1" t="s">
        <v>71</v>
      </c>
      <c r="AE2150" s="1" t="s">
        <v>7240</v>
      </c>
      <c r="AH2150" s="1" t="s">
        <v>73</v>
      </c>
      <c r="AK2150" s="1" t="s">
        <v>71</v>
      </c>
      <c r="AM2150" s="1" t="s">
        <v>71</v>
      </c>
      <c r="AN2150" s="1" t="s">
        <v>71</v>
      </c>
      <c r="AS2150" s="1" t="s">
        <v>71</v>
      </c>
      <c r="AX2150" s="1" t="s">
        <v>71</v>
      </c>
      <c r="AY2150" s="1" t="s">
        <v>59</v>
      </c>
      <c r="AZ2150" s="1" t="s">
        <v>74</v>
      </c>
      <c r="BH2150" s="1" t="s">
        <v>71</v>
      </c>
    </row>
    <row r="2151" customFormat="false" ht="15" hidden="false" customHeight="false" outlineLevel="0" collapsed="false">
      <c r="A2151" s="1" t="s">
        <v>7256</v>
      </c>
      <c r="B2151" s="1" t="s">
        <v>7257</v>
      </c>
      <c r="C2151" s="1" t="s">
        <v>2090</v>
      </c>
      <c r="D2151" s="1" t="s">
        <v>7238</v>
      </c>
      <c r="E2151" s="1" t="s">
        <v>61</v>
      </c>
      <c r="F2151" s="1" t="s">
        <v>101</v>
      </c>
      <c r="G2151" s="1" t="s">
        <v>93</v>
      </c>
      <c r="H2151" s="1" t="s">
        <v>64</v>
      </c>
      <c r="K2151" s="1" t="s">
        <v>249</v>
      </c>
      <c r="L2151" s="1" t="s">
        <v>250</v>
      </c>
      <c r="M2151" s="1" t="s">
        <v>104</v>
      </c>
      <c r="N2151" s="1" t="s">
        <v>123</v>
      </c>
      <c r="O2151" s="1" t="s">
        <v>124</v>
      </c>
      <c r="P2151" s="1" t="s">
        <v>4161</v>
      </c>
      <c r="U2151" s="1" t="s">
        <v>7256</v>
      </c>
      <c r="V2151" s="1" t="s">
        <v>7239</v>
      </c>
      <c r="Z2151" s="1" t="s">
        <v>71</v>
      </c>
      <c r="AE2151" s="1" t="s">
        <v>7240</v>
      </c>
      <c r="AH2151" s="1" t="s">
        <v>73</v>
      </c>
      <c r="AK2151" s="1" t="s">
        <v>71</v>
      </c>
      <c r="AM2151" s="1" t="s">
        <v>71</v>
      </c>
      <c r="AN2151" s="1" t="s">
        <v>71</v>
      </c>
      <c r="AS2151" s="1" t="s">
        <v>71</v>
      </c>
      <c r="AX2151" s="1" t="s">
        <v>71</v>
      </c>
      <c r="AY2151" s="1" t="s">
        <v>59</v>
      </c>
      <c r="AZ2151" s="1" t="s">
        <v>74</v>
      </c>
      <c r="BH2151" s="1" t="s">
        <v>71</v>
      </c>
    </row>
    <row r="2152" customFormat="false" ht="15" hidden="false" customHeight="false" outlineLevel="0" collapsed="false">
      <c r="A2152" s="1" t="s">
        <v>7258</v>
      </c>
      <c r="B2152" s="1" t="s">
        <v>7259</v>
      </c>
      <c r="C2152" s="1" t="s">
        <v>2090</v>
      </c>
      <c r="D2152" s="1" t="s">
        <v>7238</v>
      </c>
      <c r="E2152" s="1" t="s">
        <v>61</v>
      </c>
      <c r="F2152" s="1" t="s">
        <v>101</v>
      </c>
      <c r="G2152" s="1" t="s">
        <v>93</v>
      </c>
      <c r="H2152" s="1" t="s">
        <v>64</v>
      </c>
      <c r="K2152" s="1" t="s">
        <v>1092</v>
      </c>
      <c r="L2152" s="1" t="s">
        <v>1093</v>
      </c>
      <c r="M2152" s="1" t="s">
        <v>104</v>
      </c>
      <c r="N2152" s="1" t="s">
        <v>123</v>
      </c>
      <c r="O2152" s="1" t="s">
        <v>124</v>
      </c>
      <c r="P2152" s="1" t="s">
        <v>4161</v>
      </c>
      <c r="U2152" s="1" t="s">
        <v>7258</v>
      </c>
      <c r="V2152" s="1" t="s">
        <v>7239</v>
      </c>
      <c r="Z2152" s="1" t="s">
        <v>71</v>
      </c>
      <c r="AE2152" s="1" t="s">
        <v>7240</v>
      </c>
      <c r="AH2152" s="1" t="s">
        <v>73</v>
      </c>
      <c r="AK2152" s="1" t="s">
        <v>71</v>
      </c>
      <c r="AM2152" s="1" t="s">
        <v>71</v>
      </c>
      <c r="AN2152" s="1" t="s">
        <v>71</v>
      </c>
      <c r="AS2152" s="1" t="s">
        <v>71</v>
      </c>
      <c r="AX2152" s="1" t="s">
        <v>71</v>
      </c>
      <c r="AY2152" s="1" t="s">
        <v>59</v>
      </c>
      <c r="AZ2152" s="1" t="s">
        <v>74</v>
      </c>
      <c r="BH2152" s="1" t="s">
        <v>71</v>
      </c>
    </row>
    <row r="2153" customFormat="false" ht="15" hidden="false" customHeight="false" outlineLevel="0" collapsed="false">
      <c r="A2153" s="1" t="s">
        <v>7260</v>
      </c>
      <c r="B2153" s="1" t="s">
        <v>7261</v>
      </c>
      <c r="C2153" s="1" t="s">
        <v>2090</v>
      </c>
      <c r="D2153" s="1" t="s">
        <v>7238</v>
      </c>
      <c r="E2153" s="1" t="s">
        <v>61</v>
      </c>
      <c r="F2153" s="1" t="s">
        <v>101</v>
      </c>
      <c r="G2153" s="1" t="s">
        <v>108</v>
      </c>
      <c r="H2153" s="1" t="s">
        <v>1495</v>
      </c>
      <c r="K2153" s="1" t="s">
        <v>155</v>
      </c>
      <c r="L2153" s="1" t="s">
        <v>7015</v>
      </c>
      <c r="M2153" s="1" t="s">
        <v>7262</v>
      </c>
      <c r="N2153" s="1" t="s">
        <v>105</v>
      </c>
      <c r="O2153" s="1" t="s">
        <v>106</v>
      </c>
      <c r="P2153" s="1" t="s">
        <v>3539</v>
      </c>
      <c r="U2153" s="1" t="s">
        <v>7260</v>
      </c>
      <c r="V2153" s="1" t="s">
        <v>7239</v>
      </c>
      <c r="Z2153" s="1" t="s">
        <v>71</v>
      </c>
      <c r="AE2153" s="1" t="s">
        <v>7240</v>
      </c>
      <c r="AH2153" s="1" t="s">
        <v>73</v>
      </c>
      <c r="AK2153" s="1" t="s">
        <v>71</v>
      </c>
      <c r="AM2153" s="1" t="s">
        <v>71</v>
      </c>
      <c r="AN2153" s="1" t="s">
        <v>71</v>
      </c>
      <c r="AS2153" s="1" t="s">
        <v>71</v>
      </c>
      <c r="AX2153" s="1" t="s">
        <v>71</v>
      </c>
      <c r="AY2153" s="1" t="s">
        <v>59</v>
      </c>
      <c r="AZ2153" s="1" t="s">
        <v>74</v>
      </c>
      <c r="BH2153" s="1" t="s">
        <v>71</v>
      </c>
    </row>
    <row r="2154" customFormat="false" ht="15" hidden="false" customHeight="false" outlineLevel="0" collapsed="false">
      <c r="A2154" s="1" t="s">
        <v>7263</v>
      </c>
      <c r="B2154" s="1" t="s">
        <v>7264</v>
      </c>
      <c r="C2154" s="1" t="s">
        <v>2090</v>
      </c>
      <c r="D2154" s="1" t="s">
        <v>7238</v>
      </c>
      <c r="E2154" s="1" t="s">
        <v>61</v>
      </c>
      <c r="F2154" s="1" t="s">
        <v>101</v>
      </c>
      <c r="G2154" s="1" t="s">
        <v>108</v>
      </c>
      <c r="H2154" s="1" t="s">
        <v>1495</v>
      </c>
      <c r="K2154" s="1" t="s">
        <v>155</v>
      </c>
      <c r="L2154" s="1" t="s">
        <v>7015</v>
      </c>
      <c r="M2154" s="1" t="s">
        <v>7262</v>
      </c>
      <c r="N2154" s="1" t="s">
        <v>105</v>
      </c>
      <c r="O2154" s="1" t="s">
        <v>106</v>
      </c>
      <c r="P2154" s="1" t="s">
        <v>3539</v>
      </c>
      <c r="U2154" s="1" t="s">
        <v>7263</v>
      </c>
      <c r="V2154" s="1" t="s">
        <v>7239</v>
      </c>
      <c r="Z2154" s="1" t="s">
        <v>71</v>
      </c>
      <c r="AE2154" s="1" t="s">
        <v>7240</v>
      </c>
      <c r="AH2154" s="1" t="s">
        <v>73</v>
      </c>
      <c r="AK2154" s="1" t="s">
        <v>71</v>
      </c>
      <c r="AM2154" s="1" t="s">
        <v>71</v>
      </c>
      <c r="AN2154" s="1" t="s">
        <v>71</v>
      </c>
      <c r="AS2154" s="1" t="s">
        <v>71</v>
      </c>
      <c r="AX2154" s="1" t="s">
        <v>71</v>
      </c>
      <c r="AY2154" s="1" t="s">
        <v>59</v>
      </c>
      <c r="AZ2154" s="1" t="s">
        <v>74</v>
      </c>
      <c r="BH2154" s="1" t="s">
        <v>71</v>
      </c>
    </row>
    <row r="2155" customFormat="false" ht="15" hidden="false" customHeight="false" outlineLevel="0" collapsed="false">
      <c r="A2155" s="1" t="s">
        <v>7265</v>
      </c>
      <c r="B2155" s="1" t="s">
        <v>7266</v>
      </c>
      <c r="C2155" s="1" t="s">
        <v>2090</v>
      </c>
      <c r="D2155" s="1" t="s">
        <v>7238</v>
      </c>
      <c r="E2155" s="1" t="s">
        <v>61</v>
      </c>
      <c r="F2155" s="1" t="s">
        <v>101</v>
      </c>
      <c r="G2155" s="1" t="s">
        <v>93</v>
      </c>
      <c r="H2155" s="1" t="s">
        <v>64</v>
      </c>
      <c r="K2155" s="1" t="s">
        <v>1784</v>
      </c>
      <c r="L2155" s="1" t="s">
        <v>1785</v>
      </c>
      <c r="M2155" s="1" t="s">
        <v>104</v>
      </c>
      <c r="N2155" s="1" t="s">
        <v>105</v>
      </c>
      <c r="O2155" s="1" t="s">
        <v>106</v>
      </c>
      <c r="P2155" s="1" t="s">
        <v>3539</v>
      </c>
      <c r="U2155" s="1" t="s">
        <v>7239</v>
      </c>
      <c r="Z2155" s="1" t="s">
        <v>71</v>
      </c>
      <c r="AE2155" s="1" t="s">
        <v>7240</v>
      </c>
      <c r="AH2155" s="1" t="s">
        <v>73</v>
      </c>
      <c r="AK2155" s="1" t="s">
        <v>71</v>
      </c>
      <c r="AM2155" s="1" t="s">
        <v>71</v>
      </c>
      <c r="AN2155" s="1" t="s">
        <v>71</v>
      </c>
      <c r="AS2155" s="1" t="s">
        <v>71</v>
      </c>
      <c r="AX2155" s="1" t="s">
        <v>71</v>
      </c>
      <c r="AY2155" s="1" t="s">
        <v>59</v>
      </c>
      <c r="AZ2155" s="1" t="s">
        <v>74</v>
      </c>
      <c r="BH2155" s="1" t="s">
        <v>71</v>
      </c>
    </row>
    <row r="2156" customFormat="false" ht="15" hidden="false" customHeight="false" outlineLevel="0" collapsed="false">
      <c r="A2156" s="1" t="s">
        <v>7267</v>
      </c>
      <c r="B2156" s="1" t="s">
        <v>7268</v>
      </c>
      <c r="C2156" s="1" t="s">
        <v>2090</v>
      </c>
      <c r="D2156" s="1" t="s">
        <v>7238</v>
      </c>
      <c r="E2156" s="1" t="s">
        <v>61</v>
      </c>
      <c r="F2156" s="1" t="s">
        <v>101</v>
      </c>
      <c r="G2156" s="1" t="s">
        <v>93</v>
      </c>
      <c r="H2156" s="1" t="s">
        <v>64</v>
      </c>
      <c r="K2156" s="1" t="s">
        <v>290</v>
      </c>
      <c r="L2156" s="1" t="s">
        <v>291</v>
      </c>
      <c r="M2156" s="1" t="s">
        <v>828</v>
      </c>
      <c r="N2156" s="1" t="s">
        <v>105</v>
      </c>
      <c r="O2156" s="1" t="s">
        <v>106</v>
      </c>
      <c r="P2156" s="1" t="s">
        <v>3539</v>
      </c>
      <c r="U2156" s="1" t="s">
        <v>7267</v>
      </c>
      <c r="V2156" s="1" t="s">
        <v>7239</v>
      </c>
      <c r="Z2156" s="1" t="s">
        <v>71</v>
      </c>
      <c r="AE2156" s="1" t="s">
        <v>7240</v>
      </c>
      <c r="AH2156" s="1" t="s">
        <v>73</v>
      </c>
      <c r="AK2156" s="1" t="s">
        <v>71</v>
      </c>
      <c r="AM2156" s="1" t="s">
        <v>71</v>
      </c>
      <c r="AN2156" s="1" t="s">
        <v>71</v>
      </c>
      <c r="AS2156" s="1" t="s">
        <v>71</v>
      </c>
      <c r="AX2156" s="1" t="s">
        <v>71</v>
      </c>
      <c r="AY2156" s="1" t="s">
        <v>59</v>
      </c>
      <c r="AZ2156" s="1" t="s">
        <v>74</v>
      </c>
      <c r="BH2156" s="1" t="s">
        <v>71</v>
      </c>
    </row>
    <row r="2157" customFormat="false" ht="15" hidden="false" customHeight="false" outlineLevel="0" collapsed="false">
      <c r="A2157" s="1" t="s">
        <v>7269</v>
      </c>
      <c r="B2157" s="1" t="s">
        <v>7270</v>
      </c>
      <c r="C2157" s="1" t="s">
        <v>222</v>
      </c>
      <c r="D2157" s="1" t="s">
        <v>223</v>
      </c>
      <c r="E2157" s="1" t="s">
        <v>61</v>
      </c>
      <c r="F2157" s="1" t="s">
        <v>101</v>
      </c>
      <c r="G2157" s="1" t="s">
        <v>93</v>
      </c>
      <c r="H2157" s="1" t="s">
        <v>64</v>
      </c>
      <c r="K2157" s="1" t="s">
        <v>229</v>
      </c>
      <c r="L2157" s="1" t="s">
        <v>605</v>
      </c>
      <c r="M2157" s="1" t="s">
        <v>1555</v>
      </c>
      <c r="N2157" s="1" t="s">
        <v>105</v>
      </c>
      <c r="O2157" s="1" t="s">
        <v>106</v>
      </c>
      <c r="P2157" s="1" t="s">
        <v>3539</v>
      </c>
      <c r="U2157" s="1" t="s">
        <v>7269</v>
      </c>
      <c r="Z2157" s="1" t="s">
        <v>71</v>
      </c>
      <c r="AE2157" s="1" t="s">
        <v>7240</v>
      </c>
      <c r="AH2157" s="1" t="s">
        <v>73</v>
      </c>
      <c r="AK2157" s="1" t="s">
        <v>71</v>
      </c>
      <c r="AM2157" s="1" t="s">
        <v>71</v>
      </c>
      <c r="AN2157" s="1" t="s">
        <v>71</v>
      </c>
      <c r="AS2157" s="1" t="s">
        <v>71</v>
      </c>
      <c r="AX2157" s="1" t="s">
        <v>71</v>
      </c>
      <c r="AY2157" s="1" t="s">
        <v>59</v>
      </c>
      <c r="AZ2157" s="1" t="s">
        <v>74</v>
      </c>
      <c r="BH2157" s="1" t="s">
        <v>71</v>
      </c>
    </row>
    <row r="2158" customFormat="false" ht="15" hidden="false" customHeight="false" outlineLevel="0" collapsed="false">
      <c r="A2158" s="1" t="s">
        <v>7271</v>
      </c>
      <c r="B2158" s="1" t="s">
        <v>7272</v>
      </c>
      <c r="C2158" s="1" t="s">
        <v>7273</v>
      </c>
      <c r="D2158" s="1" t="s">
        <v>7274</v>
      </c>
      <c r="E2158" s="1" t="s">
        <v>61</v>
      </c>
      <c r="F2158" s="1" t="s">
        <v>101</v>
      </c>
      <c r="G2158" s="1" t="s">
        <v>1479</v>
      </c>
      <c r="H2158" s="1" t="s">
        <v>5583</v>
      </c>
      <c r="K2158" s="1" t="s">
        <v>275</v>
      </c>
      <c r="L2158" s="1" t="s">
        <v>5584</v>
      </c>
      <c r="M2158" s="1" t="s">
        <v>242</v>
      </c>
      <c r="N2158" s="1" t="s">
        <v>4854</v>
      </c>
      <c r="O2158" s="1" t="s">
        <v>4855</v>
      </c>
      <c r="P2158" s="1" t="s">
        <v>4856</v>
      </c>
      <c r="U2158" s="1" t="s">
        <v>7275</v>
      </c>
      <c r="Z2158" s="1" t="s">
        <v>71</v>
      </c>
      <c r="AE2158" s="1" t="s">
        <v>7276</v>
      </c>
      <c r="AH2158" s="1" t="s">
        <v>73</v>
      </c>
      <c r="AK2158" s="1" t="s">
        <v>71</v>
      </c>
      <c r="AM2158" s="1" t="s">
        <v>71</v>
      </c>
      <c r="AN2158" s="1" t="s">
        <v>71</v>
      </c>
      <c r="AS2158" s="1" t="s">
        <v>71</v>
      </c>
      <c r="AX2158" s="1" t="s">
        <v>71</v>
      </c>
      <c r="AY2158" s="1" t="s">
        <v>59</v>
      </c>
      <c r="AZ2158" s="1" t="s">
        <v>74</v>
      </c>
      <c r="BH2158" s="1" t="s">
        <v>71</v>
      </c>
    </row>
    <row r="2159" customFormat="false" ht="15" hidden="false" customHeight="false" outlineLevel="0" collapsed="false">
      <c r="A2159" s="1" t="s">
        <v>7277</v>
      </c>
      <c r="B2159" s="1" t="s">
        <v>7278</v>
      </c>
      <c r="C2159" s="1" t="s">
        <v>2090</v>
      </c>
      <c r="D2159" s="1" t="s">
        <v>7238</v>
      </c>
      <c r="E2159" s="1" t="s">
        <v>61</v>
      </c>
      <c r="F2159" s="1" t="s">
        <v>101</v>
      </c>
      <c r="G2159" s="1" t="s">
        <v>93</v>
      </c>
      <c r="H2159" s="1" t="s">
        <v>64</v>
      </c>
      <c r="K2159" s="1" t="s">
        <v>217</v>
      </c>
      <c r="L2159" s="1" t="s">
        <v>218</v>
      </c>
      <c r="M2159" s="1" t="s">
        <v>1387</v>
      </c>
      <c r="N2159" s="1" t="s">
        <v>1177</v>
      </c>
      <c r="O2159" s="1" t="s">
        <v>1178</v>
      </c>
      <c r="P2159" s="1" t="s">
        <v>4732</v>
      </c>
      <c r="U2159" s="1" t="s">
        <v>7277</v>
      </c>
      <c r="V2159" s="1" t="s">
        <v>7239</v>
      </c>
      <c r="Z2159" s="1" t="s">
        <v>71</v>
      </c>
      <c r="AE2159" s="1" t="s">
        <v>7276</v>
      </c>
      <c r="AH2159" s="1" t="s">
        <v>73</v>
      </c>
      <c r="AK2159" s="1" t="s">
        <v>71</v>
      </c>
      <c r="AM2159" s="1" t="s">
        <v>71</v>
      </c>
      <c r="AN2159" s="1" t="s">
        <v>71</v>
      </c>
      <c r="AS2159" s="1" t="s">
        <v>71</v>
      </c>
      <c r="AX2159" s="1" t="s">
        <v>71</v>
      </c>
      <c r="AY2159" s="1" t="s">
        <v>59</v>
      </c>
      <c r="AZ2159" s="1" t="s">
        <v>74</v>
      </c>
      <c r="BH2159" s="1" t="s">
        <v>71</v>
      </c>
    </row>
    <row r="2160" customFormat="false" ht="15" hidden="false" customHeight="false" outlineLevel="0" collapsed="false">
      <c r="A2160" s="1" t="s">
        <v>7279</v>
      </c>
      <c r="B2160" s="1" t="s">
        <v>7280</v>
      </c>
      <c r="C2160" s="1" t="s">
        <v>161</v>
      </c>
      <c r="D2160" s="1" t="s">
        <v>162</v>
      </c>
      <c r="E2160" s="1" t="s">
        <v>61</v>
      </c>
      <c r="F2160" s="1" t="s">
        <v>101</v>
      </c>
      <c r="G2160" s="1" t="s">
        <v>93</v>
      </c>
      <c r="H2160" s="1" t="s">
        <v>64</v>
      </c>
      <c r="K2160" s="1" t="s">
        <v>290</v>
      </c>
      <c r="L2160" s="1" t="s">
        <v>291</v>
      </c>
      <c r="M2160" s="1" t="s">
        <v>366</v>
      </c>
      <c r="N2160" s="1" t="s">
        <v>105</v>
      </c>
      <c r="O2160" s="1" t="s">
        <v>106</v>
      </c>
      <c r="P2160" s="1" t="s">
        <v>3539</v>
      </c>
      <c r="U2160" s="1" t="s">
        <v>7279</v>
      </c>
      <c r="Z2160" s="1" t="s">
        <v>71</v>
      </c>
      <c r="AE2160" s="1" t="s">
        <v>7281</v>
      </c>
      <c r="AH2160" s="1" t="s">
        <v>73</v>
      </c>
      <c r="AK2160" s="1" t="s">
        <v>71</v>
      </c>
      <c r="AM2160" s="1" t="s">
        <v>71</v>
      </c>
      <c r="AN2160" s="1" t="s">
        <v>71</v>
      </c>
      <c r="AS2160" s="1" t="s">
        <v>71</v>
      </c>
      <c r="AX2160" s="1" t="s">
        <v>71</v>
      </c>
      <c r="AY2160" s="1" t="s">
        <v>59</v>
      </c>
      <c r="AZ2160" s="1" t="s">
        <v>74</v>
      </c>
      <c r="BH2160" s="1" t="s">
        <v>71</v>
      </c>
    </row>
    <row r="2161" customFormat="false" ht="15" hidden="false" customHeight="false" outlineLevel="0" collapsed="false">
      <c r="A2161" s="1" t="s">
        <v>7282</v>
      </c>
      <c r="B2161" s="1" t="s">
        <v>7283</v>
      </c>
      <c r="C2161" s="1" t="s">
        <v>161</v>
      </c>
      <c r="D2161" s="1" t="s">
        <v>162</v>
      </c>
      <c r="E2161" s="1" t="s">
        <v>61</v>
      </c>
      <c r="F2161" s="1" t="s">
        <v>101</v>
      </c>
      <c r="G2161" s="1" t="s">
        <v>93</v>
      </c>
      <c r="H2161" s="1" t="s">
        <v>64</v>
      </c>
      <c r="K2161" s="1" t="s">
        <v>229</v>
      </c>
      <c r="L2161" s="1" t="s">
        <v>605</v>
      </c>
      <c r="M2161" s="1" t="s">
        <v>122</v>
      </c>
      <c r="N2161" s="1" t="s">
        <v>105</v>
      </c>
      <c r="O2161" s="1" t="s">
        <v>106</v>
      </c>
      <c r="P2161" s="1" t="s">
        <v>3539</v>
      </c>
      <c r="U2161" s="1" t="s">
        <v>7282</v>
      </c>
      <c r="Z2161" s="1" t="s">
        <v>71</v>
      </c>
      <c r="AE2161" s="1" t="s">
        <v>7281</v>
      </c>
      <c r="AH2161" s="1" t="s">
        <v>73</v>
      </c>
      <c r="AK2161" s="1" t="s">
        <v>71</v>
      </c>
      <c r="AM2161" s="1" t="s">
        <v>71</v>
      </c>
      <c r="AN2161" s="1" t="s">
        <v>71</v>
      </c>
      <c r="AS2161" s="1" t="s">
        <v>71</v>
      </c>
      <c r="AX2161" s="1" t="s">
        <v>71</v>
      </c>
      <c r="AY2161" s="1" t="s">
        <v>59</v>
      </c>
      <c r="AZ2161" s="1" t="s">
        <v>74</v>
      </c>
      <c r="BH2161" s="1" t="s">
        <v>71</v>
      </c>
    </row>
    <row r="2162" customFormat="false" ht="15" hidden="false" customHeight="false" outlineLevel="0" collapsed="false">
      <c r="A2162" s="1" t="s">
        <v>7284</v>
      </c>
      <c r="B2162" s="1" t="s">
        <v>7285</v>
      </c>
      <c r="C2162" s="1" t="s">
        <v>182</v>
      </c>
      <c r="D2162" s="1" t="s">
        <v>239</v>
      </c>
      <c r="E2162" s="1" t="s">
        <v>61</v>
      </c>
      <c r="F2162" s="1" t="s">
        <v>101</v>
      </c>
      <c r="G2162" s="1" t="s">
        <v>108</v>
      </c>
      <c r="H2162" s="1" t="s">
        <v>1495</v>
      </c>
      <c r="K2162" s="1" t="s">
        <v>1118</v>
      </c>
      <c r="L2162" s="1" t="s">
        <v>7114</v>
      </c>
      <c r="M2162" s="1" t="s">
        <v>7110</v>
      </c>
      <c r="N2162" s="1" t="s">
        <v>4469</v>
      </c>
      <c r="O2162" s="1" t="s">
        <v>400</v>
      </c>
      <c r="P2162" s="1" t="s">
        <v>4470</v>
      </c>
      <c r="U2162" s="1" t="s">
        <v>263</v>
      </c>
      <c r="Z2162" s="1" t="s">
        <v>71</v>
      </c>
      <c r="AE2162" s="1" t="s">
        <v>7286</v>
      </c>
      <c r="AH2162" s="1" t="s">
        <v>73</v>
      </c>
      <c r="AK2162" s="1" t="s">
        <v>71</v>
      </c>
      <c r="AM2162" s="1" t="s">
        <v>71</v>
      </c>
      <c r="AN2162" s="1" t="s">
        <v>71</v>
      </c>
      <c r="AS2162" s="1" t="s">
        <v>71</v>
      </c>
      <c r="AX2162" s="1" t="s">
        <v>71</v>
      </c>
      <c r="AY2162" s="1" t="s">
        <v>59</v>
      </c>
      <c r="AZ2162" s="1" t="s">
        <v>74</v>
      </c>
      <c r="BH2162" s="1" t="s">
        <v>71</v>
      </c>
    </row>
    <row r="2163" customFormat="false" ht="15" hidden="false" customHeight="false" outlineLevel="0" collapsed="false">
      <c r="A2163" s="1" t="s">
        <v>7287</v>
      </c>
      <c r="B2163" s="1" t="s">
        <v>7288</v>
      </c>
      <c r="C2163" s="1" t="s">
        <v>2116</v>
      </c>
      <c r="D2163" s="1" t="s">
        <v>7289</v>
      </c>
      <c r="E2163" s="1" t="s">
        <v>82</v>
      </c>
      <c r="F2163" s="1" t="s">
        <v>391</v>
      </c>
      <c r="G2163" s="1" t="s">
        <v>97</v>
      </c>
      <c r="H2163" s="1" t="s">
        <v>406</v>
      </c>
      <c r="K2163" s="1" t="s">
        <v>65</v>
      </c>
      <c r="L2163" s="1" t="s">
        <v>860</v>
      </c>
      <c r="M2163" s="1" t="s">
        <v>496</v>
      </c>
      <c r="N2163" s="1" t="s">
        <v>2041</v>
      </c>
      <c r="O2163" s="1" t="s">
        <v>447</v>
      </c>
      <c r="P2163" s="1" t="s">
        <v>4374</v>
      </c>
      <c r="U2163" s="1" t="s">
        <v>7287</v>
      </c>
      <c r="Z2163" s="1" t="s">
        <v>71</v>
      </c>
      <c r="AE2163" s="1" t="s">
        <v>7290</v>
      </c>
      <c r="AH2163" s="1" t="s">
        <v>73</v>
      </c>
      <c r="AK2163" s="1" t="s">
        <v>71</v>
      </c>
      <c r="AM2163" s="1" t="s">
        <v>71</v>
      </c>
      <c r="AN2163" s="1" t="s">
        <v>71</v>
      </c>
      <c r="AS2163" s="1" t="s">
        <v>71</v>
      </c>
      <c r="AX2163" s="1" t="s">
        <v>71</v>
      </c>
      <c r="BH2163" s="1" t="s">
        <v>71</v>
      </c>
    </row>
    <row r="2164" customFormat="false" ht="15" hidden="false" customHeight="false" outlineLevel="0" collapsed="false">
      <c r="A2164" s="1" t="s">
        <v>7291</v>
      </c>
      <c r="B2164" s="1" t="s">
        <v>7292</v>
      </c>
      <c r="C2164" s="1" t="s">
        <v>182</v>
      </c>
      <c r="D2164" s="1" t="s">
        <v>239</v>
      </c>
      <c r="E2164" s="1" t="s">
        <v>65</v>
      </c>
      <c r="F2164" s="1" t="s">
        <v>119</v>
      </c>
      <c r="G2164" s="1" t="s">
        <v>61</v>
      </c>
      <c r="H2164" s="1" t="s">
        <v>231</v>
      </c>
      <c r="K2164" s="1" t="s">
        <v>1385</v>
      </c>
      <c r="L2164" s="1" t="s">
        <v>1386</v>
      </c>
      <c r="M2164" s="1" t="s">
        <v>6973</v>
      </c>
      <c r="N2164" s="1" t="s">
        <v>1388</v>
      </c>
      <c r="O2164" s="1" t="s">
        <v>1389</v>
      </c>
      <c r="P2164" s="1" t="s">
        <v>5676</v>
      </c>
      <c r="S2164" s="1" t="s">
        <v>97</v>
      </c>
      <c r="U2164" s="1" t="s">
        <v>245</v>
      </c>
      <c r="Z2164" s="1" t="s">
        <v>71</v>
      </c>
      <c r="AE2164" s="1" t="s">
        <v>7293</v>
      </c>
      <c r="AH2164" s="1" t="s">
        <v>73</v>
      </c>
      <c r="AK2164" s="1" t="s">
        <v>71</v>
      </c>
      <c r="AM2164" s="1" t="s">
        <v>71</v>
      </c>
      <c r="AN2164" s="1" t="s">
        <v>71</v>
      </c>
      <c r="AS2164" s="1" t="s">
        <v>71</v>
      </c>
      <c r="AX2164" s="1" t="s">
        <v>71</v>
      </c>
      <c r="AY2164" s="1" t="s">
        <v>59</v>
      </c>
      <c r="AZ2164" s="1" t="s">
        <v>74</v>
      </c>
      <c r="BH2164" s="1" t="s">
        <v>71</v>
      </c>
    </row>
    <row r="2165" customFormat="false" ht="15" hidden="false" customHeight="false" outlineLevel="0" collapsed="false">
      <c r="A2165" s="1" t="s">
        <v>7294</v>
      </c>
      <c r="B2165" s="1" t="s">
        <v>7295</v>
      </c>
      <c r="C2165" s="1" t="s">
        <v>182</v>
      </c>
      <c r="D2165" s="1" t="s">
        <v>239</v>
      </c>
      <c r="E2165" s="1" t="s">
        <v>65</v>
      </c>
      <c r="F2165" s="1" t="s">
        <v>119</v>
      </c>
      <c r="G2165" s="1" t="s">
        <v>88</v>
      </c>
      <c r="H2165" s="1" t="s">
        <v>255</v>
      </c>
      <c r="K2165" s="1" t="s">
        <v>1596</v>
      </c>
      <c r="L2165" s="1" t="s">
        <v>1597</v>
      </c>
      <c r="M2165" s="1" t="s">
        <v>1607</v>
      </c>
      <c r="N2165" s="1" t="s">
        <v>7098</v>
      </c>
      <c r="O2165" s="1" t="s">
        <v>7099</v>
      </c>
      <c r="P2165" s="1" t="s">
        <v>7100</v>
      </c>
      <c r="U2165" s="1" t="s">
        <v>6794</v>
      </c>
      <c r="Z2165" s="1" t="s">
        <v>71</v>
      </c>
      <c r="AE2165" s="1" t="s">
        <v>7296</v>
      </c>
      <c r="AH2165" s="1" t="s">
        <v>73</v>
      </c>
      <c r="AK2165" s="1" t="s">
        <v>71</v>
      </c>
      <c r="AM2165" s="1" t="s">
        <v>71</v>
      </c>
      <c r="AN2165" s="1" t="s">
        <v>71</v>
      </c>
      <c r="AS2165" s="1" t="s">
        <v>71</v>
      </c>
      <c r="AX2165" s="1" t="s">
        <v>71</v>
      </c>
      <c r="AY2165" s="1" t="s">
        <v>59</v>
      </c>
      <c r="AZ2165" s="1" t="s">
        <v>74</v>
      </c>
      <c r="BH2165" s="1" t="s">
        <v>71</v>
      </c>
    </row>
    <row r="2166" customFormat="false" ht="15" hidden="false" customHeight="false" outlineLevel="0" collapsed="false">
      <c r="A2166" s="1" t="s">
        <v>7297</v>
      </c>
      <c r="B2166" s="1" t="s">
        <v>7298</v>
      </c>
      <c r="C2166" s="1" t="s">
        <v>182</v>
      </c>
      <c r="D2166" s="1" t="s">
        <v>239</v>
      </c>
      <c r="E2166" s="1" t="s">
        <v>61</v>
      </c>
      <c r="F2166" s="1" t="s">
        <v>101</v>
      </c>
      <c r="G2166" s="1" t="s">
        <v>108</v>
      </c>
      <c r="H2166" s="1" t="s">
        <v>1495</v>
      </c>
      <c r="K2166" s="1" t="s">
        <v>184</v>
      </c>
      <c r="L2166" s="1" t="s">
        <v>6952</v>
      </c>
      <c r="M2166" s="1" t="s">
        <v>5708</v>
      </c>
      <c r="N2166" s="1" t="s">
        <v>5423</v>
      </c>
      <c r="O2166" s="1" t="s">
        <v>5424</v>
      </c>
      <c r="P2166" s="1" t="s">
        <v>5425</v>
      </c>
      <c r="U2166" s="1" t="s">
        <v>6794</v>
      </c>
      <c r="Z2166" s="1" t="s">
        <v>71</v>
      </c>
      <c r="AE2166" s="1" t="s">
        <v>7296</v>
      </c>
      <c r="AH2166" s="1" t="s">
        <v>73</v>
      </c>
      <c r="AK2166" s="1" t="s">
        <v>71</v>
      </c>
      <c r="AM2166" s="1" t="s">
        <v>71</v>
      </c>
      <c r="AN2166" s="1" t="s">
        <v>71</v>
      </c>
      <c r="AS2166" s="1" t="s">
        <v>71</v>
      </c>
      <c r="AX2166" s="1" t="s">
        <v>71</v>
      </c>
      <c r="AY2166" s="1" t="s">
        <v>59</v>
      </c>
      <c r="AZ2166" s="1" t="s">
        <v>74</v>
      </c>
      <c r="BH2166" s="1" t="s">
        <v>71</v>
      </c>
    </row>
    <row r="2167" customFormat="false" ht="15" hidden="false" customHeight="false" outlineLevel="0" collapsed="false">
      <c r="A2167" s="1" t="s">
        <v>7299</v>
      </c>
      <c r="B2167" s="1" t="s">
        <v>7300</v>
      </c>
      <c r="C2167" s="1" t="s">
        <v>182</v>
      </c>
      <c r="D2167" s="1" t="s">
        <v>239</v>
      </c>
      <c r="E2167" s="1" t="s">
        <v>61</v>
      </c>
      <c r="F2167" s="1" t="s">
        <v>101</v>
      </c>
      <c r="G2167" s="1" t="s">
        <v>108</v>
      </c>
      <c r="H2167" s="1" t="s">
        <v>1495</v>
      </c>
      <c r="K2167" s="1" t="s">
        <v>184</v>
      </c>
      <c r="L2167" s="1" t="s">
        <v>6952</v>
      </c>
      <c r="M2167" s="1" t="s">
        <v>5708</v>
      </c>
      <c r="N2167" s="1" t="s">
        <v>5423</v>
      </c>
      <c r="O2167" s="1" t="s">
        <v>5424</v>
      </c>
      <c r="P2167" s="1" t="s">
        <v>5425</v>
      </c>
      <c r="U2167" s="1" t="s">
        <v>6794</v>
      </c>
      <c r="Z2167" s="1" t="s">
        <v>71</v>
      </c>
      <c r="AE2167" s="1" t="s">
        <v>7296</v>
      </c>
      <c r="AH2167" s="1" t="s">
        <v>73</v>
      </c>
      <c r="AK2167" s="1" t="s">
        <v>71</v>
      </c>
      <c r="AM2167" s="1" t="s">
        <v>71</v>
      </c>
      <c r="AN2167" s="1" t="s">
        <v>71</v>
      </c>
      <c r="AS2167" s="1" t="s">
        <v>71</v>
      </c>
      <c r="AX2167" s="1" t="s">
        <v>71</v>
      </c>
      <c r="AY2167" s="1" t="s">
        <v>59</v>
      </c>
      <c r="AZ2167" s="1" t="s">
        <v>74</v>
      </c>
      <c r="BH2167" s="1" t="s">
        <v>71</v>
      </c>
    </row>
    <row r="2168" customFormat="false" ht="15" hidden="false" customHeight="false" outlineLevel="0" collapsed="false">
      <c r="A2168" s="1" t="s">
        <v>7301</v>
      </c>
      <c r="B2168" s="1" t="s">
        <v>7302</v>
      </c>
      <c r="C2168" s="1" t="s">
        <v>288</v>
      </c>
      <c r="D2168" s="1" t="s">
        <v>289</v>
      </c>
      <c r="E2168" s="1" t="s">
        <v>61</v>
      </c>
      <c r="F2168" s="1" t="s">
        <v>101</v>
      </c>
      <c r="G2168" s="1" t="s">
        <v>134</v>
      </c>
      <c r="H2168" s="1" t="s">
        <v>4875</v>
      </c>
      <c r="K2168" s="1" t="s">
        <v>293</v>
      </c>
      <c r="L2168" s="1" t="s">
        <v>4876</v>
      </c>
      <c r="M2168" s="1" t="s">
        <v>5098</v>
      </c>
      <c r="N2168" s="1" t="s">
        <v>123</v>
      </c>
      <c r="O2168" s="1" t="s">
        <v>124</v>
      </c>
      <c r="P2168" s="1" t="s">
        <v>4161</v>
      </c>
      <c r="U2168" s="1" t="s">
        <v>7301</v>
      </c>
      <c r="Z2168" s="1" t="s">
        <v>71</v>
      </c>
      <c r="AE2168" s="1" t="s">
        <v>7296</v>
      </c>
      <c r="AH2168" s="1" t="s">
        <v>73</v>
      </c>
      <c r="AK2168" s="1" t="s">
        <v>71</v>
      </c>
      <c r="AM2168" s="1" t="s">
        <v>71</v>
      </c>
      <c r="AN2168" s="1" t="s">
        <v>71</v>
      </c>
      <c r="AS2168" s="1" t="s">
        <v>71</v>
      </c>
      <c r="AX2168" s="1" t="s">
        <v>71</v>
      </c>
      <c r="AY2168" s="1" t="s">
        <v>59</v>
      </c>
      <c r="AZ2168" s="1" t="s">
        <v>74</v>
      </c>
      <c r="BH2168" s="1" t="s">
        <v>71</v>
      </c>
    </row>
    <row r="2169" customFormat="false" ht="15" hidden="false" customHeight="false" outlineLevel="0" collapsed="false">
      <c r="A2169" s="1" t="s">
        <v>7303</v>
      </c>
      <c r="B2169" s="1" t="s">
        <v>7304</v>
      </c>
      <c r="C2169" s="1" t="s">
        <v>99</v>
      </c>
      <c r="D2169" s="1" t="s">
        <v>100</v>
      </c>
      <c r="E2169" s="1" t="s">
        <v>61</v>
      </c>
      <c r="F2169" s="1" t="s">
        <v>101</v>
      </c>
      <c r="G2169" s="1" t="s">
        <v>93</v>
      </c>
      <c r="H2169" s="1" t="s">
        <v>64</v>
      </c>
      <c r="K2169" s="1" t="s">
        <v>302</v>
      </c>
      <c r="L2169" s="1" t="s">
        <v>303</v>
      </c>
      <c r="M2169" s="1" t="s">
        <v>104</v>
      </c>
      <c r="N2169" s="1" t="s">
        <v>105</v>
      </c>
      <c r="O2169" s="1" t="s">
        <v>106</v>
      </c>
      <c r="P2169" s="1" t="s">
        <v>3539</v>
      </c>
      <c r="U2169" s="1" t="s">
        <v>7303</v>
      </c>
      <c r="Z2169" s="1" t="s">
        <v>71</v>
      </c>
      <c r="AE2169" s="1" t="s">
        <v>7305</v>
      </c>
      <c r="AH2169" s="1" t="s">
        <v>73</v>
      </c>
      <c r="AK2169" s="1" t="s">
        <v>71</v>
      </c>
      <c r="AM2169" s="1" t="s">
        <v>71</v>
      </c>
      <c r="AN2169" s="1" t="s">
        <v>71</v>
      </c>
      <c r="AS2169" s="1" t="s">
        <v>71</v>
      </c>
      <c r="AX2169" s="1" t="s">
        <v>71</v>
      </c>
      <c r="AY2169" s="1" t="s">
        <v>59</v>
      </c>
      <c r="AZ2169" s="1" t="s">
        <v>74</v>
      </c>
      <c r="BH2169" s="1" t="s">
        <v>71</v>
      </c>
    </row>
    <row r="2170" customFormat="false" ht="15" hidden="false" customHeight="false" outlineLevel="0" collapsed="false">
      <c r="A2170" s="1" t="s">
        <v>7306</v>
      </c>
      <c r="B2170" s="1" t="s">
        <v>7307</v>
      </c>
      <c r="C2170" s="1" t="s">
        <v>182</v>
      </c>
      <c r="D2170" s="1" t="s">
        <v>239</v>
      </c>
      <c r="E2170" s="1" t="s">
        <v>65</v>
      </c>
      <c r="F2170" s="1" t="s">
        <v>119</v>
      </c>
      <c r="G2170" s="1" t="s">
        <v>132</v>
      </c>
      <c r="H2170" s="1" t="s">
        <v>6776</v>
      </c>
      <c r="K2170" s="1" t="s">
        <v>5180</v>
      </c>
      <c r="L2170" s="1" t="s">
        <v>6777</v>
      </c>
      <c r="M2170" s="1" t="s">
        <v>5708</v>
      </c>
      <c r="N2170" s="1" t="s">
        <v>6778</v>
      </c>
      <c r="O2170" s="1" t="s">
        <v>6779</v>
      </c>
      <c r="P2170" s="1" t="s">
        <v>6780</v>
      </c>
      <c r="S2170" s="1" t="s">
        <v>229</v>
      </c>
      <c r="U2170" s="1" t="s">
        <v>6794</v>
      </c>
      <c r="Z2170" s="1" t="s">
        <v>71</v>
      </c>
      <c r="AE2170" s="1" t="s">
        <v>7308</v>
      </c>
      <c r="AH2170" s="1" t="s">
        <v>73</v>
      </c>
      <c r="AK2170" s="1" t="s">
        <v>71</v>
      </c>
      <c r="AM2170" s="1" t="s">
        <v>71</v>
      </c>
      <c r="AN2170" s="1" t="s">
        <v>71</v>
      </c>
      <c r="AS2170" s="1" t="s">
        <v>71</v>
      </c>
      <c r="AX2170" s="1" t="s">
        <v>71</v>
      </c>
      <c r="AY2170" s="1" t="s">
        <v>59</v>
      </c>
      <c r="AZ2170" s="1" t="s">
        <v>74</v>
      </c>
      <c r="BH2170" s="1" t="s">
        <v>71</v>
      </c>
    </row>
    <row r="2171" customFormat="false" ht="15" hidden="false" customHeight="false" outlineLevel="0" collapsed="false">
      <c r="A2171" s="1" t="s">
        <v>7309</v>
      </c>
      <c r="B2171" s="1" t="s">
        <v>7310</v>
      </c>
      <c r="C2171" s="1" t="s">
        <v>182</v>
      </c>
      <c r="D2171" s="1" t="s">
        <v>239</v>
      </c>
      <c r="E2171" s="1" t="s">
        <v>61</v>
      </c>
      <c r="F2171" s="1" t="s">
        <v>101</v>
      </c>
      <c r="G2171" s="1" t="s">
        <v>148</v>
      </c>
      <c r="H2171" s="1" t="s">
        <v>231</v>
      </c>
      <c r="K2171" s="1" t="s">
        <v>144</v>
      </c>
      <c r="L2171" s="1" t="s">
        <v>1654</v>
      </c>
      <c r="M2171" s="1" t="s">
        <v>242</v>
      </c>
      <c r="N2171" s="1" t="s">
        <v>243</v>
      </c>
      <c r="O2171" s="1" t="s">
        <v>244</v>
      </c>
      <c r="P2171" s="1" t="s">
        <v>3503</v>
      </c>
      <c r="U2171" s="1" t="s">
        <v>245</v>
      </c>
      <c r="Z2171" s="1" t="s">
        <v>71</v>
      </c>
      <c r="AE2171" s="1" t="s">
        <v>7308</v>
      </c>
      <c r="AH2171" s="1" t="s">
        <v>73</v>
      </c>
      <c r="AK2171" s="1" t="s">
        <v>71</v>
      </c>
      <c r="AM2171" s="1" t="s">
        <v>71</v>
      </c>
      <c r="AN2171" s="1" t="s">
        <v>71</v>
      </c>
      <c r="AS2171" s="1" t="s">
        <v>71</v>
      </c>
      <c r="AX2171" s="1" t="s">
        <v>71</v>
      </c>
      <c r="AY2171" s="1" t="s">
        <v>59</v>
      </c>
      <c r="AZ2171" s="1" t="s">
        <v>74</v>
      </c>
      <c r="BH2171" s="1" t="s">
        <v>71</v>
      </c>
    </row>
    <row r="2172" customFormat="false" ht="15" hidden="false" customHeight="false" outlineLevel="0" collapsed="false">
      <c r="A2172" s="1" t="s">
        <v>7311</v>
      </c>
      <c r="B2172" s="1" t="s">
        <v>7312</v>
      </c>
      <c r="C2172" s="1" t="s">
        <v>182</v>
      </c>
      <c r="D2172" s="1" t="s">
        <v>239</v>
      </c>
      <c r="E2172" s="1" t="s">
        <v>65</v>
      </c>
      <c r="F2172" s="1" t="s">
        <v>119</v>
      </c>
      <c r="G2172" s="1" t="s">
        <v>132</v>
      </c>
      <c r="H2172" s="1" t="s">
        <v>6776</v>
      </c>
      <c r="K2172" s="1" t="s">
        <v>5180</v>
      </c>
      <c r="L2172" s="1" t="s">
        <v>6777</v>
      </c>
      <c r="M2172" s="1" t="s">
        <v>5708</v>
      </c>
      <c r="N2172" s="1" t="s">
        <v>6778</v>
      </c>
      <c r="O2172" s="1" t="s">
        <v>6779</v>
      </c>
      <c r="P2172" s="1" t="s">
        <v>6780</v>
      </c>
      <c r="S2172" s="1" t="s">
        <v>229</v>
      </c>
      <c r="U2172" s="1" t="s">
        <v>6683</v>
      </c>
      <c r="Z2172" s="1" t="s">
        <v>71</v>
      </c>
      <c r="AE2172" s="1" t="s">
        <v>7313</v>
      </c>
      <c r="AH2172" s="1" t="s">
        <v>73</v>
      </c>
      <c r="AK2172" s="1" t="s">
        <v>71</v>
      </c>
      <c r="AM2172" s="1" t="s">
        <v>71</v>
      </c>
      <c r="AN2172" s="1" t="s">
        <v>71</v>
      </c>
      <c r="AS2172" s="1" t="s">
        <v>71</v>
      </c>
      <c r="AX2172" s="1" t="s">
        <v>71</v>
      </c>
      <c r="AY2172" s="1" t="s">
        <v>59</v>
      </c>
      <c r="AZ2172" s="1" t="s">
        <v>74</v>
      </c>
      <c r="BH2172" s="1" t="s">
        <v>71</v>
      </c>
    </row>
    <row r="2173" customFormat="false" ht="15" hidden="false" customHeight="false" outlineLevel="0" collapsed="false">
      <c r="A2173" s="1" t="s">
        <v>7314</v>
      </c>
      <c r="B2173" s="1" t="s">
        <v>7315</v>
      </c>
      <c r="C2173" s="1" t="s">
        <v>182</v>
      </c>
      <c r="D2173" s="1" t="s">
        <v>239</v>
      </c>
      <c r="E2173" s="1" t="s">
        <v>65</v>
      </c>
      <c r="F2173" s="1" t="s">
        <v>119</v>
      </c>
      <c r="G2173" s="1" t="s">
        <v>132</v>
      </c>
      <c r="H2173" s="1" t="s">
        <v>6776</v>
      </c>
      <c r="K2173" s="1" t="s">
        <v>5180</v>
      </c>
      <c r="L2173" s="1" t="s">
        <v>6777</v>
      </c>
      <c r="M2173" s="1" t="s">
        <v>7316</v>
      </c>
      <c r="N2173" s="1" t="s">
        <v>6778</v>
      </c>
      <c r="O2173" s="1" t="s">
        <v>6779</v>
      </c>
      <c r="P2173" s="1" t="s">
        <v>6780</v>
      </c>
      <c r="S2173" s="1" t="s">
        <v>229</v>
      </c>
      <c r="U2173" s="1" t="s">
        <v>245</v>
      </c>
      <c r="Z2173" s="1" t="s">
        <v>7317</v>
      </c>
      <c r="AE2173" s="1" t="s">
        <v>7313</v>
      </c>
      <c r="AH2173" s="1" t="s">
        <v>73</v>
      </c>
      <c r="AK2173" s="1" t="s">
        <v>71</v>
      </c>
      <c r="AM2173" s="1" t="s">
        <v>71</v>
      </c>
      <c r="AN2173" s="1" t="s">
        <v>71</v>
      </c>
      <c r="AS2173" s="1" t="s">
        <v>71</v>
      </c>
      <c r="AX2173" s="1" t="s">
        <v>71</v>
      </c>
      <c r="AY2173" s="1" t="s">
        <v>59</v>
      </c>
      <c r="AZ2173" s="1" t="s">
        <v>74</v>
      </c>
      <c r="BH2173" s="1" t="s">
        <v>71</v>
      </c>
    </row>
    <row r="2174" customFormat="false" ht="15" hidden="false" customHeight="false" outlineLevel="0" collapsed="false">
      <c r="A2174" s="1" t="s">
        <v>7318</v>
      </c>
      <c r="B2174" s="1" t="s">
        <v>7319</v>
      </c>
      <c r="C2174" s="1" t="s">
        <v>182</v>
      </c>
      <c r="D2174" s="1" t="s">
        <v>239</v>
      </c>
      <c r="E2174" s="1" t="s">
        <v>61</v>
      </c>
      <c r="F2174" s="1" t="s">
        <v>101</v>
      </c>
      <c r="G2174" s="1" t="s">
        <v>148</v>
      </c>
      <c r="H2174" s="1" t="s">
        <v>231</v>
      </c>
      <c r="K2174" s="1" t="s">
        <v>240</v>
      </c>
      <c r="L2174" s="1" t="s">
        <v>241</v>
      </c>
      <c r="M2174" s="1" t="s">
        <v>278</v>
      </c>
      <c r="N2174" s="1" t="s">
        <v>243</v>
      </c>
      <c r="O2174" s="1" t="s">
        <v>244</v>
      </c>
      <c r="P2174" s="1" t="s">
        <v>3503</v>
      </c>
      <c r="U2174" s="1" t="s">
        <v>245</v>
      </c>
      <c r="Z2174" s="1" t="s">
        <v>71</v>
      </c>
      <c r="AE2174" s="1" t="s">
        <v>7320</v>
      </c>
      <c r="AH2174" s="1" t="s">
        <v>73</v>
      </c>
      <c r="AK2174" s="1" t="s">
        <v>71</v>
      </c>
      <c r="AM2174" s="1" t="s">
        <v>71</v>
      </c>
      <c r="AN2174" s="1" t="s">
        <v>71</v>
      </c>
      <c r="AS2174" s="1" t="s">
        <v>71</v>
      </c>
      <c r="AX2174" s="1" t="s">
        <v>71</v>
      </c>
      <c r="AY2174" s="1" t="s">
        <v>59</v>
      </c>
      <c r="AZ2174" s="1" t="s">
        <v>74</v>
      </c>
      <c r="BH2174" s="1" t="s">
        <v>71</v>
      </c>
    </row>
    <row r="2175" customFormat="false" ht="15" hidden="false" customHeight="false" outlineLevel="0" collapsed="false">
      <c r="A2175" s="1" t="s">
        <v>7321</v>
      </c>
      <c r="B2175" s="1" t="s">
        <v>7322</v>
      </c>
      <c r="C2175" s="1" t="s">
        <v>182</v>
      </c>
      <c r="D2175" s="1" t="s">
        <v>239</v>
      </c>
      <c r="E2175" s="1" t="s">
        <v>65</v>
      </c>
      <c r="F2175" s="1" t="s">
        <v>119</v>
      </c>
      <c r="G2175" s="1" t="s">
        <v>88</v>
      </c>
      <c r="H2175" s="1" t="s">
        <v>255</v>
      </c>
      <c r="K2175" s="1" t="s">
        <v>256</v>
      </c>
      <c r="L2175" s="1" t="s">
        <v>257</v>
      </c>
      <c r="M2175" s="1" t="s">
        <v>258</v>
      </c>
      <c r="N2175" s="1" t="s">
        <v>259</v>
      </c>
      <c r="O2175" s="1" t="s">
        <v>260</v>
      </c>
      <c r="P2175" s="1" t="s">
        <v>3768</v>
      </c>
      <c r="U2175" s="1" t="s">
        <v>245</v>
      </c>
      <c r="Z2175" s="1" t="s">
        <v>71</v>
      </c>
      <c r="AE2175" s="1" t="s">
        <v>7320</v>
      </c>
      <c r="AH2175" s="1" t="s">
        <v>73</v>
      </c>
      <c r="AK2175" s="1" t="s">
        <v>71</v>
      </c>
      <c r="AM2175" s="1" t="s">
        <v>71</v>
      </c>
      <c r="AN2175" s="1" t="s">
        <v>71</v>
      </c>
      <c r="AS2175" s="1" t="s">
        <v>71</v>
      </c>
      <c r="AX2175" s="1" t="s">
        <v>71</v>
      </c>
      <c r="AY2175" s="1" t="s">
        <v>59</v>
      </c>
      <c r="AZ2175" s="1" t="s">
        <v>74</v>
      </c>
      <c r="BH2175" s="1" t="s">
        <v>71</v>
      </c>
    </row>
    <row r="2176" customFormat="false" ht="15" hidden="false" customHeight="false" outlineLevel="0" collapsed="false">
      <c r="A2176" s="1" t="s">
        <v>7323</v>
      </c>
      <c r="B2176" s="1" t="s">
        <v>7324</v>
      </c>
      <c r="C2176" s="1" t="s">
        <v>161</v>
      </c>
      <c r="D2176" s="1" t="s">
        <v>162</v>
      </c>
      <c r="E2176" s="1" t="s">
        <v>61</v>
      </c>
      <c r="F2176" s="1" t="s">
        <v>101</v>
      </c>
      <c r="G2176" s="1" t="s">
        <v>130</v>
      </c>
      <c r="H2176" s="1" t="s">
        <v>5179</v>
      </c>
      <c r="K2176" s="1" t="s">
        <v>5180</v>
      </c>
      <c r="L2176" s="1" t="s">
        <v>5181</v>
      </c>
      <c r="M2176" s="1" t="s">
        <v>592</v>
      </c>
      <c r="N2176" s="1" t="s">
        <v>105</v>
      </c>
      <c r="O2176" s="1" t="s">
        <v>106</v>
      </c>
      <c r="P2176" s="1" t="s">
        <v>3539</v>
      </c>
      <c r="U2176" s="1" t="s">
        <v>7323</v>
      </c>
      <c r="Z2176" s="1" t="s">
        <v>71</v>
      </c>
      <c r="AE2176" s="1" t="s">
        <v>7320</v>
      </c>
      <c r="AH2176" s="1" t="s">
        <v>73</v>
      </c>
      <c r="AK2176" s="1" t="s">
        <v>71</v>
      </c>
      <c r="AM2176" s="1" t="s">
        <v>71</v>
      </c>
      <c r="AN2176" s="1" t="s">
        <v>71</v>
      </c>
      <c r="AS2176" s="1" t="s">
        <v>71</v>
      </c>
      <c r="AX2176" s="1" t="s">
        <v>71</v>
      </c>
      <c r="AY2176" s="1" t="s">
        <v>59</v>
      </c>
      <c r="AZ2176" s="1" t="s">
        <v>74</v>
      </c>
      <c r="BH2176" s="1" t="s">
        <v>71</v>
      </c>
    </row>
    <row r="2177" customFormat="false" ht="15" hidden="false" customHeight="false" outlineLevel="0" collapsed="false">
      <c r="A2177" s="1" t="s">
        <v>7325</v>
      </c>
      <c r="B2177" s="1" t="s">
        <v>7326</v>
      </c>
      <c r="C2177" s="1" t="s">
        <v>1349</v>
      </c>
      <c r="D2177" s="1" t="s">
        <v>4811</v>
      </c>
      <c r="E2177" s="1" t="s">
        <v>82</v>
      </c>
      <c r="F2177" s="1" t="s">
        <v>391</v>
      </c>
      <c r="G2177" s="1" t="s">
        <v>443</v>
      </c>
      <c r="H2177" s="1" t="s">
        <v>444</v>
      </c>
      <c r="K2177" s="1" t="s">
        <v>618</v>
      </c>
      <c r="L2177" s="1" t="s">
        <v>619</v>
      </c>
      <c r="M2177" s="1" t="s">
        <v>496</v>
      </c>
      <c r="N2177" s="1" t="s">
        <v>2970</v>
      </c>
      <c r="O2177" s="1" t="s">
        <v>447</v>
      </c>
      <c r="P2177" s="1" t="s">
        <v>7327</v>
      </c>
      <c r="U2177" s="1" t="s">
        <v>7325</v>
      </c>
      <c r="Z2177" s="1" t="s">
        <v>71</v>
      </c>
      <c r="AE2177" s="1" t="s">
        <v>7328</v>
      </c>
      <c r="AH2177" s="1" t="s">
        <v>73</v>
      </c>
      <c r="AK2177" s="1" t="s">
        <v>71</v>
      </c>
      <c r="AM2177" s="1" t="s">
        <v>71</v>
      </c>
      <c r="AN2177" s="1" t="s">
        <v>71</v>
      </c>
      <c r="AS2177" s="1" t="s">
        <v>71</v>
      </c>
      <c r="AX2177" s="1" t="s">
        <v>71</v>
      </c>
      <c r="BH2177" s="1" t="s">
        <v>71</v>
      </c>
    </row>
    <row r="2178" customFormat="false" ht="15" hidden="false" customHeight="false" outlineLevel="0" collapsed="false">
      <c r="A2178" s="1" t="s">
        <v>7329</v>
      </c>
      <c r="B2178" s="1" t="s">
        <v>7330</v>
      </c>
      <c r="C2178" s="1" t="s">
        <v>752</v>
      </c>
      <c r="D2178" s="1" t="s">
        <v>2143</v>
      </c>
      <c r="E2178" s="1" t="s">
        <v>82</v>
      </c>
      <c r="F2178" s="1" t="s">
        <v>391</v>
      </c>
      <c r="G2178" s="1" t="s">
        <v>443</v>
      </c>
      <c r="H2178" s="1" t="s">
        <v>444</v>
      </c>
      <c r="K2178" s="1" t="s">
        <v>582</v>
      </c>
      <c r="L2178" s="1" t="s">
        <v>860</v>
      </c>
      <c r="M2178" s="1" t="s">
        <v>496</v>
      </c>
      <c r="N2178" s="1" t="s">
        <v>1009</v>
      </c>
      <c r="O2178" s="1" t="s">
        <v>400</v>
      </c>
      <c r="P2178" s="1" t="s">
        <v>7331</v>
      </c>
      <c r="U2178" s="1" t="s">
        <v>7329</v>
      </c>
      <c r="Z2178" s="1" t="s">
        <v>71</v>
      </c>
      <c r="AE2178" s="1" t="s">
        <v>7332</v>
      </c>
      <c r="AH2178" s="1" t="s">
        <v>73</v>
      </c>
      <c r="AK2178" s="1" t="s">
        <v>71</v>
      </c>
      <c r="AM2178" s="1" t="s">
        <v>71</v>
      </c>
      <c r="AN2178" s="1" t="s">
        <v>71</v>
      </c>
      <c r="AS2178" s="1" t="s">
        <v>71</v>
      </c>
      <c r="AX2178" s="1" t="s">
        <v>71</v>
      </c>
      <c r="BH2178" s="1" t="s">
        <v>71</v>
      </c>
    </row>
    <row r="2179" customFormat="false" ht="15" hidden="false" customHeight="false" outlineLevel="0" collapsed="false">
      <c r="A2179" s="1" t="s">
        <v>7333</v>
      </c>
      <c r="B2179" s="1" t="s">
        <v>7334</v>
      </c>
      <c r="C2179" s="1" t="s">
        <v>182</v>
      </c>
      <c r="D2179" s="1" t="s">
        <v>239</v>
      </c>
      <c r="E2179" s="1" t="s">
        <v>65</v>
      </c>
      <c r="F2179" s="1" t="s">
        <v>119</v>
      </c>
      <c r="G2179" s="1" t="s">
        <v>88</v>
      </c>
      <c r="H2179" s="1" t="s">
        <v>255</v>
      </c>
      <c r="K2179" s="1" t="s">
        <v>1596</v>
      </c>
      <c r="L2179" s="1" t="s">
        <v>1597</v>
      </c>
      <c r="M2179" s="1" t="s">
        <v>7335</v>
      </c>
      <c r="N2179" s="1" t="s">
        <v>7098</v>
      </c>
      <c r="O2179" s="1" t="s">
        <v>7099</v>
      </c>
      <c r="P2179" s="1" t="s">
        <v>7100</v>
      </c>
      <c r="U2179" s="1" t="s">
        <v>263</v>
      </c>
      <c r="Z2179" s="1" t="s">
        <v>71</v>
      </c>
      <c r="AE2179" s="1" t="s">
        <v>7332</v>
      </c>
      <c r="AH2179" s="1" t="s">
        <v>73</v>
      </c>
      <c r="AK2179" s="1" t="s">
        <v>71</v>
      </c>
      <c r="AM2179" s="1" t="s">
        <v>71</v>
      </c>
      <c r="AN2179" s="1" t="s">
        <v>71</v>
      </c>
      <c r="AS2179" s="1" t="s">
        <v>71</v>
      </c>
      <c r="AX2179" s="1" t="s">
        <v>71</v>
      </c>
      <c r="AY2179" s="1" t="s">
        <v>59</v>
      </c>
      <c r="AZ2179" s="1" t="s">
        <v>74</v>
      </c>
      <c r="BH2179" s="1" t="s">
        <v>71</v>
      </c>
    </row>
    <row r="2180" customFormat="false" ht="15" hidden="false" customHeight="false" outlineLevel="0" collapsed="false">
      <c r="A2180" s="1" t="s">
        <v>7336</v>
      </c>
      <c r="B2180" s="1" t="s">
        <v>7337</v>
      </c>
      <c r="C2180" s="1" t="s">
        <v>2090</v>
      </c>
      <c r="D2180" s="1" t="s">
        <v>7238</v>
      </c>
      <c r="E2180" s="1" t="s">
        <v>61</v>
      </c>
      <c r="F2180" s="1" t="s">
        <v>101</v>
      </c>
      <c r="G2180" s="1" t="s">
        <v>177</v>
      </c>
      <c r="H2180" s="1" t="s">
        <v>255</v>
      </c>
      <c r="K2180" s="1" t="s">
        <v>136</v>
      </c>
      <c r="L2180" s="1" t="s">
        <v>6018</v>
      </c>
      <c r="M2180" s="1" t="s">
        <v>7338</v>
      </c>
      <c r="N2180" s="1" t="s">
        <v>259</v>
      </c>
      <c r="O2180" s="1" t="s">
        <v>260</v>
      </c>
      <c r="P2180" s="1" t="s">
        <v>3768</v>
      </c>
      <c r="U2180" s="1" t="s">
        <v>7239</v>
      </c>
      <c r="Z2180" s="1" t="s">
        <v>71</v>
      </c>
      <c r="AE2180" s="1" t="s">
        <v>7339</v>
      </c>
      <c r="AH2180" s="1" t="s">
        <v>73</v>
      </c>
      <c r="AK2180" s="1" t="s">
        <v>71</v>
      </c>
      <c r="AM2180" s="1" t="s">
        <v>71</v>
      </c>
      <c r="AN2180" s="1" t="s">
        <v>71</v>
      </c>
      <c r="AS2180" s="1" t="s">
        <v>71</v>
      </c>
      <c r="AX2180" s="1" t="s">
        <v>71</v>
      </c>
      <c r="AY2180" s="1" t="s">
        <v>59</v>
      </c>
      <c r="AZ2180" s="1" t="s">
        <v>74</v>
      </c>
      <c r="BH2180" s="1" t="s">
        <v>71</v>
      </c>
    </row>
    <row r="2181" customFormat="false" ht="15" hidden="false" customHeight="false" outlineLevel="0" collapsed="false">
      <c r="A2181" s="1" t="s">
        <v>7340</v>
      </c>
      <c r="B2181" s="1" t="s">
        <v>7341</v>
      </c>
      <c r="C2181" s="1" t="s">
        <v>2090</v>
      </c>
      <c r="D2181" s="1" t="s">
        <v>7238</v>
      </c>
      <c r="E2181" s="1" t="s">
        <v>61</v>
      </c>
      <c r="F2181" s="1" t="s">
        <v>101</v>
      </c>
      <c r="G2181" s="1" t="s">
        <v>93</v>
      </c>
      <c r="H2181" s="1" t="s">
        <v>64</v>
      </c>
      <c r="K2181" s="1" t="s">
        <v>582</v>
      </c>
      <c r="L2181" s="1" t="s">
        <v>4731</v>
      </c>
      <c r="M2181" s="1" t="s">
        <v>7342</v>
      </c>
      <c r="N2181" s="1" t="s">
        <v>1177</v>
      </c>
      <c r="O2181" s="1" t="s">
        <v>1178</v>
      </c>
      <c r="P2181" s="1" t="s">
        <v>4732</v>
      </c>
      <c r="U2181" s="1" t="s">
        <v>7343</v>
      </c>
      <c r="Z2181" s="1" t="s">
        <v>71</v>
      </c>
      <c r="AE2181" s="1" t="s">
        <v>7339</v>
      </c>
      <c r="AH2181" s="1" t="s">
        <v>73</v>
      </c>
      <c r="AK2181" s="1" t="s">
        <v>71</v>
      </c>
      <c r="AM2181" s="1" t="s">
        <v>71</v>
      </c>
      <c r="AN2181" s="1" t="s">
        <v>71</v>
      </c>
      <c r="AS2181" s="1" t="s">
        <v>71</v>
      </c>
      <c r="AX2181" s="1" t="s">
        <v>71</v>
      </c>
      <c r="AY2181" s="1" t="s">
        <v>59</v>
      </c>
      <c r="AZ2181" s="1" t="s">
        <v>74</v>
      </c>
      <c r="BH2181" s="1" t="s">
        <v>71</v>
      </c>
    </row>
    <row r="2182" customFormat="false" ht="15" hidden="false" customHeight="false" outlineLevel="0" collapsed="false">
      <c r="A2182" s="1" t="s">
        <v>7344</v>
      </c>
      <c r="B2182" s="1" t="s">
        <v>7345</v>
      </c>
      <c r="C2182" s="1" t="s">
        <v>2090</v>
      </c>
      <c r="D2182" s="1" t="s">
        <v>7238</v>
      </c>
      <c r="E2182" s="1" t="s">
        <v>61</v>
      </c>
      <c r="F2182" s="1" t="s">
        <v>101</v>
      </c>
      <c r="G2182" s="1" t="s">
        <v>93</v>
      </c>
      <c r="H2182" s="1" t="s">
        <v>64</v>
      </c>
      <c r="K2182" s="1" t="s">
        <v>211</v>
      </c>
      <c r="L2182" s="1" t="s">
        <v>1661</v>
      </c>
      <c r="M2182" s="1" t="s">
        <v>7346</v>
      </c>
      <c r="N2182" s="1" t="s">
        <v>105</v>
      </c>
      <c r="O2182" s="1" t="s">
        <v>106</v>
      </c>
      <c r="P2182" s="1" t="s">
        <v>3539</v>
      </c>
      <c r="U2182" s="1" t="s">
        <v>7347</v>
      </c>
      <c r="Z2182" s="1" t="s">
        <v>71</v>
      </c>
      <c r="AE2182" s="1" t="s">
        <v>7339</v>
      </c>
      <c r="AH2182" s="1" t="s">
        <v>73</v>
      </c>
      <c r="AK2182" s="1" t="s">
        <v>71</v>
      </c>
      <c r="AM2182" s="1" t="s">
        <v>71</v>
      </c>
      <c r="AN2182" s="1" t="s">
        <v>71</v>
      </c>
      <c r="AS2182" s="1" t="s">
        <v>71</v>
      </c>
      <c r="AX2182" s="1" t="s">
        <v>71</v>
      </c>
      <c r="AY2182" s="1" t="s">
        <v>59</v>
      </c>
      <c r="AZ2182" s="1" t="s">
        <v>74</v>
      </c>
      <c r="BH2182" s="1" t="s">
        <v>71</v>
      </c>
    </row>
    <row r="2183" customFormat="false" ht="15" hidden="false" customHeight="false" outlineLevel="0" collapsed="false">
      <c r="A2183" s="1" t="s">
        <v>7348</v>
      </c>
      <c r="B2183" s="1" t="s">
        <v>7349</v>
      </c>
      <c r="C2183" s="1" t="s">
        <v>2090</v>
      </c>
      <c r="D2183" s="1" t="s">
        <v>7238</v>
      </c>
      <c r="E2183" s="1" t="s">
        <v>61</v>
      </c>
      <c r="F2183" s="1" t="s">
        <v>101</v>
      </c>
      <c r="G2183" s="1" t="s">
        <v>93</v>
      </c>
      <c r="H2183" s="1" t="s">
        <v>64</v>
      </c>
      <c r="K2183" s="1" t="s">
        <v>108</v>
      </c>
      <c r="L2183" s="1" t="s">
        <v>2547</v>
      </c>
      <c r="M2183" s="1" t="s">
        <v>7350</v>
      </c>
      <c r="N2183" s="1" t="s">
        <v>1177</v>
      </c>
      <c r="O2183" s="1" t="s">
        <v>1178</v>
      </c>
      <c r="P2183" s="1" t="s">
        <v>4732</v>
      </c>
      <c r="U2183" s="1" t="s">
        <v>7351</v>
      </c>
      <c r="V2183" s="1" t="s">
        <v>7239</v>
      </c>
      <c r="Z2183" s="1" t="s">
        <v>71</v>
      </c>
      <c r="AE2183" s="1" t="s">
        <v>7339</v>
      </c>
      <c r="AH2183" s="1" t="s">
        <v>73</v>
      </c>
      <c r="AK2183" s="1" t="s">
        <v>71</v>
      </c>
      <c r="AM2183" s="1" t="s">
        <v>71</v>
      </c>
      <c r="AN2183" s="1" t="s">
        <v>71</v>
      </c>
      <c r="AS2183" s="1" t="s">
        <v>71</v>
      </c>
      <c r="AX2183" s="1" t="s">
        <v>71</v>
      </c>
      <c r="AY2183" s="1" t="s">
        <v>59</v>
      </c>
      <c r="AZ2183" s="1" t="s">
        <v>74</v>
      </c>
      <c r="BH2183" s="1" t="s">
        <v>71</v>
      </c>
    </row>
    <row r="2184" customFormat="false" ht="15" hidden="false" customHeight="false" outlineLevel="0" collapsed="false">
      <c r="A2184" s="1" t="s">
        <v>7352</v>
      </c>
      <c r="B2184" s="1" t="s">
        <v>7353</v>
      </c>
      <c r="C2184" s="1" t="s">
        <v>161</v>
      </c>
      <c r="D2184" s="1" t="s">
        <v>162</v>
      </c>
      <c r="E2184" s="1" t="s">
        <v>61</v>
      </c>
      <c r="F2184" s="1" t="s">
        <v>101</v>
      </c>
      <c r="G2184" s="1" t="s">
        <v>130</v>
      </c>
      <c r="H2184" s="1" t="s">
        <v>5179</v>
      </c>
      <c r="K2184" s="1" t="s">
        <v>5180</v>
      </c>
      <c r="L2184" s="1" t="s">
        <v>5181</v>
      </c>
      <c r="M2184" s="1" t="s">
        <v>310</v>
      </c>
      <c r="N2184" s="1" t="s">
        <v>105</v>
      </c>
      <c r="O2184" s="1" t="s">
        <v>106</v>
      </c>
      <c r="P2184" s="1" t="s">
        <v>3539</v>
      </c>
      <c r="U2184" s="1" t="s">
        <v>7354</v>
      </c>
      <c r="Z2184" s="1" t="s">
        <v>71</v>
      </c>
      <c r="AE2184" s="1" t="s">
        <v>7355</v>
      </c>
      <c r="AH2184" s="1" t="s">
        <v>73</v>
      </c>
      <c r="AK2184" s="1" t="s">
        <v>71</v>
      </c>
      <c r="AM2184" s="1" t="s">
        <v>71</v>
      </c>
      <c r="AN2184" s="1" t="s">
        <v>71</v>
      </c>
      <c r="AS2184" s="1" t="s">
        <v>71</v>
      </c>
      <c r="AX2184" s="1" t="s">
        <v>71</v>
      </c>
      <c r="AY2184" s="1" t="s">
        <v>59</v>
      </c>
      <c r="AZ2184" s="1" t="s">
        <v>74</v>
      </c>
      <c r="BH2184" s="1" t="s">
        <v>71</v>
      </c>
    </row>
    <row r="2185" customFormat="false" ht="15" hidden="false" customHeight="false" outlineLevel="0" collapsed="false">
      <c r="A2185" s="1" t="s">
        <v>7356</v>
      </c>
      <c r="B2185" s="1" t="s">
        <v>7357</v>
      </c>
      <c r="C2185" s="1" t="s">
        <v>222</v>
      </c>
      <c r="D2185" s="1" t="s">
        <v>223</v>
      </c>
      <c r="E2185" s="1" t="s">
        <v>61</v>
      </c>
      <c r="F2185" s="1" t="s">
        <v>101</v>
      </c>
      <c r="G2185" s="1" t="s">
        <v>93</v>
      </c>
      <c r="H2185" s="1" t="s">
        <v>64</v>
      </c>
      <c r="K2185" s="1" t="s">
        <v>201</v>
      </c>
      <c r="L2185" s="1" t="s">
        <v>4102</v>
      </c>
      <c r="M2185" s="1" t="s">
        <v>122</v>
      </c>
      <c r="N2185" s="1" t="s">
        <v>123</v>
      </c>
      <c r="O2185" s="1" t="s">
        <v>124</v>
      </c>
      <c r="P2185" s="1" t="s">
        <v>4161</v>
      </c>
      <c r="U2185" s="1" t="s">
        <v>7358</v>
      </c>
      <c r="Z2185" s="1" t="s">
        <v>71</v>
      </c>
      <c r="AE2185" s="1" t="s">
        <v>7359</v>
      </c>
      <c r="AH2185" s="1" t="s">
        <v>73</v>
      </c>
      <c r="AK2185" s="1" t="s">
        <v>71</v>
      </c>
      <c r="AM2185" s="1" t="s">
        <v>71</v>
      </c>
      <c r="AN2185" s="1" t="s">
        <v>71</v>
      </c>
      <c r="AS2185" s="1" t="s">
        <v>71</v>
      </c>
      <c r="AX2185" s="1" t="s">
        <v>71</v>
      </c>
      <c r="AY2185" s="1" t="s">
        <v>59</v>
      </c>
      <c r="AZ2185" s="1" t="s">
        <v>74</v>
      </c>
      <c r="BH2185" s="1" t="s">
        <v>71</v>
      </c>
    </row>
    <row r="2186" customFormat="false" ht="15" hidden="false" customHeight="false" outlineLevel="0" collapsed="false">
      <c r="A2186" s="1" t="s">
        <v>7360</v>
      </c>
      <c r="B2186" s="1" t="s">
        <v>7361</v>
      </c>
      <c r="C2186" s="1" t="s">
        <v>222</v>
      </c>
      <c r="D2186" s="1" t="s">
        <v>223</v>
      </c>
      <c r="E2186" s="1" t="s">
        <v>61</v>
      </c>
      <c r="F2186" s="1" t="s">
        <v>101</v>
      </c>
      <c r="G2186" s="1" t="s">
        <v>93</v>
      </c>
      <c r="H2186" s="1" t="s">
        <v>64</v>
      </c>
      <c r="K2186" s="1" t="s">
        <v>163</v>
      </c>
      <c r="L2186" s="1" t="s">
        <v>164</v>
      </c>
      <c r="M2186" s="1" t="s">
        <v>104</v>
      </c>
      <c r="N2186" s="1" t="s">
        <v>166</v>
      </c>
      <c r="O2186" s="1" t="s">
        <v>167</v>
      </c>
      <c r="P2186" s="1" t="s">
        <v>4462</v>
      </c>
      <c r="U2186" s="1" t="s">
        <v>7362</v>
      </c>
      <c r="Z2186" s="1" t="s">
        <v>71</v>
      </c>
      <c r="AE2186" s="1" t="s">
        <v>7359</v>
      </c>
      <c r="AH2186" s="1" t="s">
        <v>73</v>
      </c>
      <c r="AK2186" s="1" t="s">
        <v>71</v>
      </c>
      <c r="AM2186" s="1" t="s">
        <v>71</v>
      </c>
      <c r="AN2186" s="1" t="s">
        <v>71</v>
      </c>
      <c r="AS2186" s="1" t="s">
        <v>71</v>
      </c>
      <c r="AX2186" s="1" t="s">
        <v>71</v>
      </c>
      <c r="AY2186" s="1" t="s">
        <v>59</v>
      </c>
      <c r="AZ2186" s="1" t="s">
        <v>74</v>
      </c>
      <c r="BH2186" s="1" t="s">
        <v>71</v>
      </c>
    </row>
    <row r="2187" customFormat="false" ht="15" hidden="false" customHeight="false" outlineLevel="0" collapsed="false">
      <c r="A2187" s="1" t="s">
        <v>7363</v>
      </c>
      <c r="B2187" s="1" t="s">
        <v>7364</v>
      </c>
      <c r="C2187" s="1" t="s">
        <v>222</v>
      </c>
      <c r="D2187" s="1" t="s">
        <v>223</v>
      </c>
      <c r="E2187" s="1" t="s">
        <v>61</v>
      </c>
      <c r="F2187" s="1" t="s">
        <v>101</v>
      </c>
      <c r="G2187" s="1" t="s">
        <v>93</v>
      </c>
      <c r="H2187" s="1" t="s">
        <v>64</v>
      </c>
      <c r="K2187" s="1" t="s">
        <v>126</v>
      </c>
      <c r="L2187" s="1" t="s">
        <v>335</v>
      </c>
      <c r="M2187" s="1" t="s">
        <v>310</v>
      </c>
      <c r="N2187" s="1" t="s">
        <v>105</v>
      </c>
      <c r="O2187" s="1" t="s">
        <v>106</v>
      </c>
      <c r="P2187" s="1" t="s">
        <v>3539</v>
      </c>
      <c r="U2187" s="1" t="s">
        <v>7365</v>
      </c>
      <c r="Z2187" s="1" t="s">
        <v>71</v>
      </c>
      <c r="AE2187" s="1" t="s">
        <v>7359</v>
      </c>
      <c r="AH2187" s="1" t="s">
        <v>73</v>
      </c>
      <c r="AK2187" s="1" t="s">
        <v>71</v>
      </c>
      <c r="AM2187" s="1" t="s">
        <v>71</v>
      </c>
      <c r="AN2187" s="1" t="s">
        <v>71</v>
      </c>
      <c r="AS2187" s="1" t="s">
        <v>71</v>
      </c>
      <c r="AX2187" s="1" t="s">
        <v>71</v>
      </c>
      <c r="AY2187" s="1" t="s">
        <v>59</v>
      </c>
      <c r="AZ2187" s="1" t="s">
        <v>74</v>
      </c>
      <c r="BH2187" s="1" t="s">
        <v>71</v>
      </c>
    </row>
    <row r="2188" customFormat="false" ht="15" hidden="false" customHeight="false" outlineLevel="0" collapsed="false">
      <c r="A2188" s="1" t="s">
        <v>7366</v>
      </c>
      <c r="B2188" s="1" t="s">
        <v>7367</v>
      </c>
      <c r="C2188" s="1" t="s">
        <v>7273</v>
      </c>
      <c r="D2188" s="1" t="s">
        <v>7274</v>
      </c>
      <c r="E2188" s="1" t="s">
        <v>61</v>
      </c>
      <c r="F2188" s="1" t="s">
        <v>101</v>
      </c>
      <c r="G2188" s="1" t="s">
        <v>1479</v>
      </c>
      <c r="H2188" s="1" t="s">
        <v>5583</v>
      </c>
      <c r="K2188" s="1" t="s">
        <v>275</v>
      </c>
      <c r="L2188" s="1" t="s">
        <v>5584</v>
      </c>
      <c r="M2188" s="1" t="s">
        <v>242</v>
      </c>
      <c r="N2188" s="1" t="s">
        <v>4854</v>
      </c>
      <c r="O2188" s="1" t="s">
        <v>4855</v>
      </c>
      <c r="P2188" s="1" t="s">
        <v>4856</v>
      </c>
      <c r="U2188" s="1" t="s">
        <v>7368</v>
      </c>
      <c r="Z2188" s="1" t="s">
        <v>71</v>
      </c>
      <c r="AE2188" s="1" t="s">
        <v>7369</v>
      </c>
      <c r="AH2188" s="1" t="s">
        <v>73</v>
      </c>
      <c r="AK2188" s="1" t="s">
        <v>71</v>
      </c>
      <c r="AM2188" s="1" t="s">
        <v>71</v>
      </c>
      <c r="AN2188" s="1" t="s">
        <v>71</v>
      </c>
      <c r="AS2188" s="1" t="s">
        <v>71</v>
      </c>
      <c r="AX2188" s="1" t="s">
        <v>71</v>
      </c>
      <c r="AY2188" s="1" t="s">
        <v>59</v>
      </c>
      <c r="AZ2188" s="1" t="s">
        <v>74</v>
      </c>
      <c r="BH2188" s="1" t="s">
        <v>71</v>
      </c>
    </row>
    <row r="2189" customFormat="false" ht="15" hidden="false" customHeight="false" outlineLevel="0" collapsed="false">
      <c r="A2189" s="1" t="s">
        <v>7370</v>
      </c>
      <c r="B2189" s="1" t="s">
        <v>7371</v>
      </c>
      <c r="C2189" s="1" t="s">
        <v>161</v>
      </c>
      <c r="D2189" s="1" t="s">
        <v>162</v>
      </c>
      <c r="E2189" s="1" t="s">
        <v>61</v>
      </c>
      <c r="F2189" s="1" t="s">
        <v>101</v>
      </c>
      <c r="G2189" s="1" t="s">
        <v>130</v>
      </c>
      <c r="H2189" s="1" t="s">
        <v>5179</v>
      </c>
      <c r="K2189" s="1" t="s">
        <v>5180</v>
      </c>
      <c r="L2189" s="1" t="s">
        <v>5181</v>
      </c>
      <c r="M2189" s="1" t="s">
        <v>104</v>
      </c>
      <c r="N2189" s="1" t="s">
        <v>701</v>
      </c>
      <c r="O2189" s="1" t="s">
        <v>702</v>
      </c>
      <c r="P2189" s="1" t="s">
        <v>4869</v>
      </c>
      <c r="U2189" s="1" t="s">
        <v>7372</v>
      </c>
      <c r="Z2189" s="1" t="s">
        <v>71</v>
      </c>
      <c r="AE2189" s="1" t="s">
        <v>7373</v>
      </c>
      <c r="AH2189" s="1" t="s">
        <v>73</v>
      </c>
      <c r="AK2189" s="1" t="s">
        <v>71</v>
      </c>
      <c r="AM2189" s="1" t="s">
        <v>71</v>
      </c>
      <c r="AN2189" s="1" t="s">
        <v>71</v>
      </c>
      <c r="AS2189" s="1" t="s">
        <v>71</v>
      </c>
      <c r="AX2189" s="1" t="s">
        <v>71</v>
      </c>
      <c r="AY2189" s="1" t="s">
        <v>59</v>
      </c>
      <c r="AZ2189" s="1" t="s">
        <v>74</v>
      </c>
      <c r="BH2189" s="1" t="s">
        <v>71</v>
      </c>
    </row>
    <row r="2190" customFormat="false" ht="15" hidden="false" customHeight="false" outlineLevel="0" collapsed="false">
      <c r="A2190" s="1" t="s">
        <v>7374</v>
      </c>
      <c r="B2190" s="1" t="s">
        <v>7375</v>
      </c>
      <c r="C2190" s="1" t="s">
        <v>161</v>
      </c>
      <c r="D2190" s="1" t="s">
        <v>162</v>
      </c>
      <c r="E2190" s="1" t="s">
        <v>61</v>
      </c>
      <c r="F2190" s="1" t="s">
        <v>101</v>
      </c>
      <c r="G2190" s="1" t="s">
        <v>130</v>
      </c>
      <c r="H2190" s="1" t="s">
        <v>5179</v>
      </c>
      <c r="K2190" s="1" t="s">
        <v>6035</v>
      </c>
      <c r="L2190" s="1" t="s">
        <v>6036</v>
      </c>
      <c r="M2190" s="1" t="s">
        <v>592</v>
      </c>
      <c r="N2190" s="1" t="s">
        <v>203</v>
      </c>
      <c r="O2190" s="1" t="s">
        <v>204</v>
      </c>
      <c r="P2190" s="1" t="s">
        <v>3536</v>
      </c>
      <c r="U2190" s="1" t="s">
        <v>7376</v>
      </c>
      <c r="Z2190" s="1" t="s">
        <v>71</v>
      </c>
      <c r="AE2190" s="1" t="s">
        <v>7373</v>
      </c>
      <c r="AH2190" s="1" t="s">
        <v>73</v>
      </c>
      <c r="AK2190" s="1" t="s">
        <v>71</v>
      </c>
      <c r="AM2190" s="1" t="s">
        <v>71</v>
      </c>
      <c r="AN2190" s="1" t="s">
        <v>71</v>
      </c>
      <c r="AS2190" s="1" t="s">
        <v>71</v>
      </c>
      <c r="AX2190" s="1" t="s">
        <v>71</v>
      </c>
      <c r="AY2190" s="1" t="s">
        <v>59</v>
      </c>
      <c r="AZ2190" s="1" t="s">
        <v>74</v>
      </c>
      <c r="BH2190" s="1" t="s">
        <v>71</v>
      </c>
    </row>
    <row r="2191" customFormat="false" ht="15" hidden="false" customHeight="false" outlineLevel="0" collapsed="false">
      <c r="A2191" s="1" t="s">
        <v>7377</v>
      </c>
      <c r="B2191" s="1" t="s">
        <v>7378</v>
      </c>
      <c r="C2191" s="1" t="s">
        <v>161</v>
      </c>
      <c r="D2191" s="1" t="s">
        <v>162</v>
      </c>
      <c r="E2191" s="1" t="s">
        <v>61</v>
      </c>
      <c r="F2191" s="1" t="s">
        <v>101</v>
      </c>
      <c r="G2191" s="1" t="s">
        <v>130</v>
      </c>
      <c r="H2191" s="1" t="s">
        <v>5179</v>
      </c>
      <c r="K2191" s="1" t="s">
        <v>5180</v>
      </c>
      <c r="L2191" s="1" t="s">
        <v>5181</v>
      </c>
      <c r="M2191" s="1" t="s">
        <v>1555</v>
      </c>
      <c r="N2191" s="1" t="s">
        <v>105</v>
      </c>
      <c r="O2191" s="1" t="s">
        <v>106</v>
      </c>
      <c r="P2191" s="1" t="s">
        <v>3539</v>
      </c>
      <c r="U2191" s="1" t="s">
        <v>7379</v>
      </c>
      <c r="Z2191" s="1" t="s">
        <v>71</v>
      </c>
      <c r="AE2191" s="1" t="s">
        <v>7373</v>
      </c>
      <c r="AH2191" s="1" t="s">
        <v>73</v>
      </c>
      <c r="AK2191" s="1" t="s">
        <v>71</v>
      </c>
      <c r="AM2191" s="1" t="s">
        <v>71</v>
      </c>
      <c r="AN2191" s="1" t="s">
        <v>71</v>
      </c>
      <c r="AS2191" s="1" t="s">
        <v>71</v>
      </c>
      <c r="AX2191" s="1" t="s">
        <v>71</v>
      </c>
      <c r="AY2191" s="1" t="s">
        <v>59</v>
      </c>
      <c r="AZ2191" s="1" t="s">
        <v>74</v>
      </c>
      <c r="BH2191" s="1" t="s">
        <v>71</v>
      </c>
    </row>
    <row r="2192" customFormat="false" ht="15" hidden="false" customHeight="false" outlineLevel="0" collapsed="false">
      <c r="A2192" s="1" t="s">
        <v>7380</v>
      </c>
      <c r="B2192" s="1" t="s">
        <v>7381</v>
      </c>
      <c r="C2192" s="1" t="s">
        <v>161</v>
      </c>
      <c r="D2192" s="1" t="s">
        <v>162</v>
      </c>
      <c r="E2192" s="1" t="s">
        <v>61</v>
      </c>
      <c r="F2192" s="1" t="s">
        <v>101</v>
      </c>
      <c r="G2192" s="1" t="s">
        <v>130</v>
      </c>
      <c r="H2192" s="1" t="s">
        <v>5179</v>
      </c>
      <c r="K2192" s="1" t="s">
        <v>6035</v>
      </c>
      <c r="L2192" s="1" t="s">
        <v>6036</v>
      </c>
      <c r="M2192" s="1" t="s">
        <v>592</v>
      </c>
      <c r="N2192" s="1" t="s">
        <v>1177</v>
      </c>
      <c r="O2192" s="1" t="s">
        <v>1178</v>
      </c>
      <c r="P2192" s="1" t="s">
        <v>4732</v>
      </c>
      <c r="U2192" s="1" t="s">
        <v>7382</v>
      </c>
      <c r="Z2192" s="1" t="s">
        <v>71</v>
      </c>
      <c r="AE2192" s="1" t="s">
        <v>7373</v>
      </c>
      <c r="AH2192" s="1" t="s">
        <v>73</v>
      </c>
      <c r="AK2192" s="1" t="s">
        <v>71</v>
      </c>
      <c r="AM2192" s="1" t="s">
        <v>71</v>
      </c>
      <c r="AN2192" s="1" t="s">
        <v>71</v>
      </c>
      <c r="AS2192" s="1" t="s">
        <v>71</v>
      </c>
      <c r="AX2192" s="1" t="s">
        <v>71</v>
      </c>
      <c r="AY2192" s="1" t="s">
        <v>59</v>
      </c>
      <c r="AZ2192" s="1" t="s">
        <v>74</v>
      </c>
      <c r="BH2192" s="1" t="s">
        <v>71</v>
      </c>
    </row>
    <row r="2193" customFormat="false" ht="15" hidden="false" customHeight="false" outlineLevel="0" collapsed="false">
      <c r="A2193" s="1" t="s">
        <v>7383</v>
      </c>
      <c r="B2193" s="1" t="s">
        <v>7384</v>
      </c>
      <c r="C2193" s="1" t="s">
        <v>161</v>
      </c>
      <c r="D2193" s="1" t="s">
        <v>162</v>
      </c>
      <c r="E2193" s="1" t="s">
        <v>61</v>
      </c>
      <c r="F2193" s="1" t="s">
        <v>101</v>
      </c>
      <c r="G2193" s="1" t="s">
        <v>130</v>
      </c>
      <c r="H2193" s="1" t="s">
        <v>5179</v>
      </c>
      <c r="K2193" s="1" t="s">
        <v>5180</v>
      </c>
      <c r="L2193" s="1" t="s">
        <v>5181</v>
      </c>
      <c r="M2193" s="1" t="s">
        <v>1555</v>
      </c>
      <c r="N2193" s="1" t="s">
        <v>68</v>
      </c>
      <c r="O2193" s="1" t="s">
        <v>69</v>
      </c>
      <c r="P2193" s="1" t="s">
        <v>4942</v>
      </c>
      <c r="U2193" s="1" t="s">
        <v>7385</v>
      </c>
      <c r="Z2193" s="1" t="s">
        <v>71</v>
      </c>
      <c r="AE2193" s="1" t="s">
        <v>7373</v>
      </c>
      <c r="AH2193" s="1" t="s">
        <v>73</v>
      </c>
      <c r="AK2193" s="1" t="s">
        <v>71</v>
      </c>
      <c r="AM2193" s="1" t="s">
        <v>71</v>
      </c>
      <c r="AN2193" s="1" t="s">
        <v>71</v>
      </c>
      <c r="AS2193" s="1" t="s">
        <v>71</v>
      </c>
      <c r="AX2193" s="1" t="s">
        <v>71</v>
      </c>
      <c r="AY2193" s="1" t="s">
        <v>59</v>
      </c>
      <c r="AZ2193" s="1" t="s">
        <v>74</v>
      </c>
      <c r="BH2193" s="1" t="s">
        <v>71</v>
      </c>
    </row>
    <row r="2194" customFormat="false" ht="15" hidden="false" customHeight="false" outlineLevel="0" collapsed="false">
      <c r="A2194" s="1" t="s">
        <v>7386</v>
      </c>
      <c r="B2194" s="1" t="s">
        <v>7387</v>
      </c>
      <c r="C2194" s="1" t="s">
        <v>2129</v>
      </c>
      <c r="D2194" s="1" t="s">
        <v>7388</v>
      </c>
      <c r="E2194" s="1" t="s">
        <v>61</v>
      </c>
      <c r="F2194" s="1" t="s">
        <v>101</v>
      </c>
      <c r="G2194" s="1" t="s">
        <v>1772</v>
      </c>
      <c r="H2194" s="1" t="s">
        <v>6148</v>
      </c>
      <c r="K2194" s="1" t="s">
        <v>275</v>
      </c>
      <c r="L2194" s="1" t="s">
        <v>6652</v>
      </c>
      <c r="M2194" s="1" t="s">
        <v>806</v>
      </c>
      <c r="N2194" s="1" t="s">
        <v>7389</v>
      </c>
      <c r="O2194" s="1" t="s">
        <v>7390</v>
      </c>
      <c r="P2194" s="1" t="s">
        <v>7391</v>
      </c>
      <c r="U2194" s="1" t="s">
        <v>7386</v>
      </c>
      <c r="Z2194" s="1" t="s">
        <v>71</v>
      </c>
      <c r="AE2194" s="1" t="s">
        <v>7392</v>
      </c>
      <c r="AH2194" s="1" t="s">
        <v>73</v>
      </c>
      <c r="AK2194" s="1" t="s">
        <v>71</v>
      </c>
      <c r="AM2194" s="1" t="s">
        <v>71</v>
      </c>
      <c r="AN2194" s="1" t="s">
        <v>71</v>
      </c>
      <c r="AS2194" s="1" t="s">
        <v>71</v>
      </c>
      <c r="AX2194" s="1" t="s">
        <v>71</v>
      </c>
      <c r="BH2194" s="1" t="s">
        <v>71</v>
      </c>
    </row>
    <row r="2195" customFormat="false" ht="15" hidden="false" customHeight="false" outlineLevel="0" collapsed="false">
      <c r="A2195" s="1" t="s">
        <v>7393</v>
      </c>
      <c r="B2195" s="1" t="s">
        <v>7394</v>
      </c>
      <c r="C2195" s="1" t="s">
        <v>182</v>
      </c>
      <c r="D2195" s="1" t="s">
        <v>239</v>
      </c>
      <c r="E2195" s="1" t="s">
        <v>65</v>
      </c>
      <c r="F2195" s="1" t="s">
        <v>119</v>
      </c>
      <c r="G2195" s="1" t="s">
        <v>132</v>
      </c>
      <c r="H2195" s="1" t="s">
        <v>6776</v>
      </c>
      <c r="K2195" s="1" t="s">
        <v>5180</v>
      </c>
      <c r="L2195" s="1" t="s">
        <v>6777</v>
      </c>
      <c r="M2195" s="1" t="s">
        <v>7395</v>
      </c>
      <c r="N2195" s="1" t="s">
        <v>6778</v>
      </c>
      <c r="O2195" s="1" t="s">
        <v>6779</v>
      </c>
      <c r="P2195" s="1" t="s">
        <v>6780</v>
      </c>
      <c r="S2195" s="1" t="s">
        <v>229</v>
      </c>
      <c r="U2195" s="1" t="s">
        <v>245</v>
      </c>
      <c r="Z2195" s="1" t="s">
        <v>7317</v>
      </c>
      <c r="AE2195" s="1" t="s">
        <v>7396</v>
      </c>
      <c r="AH2195" s="1" t="s">
        <v>73</v>
      </c>
      <c r="AK2195" s="1" t="s">
        <v>71</v>
      </c>
      <c r="AM2195" s="1" t="s">
        <v>71</v>
      </c>
      <c r="AN2195" s="1" t="s">
        <v>71</v>
      </c>
      <c r="AS2195" s="1" t="s">
        <v>71</v>
      </c>
      <c r="AX2195" s="1" t="s">
        <v>71</v>
      </c>
      <c r="AY2195" s="1" t="s">
        <v>59</v>
      </c>
      <c r="AZ2195" s="1" t="s">
        <v>74</v>
      </c>
      <c r="BH2195" s="1" t="s">
        <v>71</v>
      </c>
    </row>
    <row r="2196" customFormat="false" ht="15" hidden="false" customHeight="false" outlineLevel="0" collapsed="false">
      <c r="A2196" s="1" t="s">
        <v>7397</v>
      </c>
      <c r="B2196" s="1" t="s">
        <v>7205</v>
      </c>
      <c r="C2196" s="1" t="s">
        <v>2071</v>
      </c>
      <c r="D2196" s="1" t="s">
        <v>7206</v>
      </c>
      <c r="E2196" s="1" t="s">
        <v>61</v>
      </c>
      <c r="F2196" s="1" t="s">
        <v>101</v>
      </c>
      <c r="G2196" s="1" t="s">
        <v>275</v>
      </c>
      <c r="H2196" s="1" t="s">
        <v>276</v>
      </c>
      <c r="K2196" s="1" t="s">
        <v>256</v>
      </c>
      <c r="L2196" s="1" t="s">
        <v>6281</v>
      </c>
      <c r="M2196" s="1" t="s">
        <v>1364</v>
      </c>
      <c r="N2196" s="1" t="s">
        <v>5646</v>
      </c>
      <c r="O2196" s="1" t="s">
        <v>5647</v>
      </c>
      <c r="P2196" s="1" t="s">
        <v>5648</v>
      </c>
      <c r="U2196" s="1" t="s">
        <v>7397</v>
      </c>
      <c r="Z2196" s="1" t="s">
        <v>71</v>
      </c>
      <c r="AE2196" s="1" t="s">
        <v>7398</v>
      </c>
      <c r="AH2196" s="1" t="s">
        <v>73</v>
      </c>
      <c r="AK2196" s="1" t="s">
        <v>71</v>
      </c>
      <c r="AM2196" s="1" t="s">
        <v>71</v>
      </c>
      <c r="AN2196" s="1" t="s">
        <v>71</v>
      </c>
      <c r="AS2196" s="1" t="s">
        <v>71</v>
      </c>
      <c r="AX2196" s="1" t="s">
        <v>71</v>
      </c>
      <c r="AY2196" s="1" t="s">
        <v>59</v>
      </c>
      <c r="AZ2196" s="1" t="s">
        <v>74</v>
      </c>
      <c r="BH2196" s="1" t="s">
        <v>71</v>
      </c>
    </row>
    <row r="2197" customFormat="false" ht="15" hidden="false" customHeight="false" outlineLevel="0" collapsed="false">
      <c r="A2197" s="1" t="s">
        <v>7399</v>
      </c>
      <c r="B2197" s="1" t="s">
        <v>7400</v>
      </c>
      <c r="C2197" s="1" t="s">
        <v>2071</v>
      </c>
      <c r="D2197" s="1" t="s">
        <v>7206</v>
      </c>
      <c r="E2197" s="1" t="s">
        <v>61</v>
      </c>
      <c r="F2197" s="1" t="s">
        <v>101</v>
      </c>
      <c r="G2197" s="1" t="s">
        <v>275</v>
      </c>
      <c r="H2197" s="1" t="s">
        <v>276</v>
      </c>
      <c r="K2197" s="1" t="s">
        <v>1118</v>
      </c>
      <c r="L2197" s="1" t="s">
        <v>3151</v>
      </c>
      <c r="M2197" s="1" t="s">
        <v>296</v>
      </c>
      <c r="N2197" s="1" t="s">
        <v>5064</v>
      </c>
      <c r="O2197" s="1" t="s">
        <v>5065</v>
      </c>
      <c r="P2197" s="1" t="s">
        <v>5066</v>
      </c>
      <c r="U2197" s="1" t="s">
        <v>7399</v>
      </c>
      <c r="Z2197" s="1" t="s">
        <v>71</v>
      </c>
      <c r="AE2197" s="1" t="s">
        <v>7398</v>
      </c>
      <c r="AH2197" s="1" t="s">
        <v>73</v>
      </c>
      <c r="AK2197" s="1" t="s">
        <v>71</v>
      </c>
      <c r="AM2197" s="1" t="s">
        <v>71</v>
      </c>
      <c r="AN2197" s="1" t="s">
        <v>71</v>
      </c>
      <c r="AS2197" s="1" t="s">
        <v>71</v>
      </c>
      <c r="AX2197" s="1" t="s">
        <v>71</v>
      </c>
      <c r="AY2197" s="1" t="s">
        <v>59</v>
      </c>
      <c r="AZ2197" s="1" t="s">
        <v>74</v>
      </c>
      <c r="BH2197" s="1" t="s">
        <v>71</v>
      </c>
    </row>
    <row r="2198" customFormat="false" ht="15" hidden="false" customHeight="false" outlineLevel="0" collapsed="false">
      <c r="A2198" s="1" t="s">
        <v>7401</v>
      </c>
      <c r="B2198" s="1" t="s">
        <v>7402</v>
      </c>
      <c r="C2198" s="1" t="s">
        <v>2383</v>
      </c>
      <c r="D2198" s="1" t="s">
        <v>5645</v>
      </c>
      <c r="E2198" s="1" t="s">
        <v>61</v>
      </c>
      <c r="F2198" s="1" t="s">
        <v>101</v>
      </c>
      <c r="G2198" s="1" t="s">
        <v>275</v>
      </c>
      <c r="H2198" s="1" t="s">
        <v>276</v>
      </c>
      <c r="K2198" s="1" t="s">
        <v>1479</v>
      </c>
      <c r="L2198" s="1" t="s">
        <v>1480</v>
      </c>
      <c r="M2198" s="1" t="s">
        <v>296</v>
      </c>
      <c r="N2198" s="1" t="s">
        <v>1365</v>
      </c>
      <c r="O2198" s="1" t="s">
        <v>1366</v>
      </c>
      <c r="P2198" s="1" t="s">
        <v>4820</v>
      </c>
      <c r="U2198" s="1" t="s">
        <v>7401</v>
      </c>
      <c r="Z2198" s="1" t="s">
        <v>71</v>
      </c>
      <c r="AE2198" s="1" t="s">
        <v>7403</v>
      </c>
      <c r="AH2198" s="1" t="s">
        <v>73</v>
      </c>
      <c r="AK2198" s="1" t="s">
        <v>71</v>
      </c>
      <c r="AM2198" s="1" t="s">
        <v>71</v>
      </c>
      <c r="AN2198" s="1" t="s">
        <v>71</v>
      </c>
      <c r="AS2198" s="1" t="s">
        <v>71</v>
      </c>
      <c r="AX2198" s="1" t="s">
        <v>71</v>
      </c>
      <c r="AY2198" s="1" t="s">
        <v>59</v>
      </c>
      <c r="AZ2198" s="1" t="s">
        <v>74</v>
      </c>
      <c r="BH2198" s="1" t="s">
        <v>71</v>
      </c>
    </row>
    <row r="2199" customFormat="false" ht="15" hidden="false" customHeight="false" outlineLevel="0" collapsed="false">
      <c r="A2199" s="1" t="s">
        <v>7404</v>
      </c>
      <c r="B2199" s="1" t="s">
        <v>7405</v>
      </c>
      <c r="C2199" s="1" t="s">
        <v>99</v>
      </c>
      <c r="D2199" s="1" t="s">
        <v>100</v>
      </c>
      <c r="E2199" s="1" t="s">
        <v>61</v>
      </c>
      <c r="F2199" s="1" t="s">
        <v>101</v>
      </c>
      <c r="G2199" s="1" t="s">
        <v>93</v>
      </c>
      <c r="H2199" s="1" t="s">
        <v>64</v>
      </c>
      <c r="K2199" s="1" t="s">
        <v>251</v>
      </c>
      <c r="L2199" s="1" t="s">
        <v>1084</v>
      </c>
      <c r="M2199" s="1" t="s">
        <v>104</v>
      </c>
      <c r="N2199" s="1" t="s">
        <v>105</v>
      </c>
      <c r="O2199" s="1" t="s">
        <v>106</v>
      </c>
      <c r="P2199" s="1" t="s">
        <v>3539</v>
      </c>
      <c r="U2199" s="1" t="s">
        <v>7404</v>
      </c>
      <c r="Z2199" s="1" t="s">
        <v>71</v>
      </c>
      <c r="AE2199" s="1" t="s">
        <v>7406</v>
      </c>
      <c r="AH2199" s="1" t="s">
        <v>73</v>
      </c>
      <c r="AK2199" s="1" t="s">
        <v>71</v>
      </c>
      <c r="AM2199" s="1" t="s">
        <v>71</v>
      </c>
      <c r="AN2199" s="1" t="s">
        <v>71</v>
      </c>
      <c r="AS2199" s="1" t="s">
        <v>71</v>
      </c>
      <c r="AX2199" s="1" t="s">
        <v>71</v>
      </c>
      <c r="AY2199" s="1" t="s">
        <v>59</v>
      </c>
      <c r="AZ2199" s="1" t="s">
        <v>74</v>
      </c>
      <c r="BH2199" s="1" t="s">
        <v>71</v>
      </c>
    </row>
    <row r="2200" customFormat="false" ht="15" hidden="false" customHeight="false" outlineLevel="0" collapsed="false">
      <c r="A2200" s="1" t="s">
        <v>7407</v>
      </c>
      <c r="B2200" s="1" t="s">
        <v>7408</v>
      </c>
      <c r="C2200" s="1" t="s">
        <v>324</v>
      </c>
      <c r="D2200" s="1" t="s">
        <v>325</v>
      </c>
      <c r="E2200" s="1" t="s">
        <v>61</v>
      </c>
      <c r="F2200" s="1" t="s">
        <v>101</v>
      </c>
      <c r="G2200" s="1" t="s">
        <v>148</v>
      </c>
      <c r="H2200" s="1" t="s">
        <v>231</v>
      </c>
      <c r="K2200" s="1" t="s">
        <v>168</v>
      </c>
      <c r="L2200" s="1" t="s">
        <v>1423</v>
      </c>
      <c r="M2200" s="1" t="s">
        <v>242</v>
      </c>
      <c r="N2200" s="1" t="s">
        <v>6234</v>
      </c>
      <c r="O2200" s="1" t="s">
        <v>6235</v>
      </c>
      <c r="P2200" s="1" t="s">
        <v>6236</v>
      </c>
      <c r="U2200" s="1" t="s">
        <v>7407</v>
      </c>
      <c r="Z2200" s="1" t="s">
        <v>71</v>
      </c>
      <c r="AE2200" s="1" t="s">
        <v>7409</v>
      </c>
      <c r="AH2200" s="1" t="s">
        <v>73</v>
      </c>
      <c r="AK2200" s="1" t="s">
        <v>71</v>
      </c>
      <c r="AM2200" s="1" t="s">
        <v>71</v>
      </c>
      <c r="AN2200" s="1" t="s">
        <v>71</v>
      </c>
      <c r="AS2200" s="1" t="s">
        <v>71</v>
      </c>
      <c r="AX2200" s="1" t="s">
        <v>71</v>
      </c>
      <c r="AY2200" s="1" t="s">
        <v>59</v>
      </c>
      <c r="AZ2200" s="1" t="s">
        <v>74</v>
      </c>
      <c r="BH2200" s="1" t="s">
        <v>71</v>
      </c>
    </row>
    <row r="2201" customFormat="false" ht="15" hidden="false" customHeight="false" outlineLevel="0" collapsed="false">
      <c r="A2201" s="1" t="s">
        <v>7410</v>
      </c>
      <c r="B2201" s="1" t="s">
        <v>7411</v>
      </c>
      <c r="C2201" s="1" t="s">
        <v>1016</v>
      </c>
      <c r="D2201" s="1" t="s">
        <v>3542</v>
      </c>
      <c r="E2201" s="1" t="s">
        <v>61</v>
      </c>
      <c r="F2201" s="1" t="s">
        <v>101</v>
      </c>
      <c r="G2201" s="1" t="s">
        <v>93</v>
      </c>
      <c r="H2201" s="1" t="s">
        <v>64</v>
      </c>
      <c r="K2201" s="1" t="s">
        <v>163</v>
      </c>
      <c r="L2201" s="1" t="s">
        <v>164</v>
      </c>
      <c r="M2201" s="1" t="s">
        <v>3716</v>
      </c>
      <c r="N2201" s="1" t="s">
        <v>166</v>
      </c>
      <c r="O2201" s="1" t="s">
        <v>167</v>
      </c>
      <c r="P2201" s="1" t="s">
        <v>4462</v>
      </c>
      <c r="U2201" s="1" t="s">
        <v>7410</v>
      </c>
      <c r="Z2201" s="1" t="s">
        <v>71</v>
      </c>
      <c r="AE2201" s="1" t="s">
        <v>7412</v>
      </c>
      <c r="AH2201" s="1" t="s">
        <v>73</v>
      </c>
      <c r="AK2201" s="1" t="s">
        <v>71</v>
      </c>
      <c r="AM2201" s="1" t="s">
        <v>71</v>
      </c>
      <c r="AN2201" s="1" t="s">
        <v>71</v>
      </c>
      <c r="AS2201" s="1" t="s">
        <v>71</v>
      </c>
      <c r="AX2201" s="1" t="s">
        <v>71</v>
      </c>
      <c r="AY2201" s="1" t="s">
        <v>59</v>
      </c>
      <c r="AZ2201" s="1" t="s">
        <v>74</v>
      </c>
      <c r="BH2201" s="1" t="s">
        <v>71</v>
      </c>
    </row>
    <row r="2202" customFormat="false" ht="15" hidden="false" customHeight="false" outlineLevel="0" collapsed="false">
      <c r="A2202" s="1" t="s">
        <v>7413</v>
      </c>
      <c r="B2202" s="1" t="s">
        <v>7414</v>
      </c>
      <c r="C2202" s="1" t="s">
        <v>2090</v>
      </c>
      <c r="D2202" s="1" t="s">
        <v>7238</v>
      </c>
      <c r="E2202" s="1" t="s">
        <v>61</v>
      </c>
      <c r="F2202" s="1" t="s">
        <v>101</v>
      </c>
      <c r="G2202" s="1" t="s">
        <v>108</v>
      </c>
      <c r="H2202" s="1" t="s">
        <v>1495</v>
      </c>
      <c r="K2202" s="1" t="s">
        <v>155</v>
      </c>
      <c r="L2202" s="1" t="s">
        <v>7015</v>
      </c>
      <c r="M2202" s="1" t="s">
        <v>7262</v>
      </c>
      <c r="N2202" s="1" t="s">
        <v>105</v>
      </c>
      <c r="O2202" s="1" t="s">
        <v>106</v>
      </c>
      <c r="P2202" s="1" t="s">
        <v>3539</v>
      </c>
      <c r="U2202" s="1" t="s">
        <v>7239</v>
      </c>
      <c r="Z2202" s="1" t="s">
        <v>71</v>
      </c>
      <c r="AE2202" s="1" t="s">
        <v>7415</v>
      </c>
      <c r="AH2202" s="1" t="s">
        <v>73</v>
      </c>
      <c r="AK2202" s="1" t="s">
        <v>71</v>
      </c>
      <c r="AM2202" s="1" t="s">
        <v>71</v>
      </c>
      <c r="AN2202" s="1" t="s">
        <v>71</v>
      </c>
      <c r="AS2202" s="1" t="s">
        <v>71</v>
      </c>
      <c r="AX2202" s="1" t="s">
        <v>71</v>
      </c>
      <c r="AY2202" s="1" t="s">
        <v>59</v>
      </c>
      <c r="AZ2202" s="1" t="s">
        <v>74</v>
      </c>
      <c r="BH2202" s="1" t="s">
        <v>71</v>
      </c>
    </row>
    <row r="2203" customFormat="false" ht="15" hidden="false" customHeight="false" outlineLevel="0" collapsed="false">
      <c r="A2203" s="1" t="s">
        <v>7416</v>
      </c>
      <c r="B2203" s="1" t="s">
        <v>7417</v>
      </c>
      <c r="C2203" s="1" t="s">
        <v>2090</v>
      </c>
      <c r="D2203" s="1" t="s">
        <v>7238</v>
      </c>
      <c r="E2203" s="1" t="s">
        <v>61</v>
      </c>
      <c r="F2203" s="1" t="s">
        <v>101</v>
      </c>
      <c r="G2203" s="1" t="s">
        <v>108</v>
      </c>
      <c r="H2203" s="1" t="s">
        <v>1495</v>
      </c>
      <c r="K2203" s="1" t="s">
        <v>155</v>
      </c>
      <c r="L2203" s="1" t="s">
        <v>7015</v>
      </c>
      <c r="M2203" s="1" t="s">
        <v>7262</v>
      </c>
      <c r="N2203" s="1" t="s">
        <v>105</v>
      </c>
      <c r="O2203" s="1" t="s">
        <v>106</v>
      </c>
      <c r="P2203" s="1" t="s">
        <v>3539</v>
      </c>
      <c r="U2203" s="1" t="s">
        <v>7239</v>
      </c>
      <c r="Z2203" s="1" t="s">
        <v>71</v>
      </c>
      <c r="AE2203" s="1" t="s">
        <v>7415</v>
      </c>
      <c r="AH2203" s="1" t="s">
        <v>73</v>
      </c>
      <c r="AK2203" s="1" t="s">
        <v>71</v>
      </c>
      <c r="AM2203" s="1" t="s">
        <v>71</v>
      </c>
      <c r="AN2203" s="1" t="s">
        <v>71</v>
      </c>
      <c r="AS2203" s="1" t="s">
        <v>71</v>
      </c>
      <c r="AX2203" s="1" t="s">
        <v>71</v>
      </c>
      <c r="AY2203" s="1" t="s">
        <v>59</v>
      </c>
      <c r="AZ2203" s="1" t="s">
        <v>74</v>
      </c>
      <c r="BH2203" s="1" t="s">
        <v>71</v>
      </c>
    </row>
    <row r="2204" customFormat="false" ht="15" hidden="false" customHeight="false" outlineLevel="0" collapsed="false">
      <c r="A2204" s="1" t="s">
        <v>7418</v>
      </c>
      <c r="B2204" s="1" t="s">
        <v>7419</v>
      </c>
      <c r="C2204" s="1" t="s">
        <v>2090</v>
      </c>
      <c r="D2204" s="1" t="s">
        <v>7238</v>
      </c>
      <c r="E2204" s="1" t="s">
        <v>61</v>
      </c>
      <c r="F2204" s="1" t="s">
        <v>101</v>
      </c>
      <c r="G2204" s="1" t="s">
        <v>93</v>
      </c>
      <c r="H2204" s="1" t="s">
        <v>64</v>
      </c>
      <c r="K2204" s="1" t="s">
        <v>126</v>
      </c>
      <c r="L2204" s="1" t="s">
        <v>335</v>
      </c>
      <c r="M2204" s="1" t="s">
        <v>6973</v>
      </c>
      <c r="N2204" s="1" t="s">
        <v>105</v>
      </c>
      <c r="O2204" s="1" t="s">
        <v>106</v>
      </c>
      <c r="P2204" s="1" t="s">
        <v>3539</v>
      </c>
      <c r="U2204" s="1" t="s">
        <v>7239</v>
      </c>
      <c r="Z2204" s="1" t="s">
        <v>71</v>
      </c>
      <c r="AE2204" s="1" t="s">
        <v>7415</v>
      </c>
      <c r="AH2204" s="1" t="s">
        <v>73</v>
      </c>
      <c r="AK2204" s="1" t="s">
        <v>71</v>
      </c>
      <c r="AM2204" s="1" t="s">
        <v>71</v>
      </c>
      <c r="AN2204" s="1" t="s">
        <v>71</v>
      </c>
      <c r="AS2204" s="1" t="s">
        <v>71</v>
      </c>
      <c r="AX2204" s="1" t="s">
        <v>71</v>
      </c>
      <c r="AY2204" s="1" t="s">
        <v>59</v>
      </c>
      <c r="AZ2204" s="1" t="s">
        <v>74</v>
      </c>
      <c r="BH2204" s="1" t="s">
        <v>71</v>
      </c>
    </row>
    <row r="2205" customFormat="false" ht="15" hidden="false" customHeight="false" outlineLevel="0" collapsed="false">
      <c r="A2205" s="1" t="s">
        <v>7420</v>
      </c>
      <c r="B2205" s="1" t="s">
        <v>7421</v>
      </c>
      <c r="C2205" s="1" t="s">
        <v>2090</v>
      </c>
      <c r="D2205" s="1" t="s">
        <v>7238</v>
      </c>
      <c r="E2205" s="1" t="s">
        <v>61</v>
      </c>
      <c r="F2205" s="1" t="s">
        <v>101</v>
      </c>
      <c r="G2205" s="1" t="s">
        <v>93</v>
      </c>
      <c r="H2205" s="1" t="s">
        <v>64</v>
      </c>
      <c r="K2205" s="1" t="s">
        <v>126</v>
      </c>
      <c r="L2205" s="1" t="s">
        <v>335</v>
      </c>
      <c r="M2205" s="1" t="s">
        <v>1555</v>
      </c>
      <c r="N2205" s="1" t="s">
        <v>123</v>
      </c>
      <c r="O2205" s="1" t="s">
        <v>124</v>
      </c>
      <c r="P2205" s="1" t="s">
        <v>4161</v>
      </c>
      <c r="U2205" s="1" t="s">
        <v>7239</v>
      </c>
      <c r="Z2205" s="1" t="s">
        <v>71</v>
      </c>
      <c r="AE2205" s="1" t="s">
        <v>7415</v>
      </c>
      <c r="AH2205" s="1" t="s">
        <v>73</v>
      </c>
      <c r="AK2205" s="1" t="s">
        <v>71</v>
      </c>
      <c r="AM2205" s="1" t="s">
        <v>71</v>
      </c>
      <c r="AN2205" s="1" t="s">
        <v>71</v>
      </c>
      <c r="AS2205" s="1" t="s">
        <v>71</v>
      </c>
      <c r="AX2205" s="1" t="s">
        <v>71</v>
      </c>
      <c r="AY2205" s="1" t="s">
        <v>59</v>
      </c>
      <c r="AZ2205" s="1" t="s">
        <v>74</v>
      </c>
      <c r="BH2205" s="1" t="s">
        <v>71</v>
      </c>
    </row>
    <row r="2206" customFormat="false" ht="15" hidden="false" customHeight="false" outlineLevel="0" collapsed="false">
      <c r="A2206" s="1" t="s">
        <v>7422</v>
      </c>
      <c r="B2206" s="1" t="s">
        <v>7423</v>
      </c>
      <c r="C2206" s="1" t="s">
        <v>2090</v>
      </c>
      <c r="D2206" s="1" t="s">
        <v>7238</v>
      </c>
      <c r="E2206" s="1" t="s">
        <v>61</v>
      </c>
      <c r="F2206" s="1" t="s">
        <v>101</v>
      </c>
      <c r="G2206" s="1" t="s">
        <v>93</v>
      </c>
      <c r="H2206" s="1" t="s">
        <v>64</v>
      </c>
      <c r="K2206" s="1" t="s">
        <v>108</v>
      </c>
      <c r="L2206" s="1" t="s">
        <v>2547</v>
      </c>
      <c r="M2206" s="1" t="s">
        <v>1555</v>
      </c>
      <c r="N2206" s="1" t="s">
        <v>105</v>
      </c>
      <c r="O2206" s="1" t="s">
        <v>106</v>
      </c>
      <c r="P2206" s="1" t="s">
        <v>3539</v>
      </c>
      <c r="U2206" s="1" t="s">
        <v>7422</v>
      </c>
      <c r="Z2206" s="1" t="s">
        <v>71</v>
      </c>
      <c r="AE2206" s="1" t="s">
        <v>7415</v>
      </c>
      <c r="AH2206" s="1" t="s">
        <v>73</v>
      </c>
      <c r="AK2206" s="1" t="s">
        <v>71</v>
      </c>
      <c r="AM2206" s="1" t="s">
        <v>71</v>
      </c>
      <c r="AN2206" s="1" t="s">
        <v>71</v>
      </c>
      <c r="AS2206" s="1" t="s">
        <v>71</v>
      </c>
      <c r="AX2206" s="1" t="s">
        <v>71</v>
      </c>
      <c r="AY2206" s="1" t="s">
        <v>59</v>
      </c>
      <c r="AZ2206" s="1" t="s">
        <v>74</v>
      </c>
      <c r="BH2206" s="1" t="s">
        <v>71</v>
      </c>
    </row>
    <row r="2207" customFormat="false" ht="15" hidden="false" customHeight="false" outlineLevel="0" collapsed="false">
      <c r="A2207" s="1" t="s">
        <v>7424</v>
      </c>
      <c r="B2207" s="1" t="s">
        <v>7425</v>
      </c>
      <c r="C2207" s="1" t="s">
        <v>2090</v>
      </c>
      <c r="D2207" s="1" t="s">
        <v>7238</v>
      </c>
      <c r="E2207" s="1" t="s">
        <v>61</v>
      </c>
      <c r="F2207" s="1" t="s">
        <v>101</v>
      </c>
      <c r="G2207" s="1" t="s">
        <v>93</v>
      </c>
      <c r="H2207" s="1" t="s">
        <v>64</v>
      </c>
      <c r="K2207" s="1" t="s">
        <v>217</v>
      </c>
      <c r="L2207" s="1" t="s">
        <v>218</v>
      </c>
      <c r="M2207" s="1" t="s">
        <v>828</v>
      </c>
      <c r="N2207" s="1" t="s">
        <v>105</v>
      </c>
      <c r="O2207" s="1" t="s">
        <v>106</v>
      </c>
      <c r="P2207" s="1" t="s">
        <v>3539</v>
      </c>
      <c r="U2207" s="1" t="s">
        <v>7424</v>
      </c>
      <c r="Z2207" s="1" t="s">
        <v>71</v>
      </c>
      <c r="AE2207" s="1" t="s">
        <v>7415</v>
      </c>
      <c r="AH2207" s="1" t="s">
        <v>73</v>
      </c>
      <c r="AK2207" s="1" t="s">
        <v>71</v>
      </c>
      <c r="AM2207" s="1" t="s">
        <v>71</v>
      </c>
      <c r="AN2207" s="1" t="s">
        <v>71</v>
      </c>
      <c r="AS2207" s="1" t="s">
        <v>71</v>
      </c>
      <c r="AX2207" s="1" t="s">
        <v>71</v>
      </c>
      <c r="AY2207" s="1" t="s">
        <v>59</v>
      </c>
      <c r="AZ2207" s="1" t="s">
        <v>74</v>
      </c>
      <c r="BH2207" s="1" t="s">
        <v>71</v>
      </c>
    </row>
    <row r="2208" customFormat="false" ht="15" hidden="false" customHeight="false" outlineLevel="0" collapsed="false">
      <c r="A2208" s="1" t="s">
        <v>7426</v>
      </c>
      <c r="B2208" s="1" t="s">
        <v>7427</v>
      </c>
      <c r="C2208" s="1" t="s">
        <v>2090</v>
      </c>
      <c r="D2208" s="1" t="s">
        <v>7238</v>
      </c>
      <c r="E2208" s="1" t="s">
        <v>61</v>
      </c>
      <c r="F2208" s="1" t="s">
        <v>101</v>
      </c>
      <c r="G2208" s="1" t="s">
        <v>93</v>
      </c>
      <c r="H2208" s="1" t="s">
        <v>64</v>
      </c>
      <c r="K2208" s="1" t="s">
        <v>108</v>
      </c>
      <c r="L2208" s="1" t="s">
        <v>2547</v>
      </c>
      <c r="M2208" s="1" t="s">
        <v>1387</v>
      </c>
      <c r="N2208" s="1" t="s">
        <v>105</v>
      </c>
      <c r="O2208" s="1" t="s">
        <v>106</v>
      </c>
      <c r="P2208" s="1" t="s">
        <v>3539</v>
      </c>
      <c r="U2208" s="1" t="s">
        <v>7426</v>
      </c>
      <c r="V2208" s="1" t="s">
        <v>7239</v>
      </c>
      <c r="Z2208" s="1" t="s">
        <v>71</v>
      </c>
      <c r="AE2208" s="1" t="s">
        <v>7415</v>
      </c>
      <c r="AH2208" s="1" t="s">
        <v>73</v>
      </c>
      <c r="AK2208" s="1" t="s">
        <v>71</v>
      </c>
      <c r="AM2208" s="1" t="s">
        <v>71</v>
      </c>
      <c r="AN2208" s="1" t="s">
        <v>71</v>
      </c>
      <c r="AS2208" s="1" t="s">
        <v>71</v>
      </c>
      <c r="AX2208" s="1" t="s">
        <v>71</v>
      </c>
      <c r="AY2208" s="1" t="s">
        <v>59</v>
      </c>
      <c r="AZ2208" s="1" t="s">
        <v>74</v>
      </c>
      <c r="BH2208" s="1" t="s">
        <v>71</v>
      </c>
    </row>
    <row r="2209" customFormat="false" ht="15" hidden="false" customHeight="false" outlineLevel="0" collapsed="false">
      <c r="A2209" s="1" t="s">
        <v>7428</v>
      </c>
      <c r="B2209" s="1" t="s">
        <v>7429</v>
      </c>
      <c r="C2209" s="1" t="s">
        <v>2090</v>
      </c>
      <c r="D2209" s="1" t="s">
        <v>7238</v>
      </c>
      <c r="E2209" s="1" t="s">
        <v>61</v>
      </c>
      <c r="F2209" s="1" t="s">
        <v>101</v>
      </c>
      <c r="G2209" s="1" t="s">
        <v>93</v>
      </c>
      <c r="H2209" s="1" t="s">
        <v>64</v>
      </c>
      <c r="K2209" s="1" t="s">
        <v>4298</v>
      </c>
      <c r="L2209" s="1" t="s">
        <v>4299</v>
      </c>
      <c r="M2209" s="1" t="s">
        <v>104</v>
      </c>
      <c r="N2209" s="1" t="s">
        <v>123</v>
      </c>
      <c r="O2209" s="1" t="s">
        <v>124</v>
      </c>
      <c r="P2209" s="1" t="s">
        <v>4161</v>
      </c>
      <c r="U2209" s="1" t="s">
        <v>7430</v>
      </c>
      <c r="Z2209" s="1" t="s">
        <v>71</v>
      </c>
      <c r="AE2209" s="1" t="s">
        <v>7415</v>
      </c>
      <c r="AH2209" s="1" t="s">
        <v>73</v>
      </c>
      <c r="AK2209" s="1" t="s">
        <v>71</v>
      </c>
      <c r="AM2209" s="1" t="s">
        <v>71</v>
      </c>
      <c r="AN2209" s="1" t="s">
        <v>71</v>
      </c>
      <c r="AS2209" s="1" t="s">
        <v>71</v>
      </c>
      <c r="AX2209" s="1" t="s">
        <v>71</v>
      </c>
      <c r="AY2209" s="1" t="s">
        <v>59</v>
      </c>
      <c r="AZ2209" s="1" t="s">
        <v>74</v>
      </c>
      <c r="BH2209" s="1" t="s">
        <v>71</v>
      </c>
    </row>
    <row r="2210" customFormat="false" ht="15" hidden="false" customHeight="false" outlineLevel="0" collapsed="false">
      <c r="A2210" s="1" t="s">
        <v>7431</v>
      </c>
      <c r="B2210" s="1" t="s">
        <v>7432</v>
      </c>
      <c r="C2210" s="1" t="s">
        <v>2090</v>
      </c>
      <c r="D2210" s="1" t="s">
        <v>7238</v>
      </c>
      <c r="E2210" s="1" t="s">
        <v>61</v>
      </c>
      <c r="F2210" s="1" t="s">
        <v>101</v>
      </c>
      <c r="G2210" s="1" t="s">
        <v>93</v>
      </c>
      <c r="H2210" s="1" t="s">
        <v>64</v>
      </c>
      <c r="K2210" s="1" t="s">
        <v>1784</v>
      </c>
      <c r="L2210" s="1" t="s">
        <v>1785</v>
      </c>
      <c r="M2210" s="1" t="s">
        <v>104</v>
      </c>
      <c r="N2210" s="1" t="s">
        <v>123</v>
      </c>
      <c r="O2210" s="1" t="s">
        <v>124</v>
      </c>
      <c r="P2210" s="1" t="s">
        <v>4161</v>
      </c>
      <c r="U2210" s="1" t="s">
        <v>7239</v>
      </c>
      <c r="Z2210" s="1" t="s">
        <v>71</v>
      </c>
      <c r="AE2210" s="1" t="s">
        <v>7415</v>
      </c>
      <c r="AH2210" s="1" t="s">
        <v>73</v>
      </c>
      <c r="AK2210" s="1" t="s">
        <v>71</v>
      </c>
      <c r="AM2210" s="1" t="s">
        <v>71</v>
      </c>
      <c r="AN2210" s="1" t="s">
        <v>71</v>
      </c>
      <c r="AS2210" s="1" t="s">
        <v>71</v>
      </c>
      <c r="AX2210" s="1" t="s">
        <v>71</v>
      </c>
      <c r="AY2210" s="1" t="s">
        <v>59</v>
      </c>
      <c r="AZ2210" s="1" t="s">
        <v>74</v>
      </c>
      <c r="BH2210" s="1" t="s">
        <v>71</v>
      </c>
    </row>
    <row r="2211" customFormat="false" ht="15" hidden="false" customHeight="false" outlineLevel="0" collapsed="false">
      <c r="A2211" s="1" t="s">
        <v>7433</v>
      </c>
      <c r="B2211" s="1" t="s">
        <v>7434</v>
      </c>
      <c r="C2211" s="1" t="s">
        <v>2090</v>
      </c>
      <c r="D2211" s="1" t="s">
        <v>7238</v>
      </c>
      <c r="E2211" s="1" t="s">
        <v>61</v>
      </c>
      <c r="F2211" s="1" t="s">
        <v>101</v>
      </c>
      <c r="G2211" s="1" t="s">
        <v>177</v>
      </c>
      <c r="H2211" s="1" t="s">
        <v>255</v>
      </c>
      <c r="K2211" s="1" t="s">
        <v>136</v>
      </c>
      <c r="L2211" s="1" t="s">
        <v>6018</v>
      </c>
      <c r="M2211" s="1" t="s">
        <v>7435</v>
      </c>
      <c r="N2211" s="1" t="s">
        <v>259</v>
      </c>
      <c r="O2211" s="1" t="s">
        <v>260</v>
      </c>
      <c r="P2211" s="1" t="s">
        <v>3768</v>
      </c>
      <c r="U2211" s="1" t="s">
        <v>7239</v>
      </c>
      <c r="Z2211" s="1" t="s">
        <v>71</v>
      </c>
      <c r="AE2211" s="1" t="s">
        <v>7415</v>
      </c>
      <c r="AH2211" s="1" t="s">
        <v>73</v>
      </c>
      <c r="AK2211" s="1" t="s">
        <v>71</v>
      </c>
      <c r="AM2211" s="1" t="s">
        <v>71</v>
      </c>
      <c r="AN2211" s="1" t="s">
        <v>71</v>
      </c>
      <c r="AS2211" s="1" t="s">
        <v>71</v>
      </c>
      <c r="AX2211" s="1" t="s">
        <v>71</v>
      </c>
      <c r="AY2211" s="1" t="s">
        <v>59</v>
      </c>
      <c r="AZ2211" s="1" t="s">
        <v>74</v>
      </c>
      <c r="BH2211" s="1" t="s">
        <v>71</v>
      </c>
    </row>
    <row r="2212" customFormat="false" ht="15" hidden="false" customHeight="false" outlineLevel="0" collapsed="false">
      <c r="A2212" s="1" t="s">
        <v>7436</v>
      </c>
      <c r="B2212" s="1" t="s">
        <v>7437</v>
      </c>
      <c r="C2212" s="1" t="s">
        <v>2141</v>
      </c>
      <c r="D2212" s="1" t="s">
        <v>7438</v>
      </c>
      <c r="E2212" s="1" t="s">
        <v>82</v>
      </c>
      <c r="F2212" s="1" t="s">
        <v>391</v>
      </c>
      <c r="G2212" s="1" t="s">
        <v>97</v>
      </c>
      <c r="H2212" s="1" t="s">
        <v>406</v>
      </c>
      <c r="K2212" s="1" t="s">
        <v>2144</v>
      </c>
      <c r="L2212" s="1" t="s">
        <v>2145</v>
      </c>
      <c r="M2212" s="1" t="s">
        <v>496</v>
      </c>
      <c r="N2212" s="1" t="s">
        <v>7439</v>
      </c>
      <c r="O2212" s="1" t="s">
        <v>7440</v>
      </c>
      <c r="P2212" s="1" t="s">
        <v>7441</v>
      </c>
      <c r="U2212" s="1" t="s">
        <v>7436</v>
      </c>
      <c r="Z2212" s="1" t="s">
        <v>71</v>
      </c>
      <c r="AE2212" s="1" t="s">
        <v>7442</v>
      </c>
      <c r="AH2212" s="1" t="s">
        <v>73</v>
      </c>
      <c r="AK2212" s="1" t="s">
        <v>71</v>
      </c>
      <c r="AM2212" s="1" t="s">
        <v>71</v>
      </c>
      <c r="AN2212" s="1" t="s">
        <v>71</v>
      </c>
      <c r="AS2212" s="1" t="s">
        <v>71</v>
      </c>
      <c r="AX2212" s="1" t="s">
        <v>71</v>
      </c>
      <c r="BH2212" s="1" t="s">
        <v>71</v>
      </c>
    </row>
    <row r="2213" customFormat="false" ht="15" hidden="false" customHeight="false" outlineLevel="0" collapsed="false">
      <c r="A2213" s="1" t="s">
        <v>7443</v>
      </c>
      <c r="B2213" s="1" t="s">
        <v>7444</v>
      </c>
      <c r="C2213" s="1" t="s">
        <v>7445</v>
      </c>
      <c r="D2213" s="1" t="s">
        <v>7446</v>
      </c>
      <c r="E2213" s="1" t="s">
        <v>61</v>
      </c>
      <c r="F2213" s="1" t="s">
        <v>101</v>
      </c>
      <c r="G2213" s="1" t="s">
        <v>148</v>
      </c>
      <c r="H2213" s="1" t="s">
        <v>231</v>
      </c>
      <c r="K2213" s="1" t="s">
        <v>308</v>
      </c>
      <c r="L2213" s="1" t="s">
        <v>309</v>
      </c>
      <c r="M2213" s="1" t="s">
        <v>104</v>
      </c>
      <c r="N2213" s="1" t="s">
        <v>234</v>
      </c>
      <c r="O2213" s="1" t="s">
        <v>235</v>
      </c>
      <c r="P2213" s="1" t="s">
        <v>5284</v>
      </c>
      <c r="U2213" s="1" t="s">
        <v>7443</v>
      </c>
      <c r="Z2213" s="1" t="s">
        <v>71</v>
      </c>
      <c r="AE2213" s="1" t="s">
        <v>7442</v>
      </c>
      <c r="AH2213" s="1" t="s">
        <v>73</v>
      </c>
      <c r="AK2213" s="1" t="s">
        <v>71</v>
      </c>
      <c r="AM2213" s="1" t="s">
        <v>71</v>
      </c>
      <c r="AN2213" s="1" t="s">
        <v>71</v>
      </c>
      <c r="AS2213" s="1" t="s">
        <v>71</v>
      </c>
      <c r="AX2213" s="1" t="s">
        <v>71</v>
      </c>
      <c r="AY2213" s="1" t="s">
        <v>59</v>
      </c>
      <c r="AZ2213" s="1" t="s">
        <v>74</v>
      </c>
      <c r="BH2213" s="1" t="s">
        <v>71</v>
      </c>
    </row>
    <row r="2214" customFormat="false" ht="15" hidden="false" customHeight="false" outlineLevel="0" collapsed="false">
      <c r="A2214" s="1" t="s">
        <v>7447</v>
      </c>
      <c r="B2214" s="1" t="s">
        <v>7448</v>
      </c>
      <c r="C2214" s="1" t="s">
        <v>1636</v>
      </c>
      <c r="D2214" s="1" t="s">
        <v>6144</v>
      </c>
      <c r="E2214" s="1" t="s">
        <v>61</v>
      </c>
      <c r="F2214" s="1" t="s">
        <v>101</v>
      </c>
      <c r="G2214" s="1" t="s">
        <v>1479</v>
      </c>
      <c r="H2214" s="1" t="s">
        <v>5583</v>
      </c>
      <c r="K2214" s="1" t="s">
        <v>275</v>
      </c>
      <c r="L2214" s="1" t="s">
        <v>5584</v>
      </c>
      <c r="M2214" s="1" t="s">
        <v>278</v>
      </c>
      <c r="N2214" s="1" t="s">
        <v>4854</v>
      </c>
      <c r="O2214" s="1" t="s">
        <v>4855</v>
      </c>
      <c r="P2214" s="1" t="s">
        <v>4856</v>
      </c>
      <c r="U2214" s="1" t="s">
        <v>7447</v>
      </c>
      <c r="Z2214" s="1" t="s">
        <v>71</v>
      </c>
      <c r="AE2214" s="1" t="s">
        <v>7442</v>
      </c>
      <c r="AH2214" s="1" t="s">
        <v>73</v>
      </c>
      <c r="AK2214" s="1" t="s">
        <v>71</v>
      </c>
      <c r="AM2214" s="1" t="s">
        <v>71</v>
      </c>
      <c r="AN2214" s="1" t="s">
        <v>71</v>
      </c>
      <c r="AS2214" s="1" t="s">
        <v>71</v>
      </c>
      <c r="AX2214" s="1" t="s">
        <v>71</v>
      </c>
      <c r="AY2214" s="1" t="s">
        <v>59</v>
      </c>
      <c r="AZ2214" s="1" t="s">
        <v>74</v>
      </c>
      <c r="BH2214" s="1" t="s">
        <v>71</v>
      </c>
    </row>
    <row r="2215" customFormat="false" ht="15" hidden="false" customHeight="false" outlineLevel="0" collapsed="false">
      <c r="A2215" s="1" t="s">
        <v>7449</v>
      </c>
      <c r="B2215" s="1" t="s">
        <v>7450</v>
      </c>
      <c r="C2215" s="1" t="s">
        <v>1636</v>
      </c>
      <c r="D2215" s="1" t="s">
        <v>6144</v>
      </c>
      <c r="E2215" s="1" t="s">
        <v>61</v>
      </c>
      <c r="F2215" s="1" t="s">
        <v>101</v>
      </c>
      <c r="G2215" s="1" t="s">
        <v>1479</v>
      </c>
      <c r="H2215" s="1" t="s">
        <v>5583</v>
      </c>
      <c r="K2215" s="1" t="s">
        <v>275</v>
      </c>
      <c r="L2215" s="1" t="s">
        <v>5584</v>
      </c>
      <c r="M2215" s="1" t="s">
        <v>242</v>
      </c>
      <c r="N2215" s="1" t="s">
        <v>4854</v>
      </c>
      <c r="O2215" s="1" t="s">
        <v>4855</v>
      </c>
      <c r="P2215" s="1" t="s">
        <v>4856</v>
      </c>
      <c r="U2215" s="1" t="s">
        <v>7449</v>
      </c>
      <c r="Z2215" s="1" t="s">
        <v>71</v>
      </c>
      <c r="AE2215" s="1" t="s">
        <v>7442</v>
      </c>
      <c r="AH2215" s="1" t="s">
        <v>73</v>
      </c>
      <c r="AK2215" s="1" t="s">
        <v>71</v>
      </c>
      <c r="AM2215" s="1" t="s">
        <v>71</v>
      </c>
      <c r="AN2215" s="1" t="s">
        <v>71</v>
      </c>
      <c r="AS2215" s="1" t="s">
        <v>71</v>
      </c>
      <c r="AX2215" s="1" t="s">
        <v>71</v>
      </c>
      <c r="AY2215" s="1" t="s">
        <v>59</v>
      </c>
      <c r="AZ2215" s="1" t="s">
        <v>74</v>
      </c>
      <c r="BH2215" s="1" t="s">
        <v>71</v>
      </c>
    </row>
    <row r="2216" customFormat="false" ht="15" hidden="false" customHeight="false" outlineLevel="0" collapsed="false">
      <c r="A2216" s="1" t="s">
        <v>7451</v>
      </c>
      <c r="B2216" s="1" t="s">
        <v>7452</v>
      </c>
      <c r="C2216" s="1" t="s">
        <v>1031</v>
      </c>
      <c r="D2216" s="1" t="s">
        <v>1032</v>
      </c>
      <c r="E2216" s="1" t="s">
        <v>59</v>
      </c>
      <c r="F2216" s="1" t="s">
        <v>63</v>
      </c>
      <c r="G2216" s="1" t="s">
        <v>59</v>
      </c>
      <c r="H2216" s="1" t="s">
        <v>64</v>
      </c>
      <c r="K2216" s="1" t="s">
        <v>65</v>
      </c>
      <c r="L2216" s="1" t="s">
        <v>66</v>
      </c>
      <c r="M2216" s="1" t="s">
        <v>382</v>
      </c>
      <c r="N2216" s="1" t="s">
        <v>68</v>
      </c>
      <c r="O2216" s="1" t="s">
        <v>69</v>
      </c>
      <c r="P2216" s="1" t="s">
        <v>4942</v>
      </c>
      <c r="U2216" s="1" t="s">
        <v>7451</v>
      </c>
      <c r="Z2216" s="1" t="s">
        <v>71</v>
      </c>
      <c r="AE2216" s="1" t="s">
        <v>7442</v>
      </c>
      <c r="AH2216" s="1" t="s">
        <v>73</v>
      </c>
      <c r="AK2216" s="1" t="s">
        <v>71</v>
      </c>
      <c r="AM2216" s="1" t="s">
        <v>71</v>
      </c>
      <c r="AN2216" s="1" t="s">
        <v>71</v>
      </c>
      <c r="AS2216" s="1" t="s">
        <v>71</v>
      </c>
      <c r="AX2216" s="1" t="s">
        <v>71</v>
      </c>
      <c r="AY2216" s="1" t="s">
        <v>59</v>
      </c>
      <c r="AZ2216" s="1" t="s">
        <v>74</v>
      </c>
      <c r="BH2216" s="1" t="s">
        <v>71</v>
      </c>
    </row>
    <row r="2217" customFormat="false" ht="15" hidden="false" customHeight="false" outlineLevel="0" collapsed="false">
      <c r="A2217" s="1" t="s">
        <v>7453</v>
      </c>
      <c r="B2217" s="1" t="s">
        <v>7454</v>
      </c>
      <c r="C2217" s="1" t="s">
        <v>1636</v>
      </c>
      <c r="D2217" s="1" t="s">
        <v>6144</v>
      </c>
      <c r="E2217" s="1" t="s">
        <v>61</v>
      </c>
      <c r="F2217" s="1" t="s">
        <v>101</v>
      </c>
      <c r="G2217" s="1" t="s">
        <v>1479</v>
      </c>
      <c r="H2217" s="1" t="s">
        <v>5583</v>
      </c>
      <c r="K2217" s="1" t="s">
        <v>88</v>
      </c>
      <c r="L2217" s="1" t="s">
        <v>6371</v>
      </c>
      <c r="M2217" s="1" t="s">
        <v>242</v>
      </c>
      <c r="N2217" s="1" t="s">
        <v>6357</v>
      </c>
      <c r="O2217" s="1" t="s">
        <v>6358</v>
      </c>
      <c r="P2217" s="1" t="s">
        <v>6359</v>
      </c>
      <c r="U2217" s="1" t="s">
        <v>7453</v>
      </c>
      <c r="Z2217" s="1" t="s">
        <v>71</v>
      </c>
      <c r="AE2217" s="1" t="s">
        <v>7442</v>
      </c>
      <c r="AH2217" s="1" t="s">
        <v>73</v>
      </c>
      <c r="AK2217" s="1" t="s">
        <v>71</v>
      </c>
      <c r="AM2217" s="1" t="s">
        <v>71</v>
      </c>
      <c r="AN2217" s="1" t="s">
        <v>71</v>
      </c>
      <c r="AS2217" s="1" t="s">
        <v>71</v>
      </c>
      <c r="AX2217" s="1" t="s">
        <v>71</v>
      </c>
      <c r="AY2217" s="1" t="s">
        <v>59</v>
      </c>
      <c r="AZ2217" s="1" t="s">
        <v>74</v>
      </c>
      <c r="BH2217" s="1" t="s">
        <v>71</v>
      </c>
    </row>
    <row r="2218" customFormat="false" ht="15" hidden="false" customHeight="false" outlineLevel="0" collapsed="false">
      <c r="A2218" s="1" t="s">
        <v>7455</v>
      </c>
      <c r="B2218" s="1" t="s">
        <v>7456</v>
      </c>
      <c r="C2218" s="1" t="s">
        <v>2146</v>
      </c>
      <c r="D2218" s="1" t="s">
        <v>7457</v>
      </c>
      <c r="E2218" s="1" t="s">
        <v>61</v>
      </c>
      <c r="F2218" s="1" t="s">
        <v>101</v>
      </c>
      <c r="G2218" s="1" t="s">
        <v>93</v>
      </c>
      <c r="H2218" s="1" t="s">
        <v>64</v>
      </c>
      <c r="K2218" s="1" t="s">
        <v>1092</v>
      </c>
      <c r="L2218" s="1" t="s">
        <v>1093</v>
      </c>
      <c r="M2218" s="1" t="s">
        <v>592</v>
      </c>
      <c r="N2218" s="1" t="s">
        <v>105</v>
      </c>
      <c r="O2218" s="1" t="s">
        <v>106</v>
      </c>
      <c r="P2218" s="1" t="s">
        <v>3539</v>
      </c>
      <c r="U2218" s="1" t="s">
        <v>7455</v>
      </c>
      <c r="Z2218" s="1" t="s">
        <v>71</v>
      </c>
      <c r="AE2218" s="1" t="s">
        <v>7458</v>
      </c>
      <c r="AH2218" s="1" t="s">
        <v>73</v>
      </c>
      <c r="AK2218" s="1" t="s">
        <v>71</v>
      </c>
      <c r="AM2218" s="1" t="s">
        <v>71</v>
      </c>
      <c r="AN2218" s="1" t="s">
        <v>71</v>
      </c>
      <c r="AS2218" s="1" t="s">
        <v>71</v>
      </c>
      <c r="AX2218" s="1" t="s">
        <v>71</v>
      </c>
      <c r="AY2218" s="1" t="s">
        <v>59</v>
      </c>
      <c r="AZ2218" s="1" t="s">
        <v>74</v>
      </c>
      <c r="BH2218" s="1" t="s">
        <v>71</v>
      </c>
    </row>
    <row r="2219" customFormat="false" ht="15" hidden="false" customHeight="false" outlineLevel="0" collapsed="false">
      <c r="A2219" s="1" t="s">
        <v>7459</v>
      </c>
      <c r="B2219" s="1" t="s">
        <v>7460</v>
      </c>
      <c r="C2219" s="1" t="s">
        <v>2146</v>
      </c>
      <c r="D2219" s="1" t="s">
        <v>7457</v>
      </c>
      <c r="E2219" s="1" t="s">
        <v>61</v>
      </c>
      <c r="F2219" s="1" t="s">
        <v>101</v>
      </c>
      <c r="G2219" s="1" t="s">
        <v>93</v>
      </c>
      <c r="H2219" s="1" t="s">
        <v>64</v>
      </c>
      <c r="K2219" s="1" t="s">
        <v>215</v>
      </c>
      <c r="L2219" s="1" t="s">
        <v>197</v>
      </c>
      <c r="M2219" s="1" t="s">
        <v>104</v>
      </c>
      <c r="N2219" s="1" t="s">
        <v>105</v>
      </c>
      <c r="O2219" s="1" t="s">
        <v>106</v>
      </c>
      <c r="P2219" s="1" t="s">
        <v>3539</v>
      </c>
      <c r="U2219" s="1" t="s">
        <v>7459</v>
      </c>
      <c r="Z2219" s="1" t="s">
        <v>71</v>
      </c>
      <c r="AE2219" s="1" t="s">
        <v>7458</v>
      </c>
      <c r="AH2219" s="1" t="s">
        <v>73</v>
      </c>
      <c r="AK2219" s="1" t="s">
        <v>71</v>
      </c>
      <c r="AM2219" s="1" t="s">
        <v>71</v>
      </c>
      <c r="AN2219" s="1" t="s">
        <v>71</v>
      </c>
      <c r="AS2219" s="1" t="s">
        <v>71</v>
      </c>
      <c r="AX2219" s="1" t="s">
        <v>71</v>
      </c>
      <c r="AY2219" s="1" t="s">
        <v>59</v>
      </c>
      <c r="AZ2219" s="1" t="s">
        <v>74</v>
      </c>
      <c r="BH2219" s="1" t="s">
        <v>71</v>
      </c>
    </row>
    <row r="2220" customFormat="false" ht="15" hidden="false" customHeight="false" outlineLevel="0" collapsed="false">
      <c r="A2220" s="1" t="s">
        <v>7461</v>
      </c>
      <c r="B2220" s="1" t="s">
        <v>7462</v>
      </c>
      <c r="C2220" s="1" t="s">
        <v>161</v>
      </c>
      <c r="D2220" s="1" t="s">
        <v>162</v>
      </c>
      <c r="E2220" s="1" t="s">
        <v>61</v>
      </c>
      <c r="F2220" s="1" t="s">
        <v>101</v>
      </c>
      <c r="G2220" s="1" t="s">
        <v>93</v>
      </c>
      <c r="H2220" s="1" t="s">
        <v>64</v>
      </c>
      <c r="K2220" s="1" t="s">
        <v>251</v>
      </c>
      <c r="L2220" s="1" t="s">
        <v>1084</v>
      </c>
      <c r="M2220" s="1" t="s">
        <v>104</v>
      </c>
      <c r="N2220" s="1" t="s">
        <v>105</v>
      </c>
      <c r="O2220" s="1" t="s">
        <v>106</v>
      </c>
      <c r="P2220" s="1" t="s">
        <v>3539</v>
      </c>
      <c r="U2220" s="1" t="s">
        <v>7461</v>
      </c>
      <c r="Z2220" s="1" t="s">
        <v>71</v>
      </c>
      <c r="AE2220" s="1" t="s">
        <v>7458</v>
      </c>
      <c r="AH2220" s="1" t="s">
        <v>73</v>
      </c>
      <c r="AK2220" s="1" t="s">
        <v>71</v>
      </c>
      <c r="AM2220" s="1" t="s">
        <v>71</v>
      </c>
      <c r="AN2220" s="1" t="s">
        <v>71</v>
      </c>
      <c r="AS2220" s="1" t="s">
        <v>71</v>
      </c>
      <c r="AX2220" s="1" t="s">
        <v>71</v>
      </c>
      <c r="AY2220" s="1" t="s">
        <v>59</v>
      </c>
      <c r="AZ2220" s="1" t="s">
        <v>74</v>
      </c>
      <c r="BH2220" s="1" t="s">
        <v>71</v>
      </c>
    </row>
    <row r="2221" customFormat="false" ht="15" hidden="false" customHeight="false" outlineLevel="0" collapsed="false">
      <c r="A2221" s="1" t="s">
        <v>7463</v>
      </c>
      <c r="B2221" s="1" t="s">
        <v>7464</v>
      </c>
      <c r="C2221" s="1" t="s">
        <v>161</v>
      </c>
      <c r="D2221" s="1" t="s">
        <v>162</v>
      </c>
      <c r="E2221" s="1" t="s">
        <v>61</v>
      </c>
      <c r="F2221" s="1" t="s">
        <v>101</v>
      </c>
      <c r="G2221" s="1" t="s">
        <v>93</v>
      </c>
      <c r="H2221" s="1" t="s">
        <v>64</v>
      </c>
      <c r="K2221" s="1" t="s">
        <v>302</v>
      </c>
      <c r="L2221" s="1" t="s">
        <v>303</v>
      </c>
      <c r="M2221" s="1" t="s">
        <v>1555</v>
      </c>
      <c r="N2221" s="1" t="s">
        <v>105</v>
      </c>
      <c r="O2221" s="1" t="s">
        <v>106</v>
      </c>
      <c r="P2221" s="1" t="s">
        <v>3539</v>
      </c>
      <c r="U2221" s="1" t="s">
        <v>7463</v>
      </c>
      <c r="Z2221" s="1" t="s">
        <v>71</v>
      </c>
      <c r="AE2221" s="1" t="s">
        <v>7458</v>
      </c>
      <c r="AH2221" s="1" t="s">
        <v>73</v>
      </c>
      <c r="AK2221" s="1" t="s">
        <v>71</v>
      </c>
      <c r="AM2221" s="1" t="s">
        <v>71</v>
      </c>
      <c r="AN2221" s="1" t="s">
        <v>71</v>
      </c>
      <c r="AS2221" s="1" t="s">
        <v>71</v>
      </c>
      <c r="AX2221" s="1" t="s">
        <v>71</v>
      </c>
      <c r="AY2221" s="1" t="s">
        <v>59</v>
      </c>
      <c r="AZ2221" s="1" t="s">
        <v>74</v>
      </c>
      <c r="BH2221" s="1" t="s">
        <v>71</v>
      </c>
    </row>
    <row r="2222" customFormat="false" ht="15" hidden="false" customHeight="false" outlineLevel="0" collapsed="false">
      <c r="A2222" s="1" t="s">
        <v>7465</v>
      </c>
      <c r="B2222" s="1" t="s">
        <v>7466</v>
      </c>
      <c r="C2222" s="1" t="s">
        <v>1955</v>
      </c>
      <c r="D2222" s="1" t="s">
        <v>239</v>
      </c>
      <c r="E2222" s="1" t="s">
        <v>61</v>
      </c>
      <c r="F2222" s="1" t="s">
        <v>101</v>
      </c>
      <c r="G2222" s="1" t="s">
        <v>275</v>
      </c>
      <c r="H2222" s="1" t="s">
        <v>276</v>
      </c>
      <c r="K2222" s="1" t="s">
        <v>136</v>
      </c>
      <c r="L2222" s="1" t="s">
        <v>5602</v>
      </c>
      <c r="M2222" s="1" t="s">
        <v>278</v>
      </c>
      <c r="N2222" s="1" t="s">
        <v>1365</v>
      </c>
      <c r="O2222" s="1" t="s">
        <v>1366</v>
      </c>
      <c r="P2222" s="1" t="s">
        <v>4820</v>
      </c>
      <c r="U2222" s="1" t="s">
        <v>245</v>
      </c>
      <c r="Z2222" s="1" t="s">
        <v>71</v>
      </c>
      <c r="AE2222" s="1" t="s">
        <v>7467</v>
      </c>
      <c r="AH2222" s="1" t="s">
        <v>73</v>
      </c>
      <c r="AK2222" s="1" t="s">
        <v>71</v>
      </c>
      <c r="AM2222" s="1" t="s">
        <v>71</v>
      </c>
      <c r="AN2222" s="1" t="s">
        <v>71</v>
      </c>
      <c r="AS2222" s="1" t="s">
        <v>71</v>
      </c>
      <c r="AX2222" s="1" t="s">
        <v>71</v>
      </c>
      <c r="AY2222" s="1" t="s">
        <v>59</v>
      </c>
      <c r="AZ2222" s="1" t="s">
        <v>74</v>
      </c>
      <c r="BH2222" s="1" t="s">
        <v>71</v>
      </c>
    </row>
    <row r="2223" customFormat="false" ht="15" hidden="false" customHeight="false" outlineLevel="0" collapsed="false">
      <c r="A2223" s="1" t="s">
        <v>7468</v>
      </c>
      <c r="B2223" s="1" t="s">
        <v>7469</v>
      </c>
      <c r="C2223" s="1" t="s">
        <v>7445</v>
      </c>
      <c r="D2223" s="1" t="s">
        <v>7446</v>
      </c>
      <c r="E2223" s="1" t="s">
        <v>61</v>
      </c>
      <c r="F2223" s="1" t="s">
        <v>101</v>
      </c>
      <c r="G2223" s="1" t="s">
        <v>148</v>
      </c>
      <c r="H2223" s="1" t="s">
        <v>231</v>
      </c>
      <c r="K2223" s="1" t="s">
        <v>240</v>
      </c>
      <c r="L2223" s="1" t="s">
        <v>241</v>
      </c>
      <c r="M2223" s="1" t="s">
        <v>104</v>
      </c>
      <c r="N2223" s="1" t="s">
        <v>234</v>
      </c>
      <c r="O2223" s="1" t="s">
        <v>235</v>
      </c>
      <c r="P2223" s="1" t="s">
        <v>5284</v>
      </c>
      <c r="U2223" s="1" t="s">
        <v>7468</v>
      </c>
      <c r="Z2223" s="1" t="s">
        <v>71</v>
      </c>
      <c r="AE2223" s="1" t="s">
        <v>7470</v>
      </c>
      <c r="AH2223" s="1" t="s">
        <v>73</v>
      </c>
      <c r="AK2223" s="1" t="s">
        <v>71</v>
      </c>
      <c r="AM2223" s="1" t="s">
        <v>71</v>
      </c>
      <c r="AN2223" s="1" t="s">
        <v>71</v>
      </c>
      <c r="AS2223" s="1" t="s">
        <v>71</v>
      </c>
      <c r="AX2223" s="1" t="s">
        <v>71</v>
      </c>
      <c r="AY2223" s="1" t="s">
        <v>59</v>
      </c>
      <c r="AZ2223" s="1" t="s">
        <v>74</v>
      </c>
      <c r="BH2223" s="1" t="s">
        <v>71</v>
      </c>
    </row>
    <row r="2224" customFormat="false" ht="15" hidden="false" customHeight="false" outlineLevel="0" collapsed="false">
      <c r="A2224" s="1" t="s">
        <v>7471</v>
      </c>
      <c r="B2224" s="1" t="s">
        <v>7472</v>
      </c>
      <c r="C2224" s="1" t="s">
        <v>2150</v>
      </c>
      <c r="D2224" s="1" t="s">
        <v>7473</v>
      </c>
      <c r="E2224" s="1" t="s">
        <v>61</v>
      </c>
      <c r="F2224" s="1" t="s">
        <v>101</v>
      </c>
      <c r="G2224" s="1" t="s">
        <v>275</v>
      </c>
      <c r="H2224" s="1" t="s">
        <v>276</v>
      </c>
      <c r="K2224" s="1" t="s">
        <v>1479</v>
      </c>
      <c r="L2224" s="1" t="s">
        <v>1480</v>
      </c>
      <c r="M2224" s="1" t="s">
        <v>7474</v>
      </c>
      <c r="N2224" s="1" t="s">
        <v>1365</v>
      </c>
      <c r="O2224" s="1" t="s">
        <v>1366</v>
      </c>
      <c r="P2224" s="1" t="s">
        <v>4820</v>
      </c>
      <c r="U2224" s="1" t="s">
        <v>7471</v>
      </c>
      <c r="Z2224" s="1" t="s">
        <v>71</v>
      </c>
      <c r="AE2224" s="1" t="s">
        <v>7475</v>
      </c>
      <c r="AH2224" s="1" t="s">
        <v>73</v>
      </c>
      <c r="AK2224" s="1" t="s">
        <v>71</v>
      </c>
      <c r="AM2224" s="1" t="s">
        <v>71</v>
      </c>
      <c r="AN2224" s="1" t="s">
        <v>71</v>
      </c>
      <c r="AS2224" s="1" t="s">
        <v>71</v>
      </c>
      <c r="AX2224" s="1" t="s">
        <v>71</v>
      </c>
      <c r="AY2224" s="1" t="s">
        <v>59</v>
      </c>
      <c r="AZ2224" s="1" t="s">
        <v>74</v>
      </c>
      <c r="BH2224" s="1" t="s">
        <v>71</v>
      </c>
    </row>
    <row r="2225" customFormat="false" ht="15" hidden="false" customHeight="false" outlineLevel="0" collapsed="false">
      <c r="A2225" s="1" t="s">
        <v>7476</v>
      </c>
      <c r="B2225" s="1" t="s">
        <v>7477</v>
      </c>
      <c r="C2225" s="1" t="s">
        <v>161</v>
      </c>
      <c r="D2225" s="1" t="s">
        <v>162</v>
      </c>
      <c r="E2225" s="1" t="s">
        <v>61</v>
      </c>
      <c r="F2225" s="1" t="s">
        <v>101</v>
      </c>
      <c r="G2225" s="1" t="s">
        <v>130</v>
      </c>
      <c r="H2225" s="1" t="s">
        <v>5179</v>
      </c>
      <c r="K2225" s="1" t="s">
        <v>5180</v>
      </c>
      <c r="L2225" s="1" t="s">
        <v>5181</v>
      </c>
      <c r="M2225" s="1" t="s">
        <v>310</v>
      </c>
      <c r="N2225" s="1" t="s">
        <v>105</v>
      </c>
      <c r="O2225" s="1" t="s">
        <v>106</v>
      </c>
      <c r="P2225" s="1" t="s">
        <v>3539</v>
      </c>
      <c r="U2225" s="1" t="s">
        <v>7476</v>
      </c>
      <c r="Z2225" s="1" t="s">
        <v>71</v>
      </c>
      <c r="AE2225" s="1" t="s">
        <v>7478</v>
      </c>
      <c r="AH2225" s="1" t="s">
        <v>73</v>
      </c>
      <c r="AK2225" s="1" t="s">
        <v>71</v>
      </c>
      <c r="AM2225" s="1" t="s">
        <v>71</v>
      </c>
      <c r="AN2225" s="1" t="s">
        <v>71</v>
      </c>
      <c r="AS2225" s="1" t="s">
        <v>71</v>
      </c>
      <c r="AX2225" s="1" t="s">
        <v>71</v>
      </c>
      <c r="AY2225" s="1" t="s">
        <v>59</v>
      </c>
      <c r="AZ2225" s="1" t="s">
        <v>74</v>
      </c>
      <c r="BH2225" s="1" t="s">
        <v>71</v>
      </c>
    </row>
    <row r="2226" customFormat="false" ht="15" hidden="false" customHeight="false" outlineLevel="0" collapsed="false">
      <c r="A2226" s="1" t="s">
        <v>7479</v>
      </c>
      <c r="B2226" s="1" t="s">
        <v>7480</v>
      </c>
      <c r="C2226" s="1" t="s">
        <v>2154</v>
      </c>
      <c r="D2226" s="1" t="s">
        <v>100</v>
      </c>
      <c r="E2226" s="1" t="s">
        <v>65</v>
      </c>
      <c r="F2226" s="1" t="s">
        <v>119</v>
      </c>
      <c r="G2226" s="1" t="s">
        <v>65</v>
      </c>
      <c r="H2226" s="1" t="s">
        <v>64</v>
      </c>
      <c r="K2226" s="1" t="s">
        <v>177</v>
      </c>
      <c r="L2226" s="1" t="s">
        <v>178</v>
      </c>
      <c r="M2226" s="1" t="s">
        <v>104</v>
      </c>
      <c r="N2226" s="1" t="s">
        <v>123</v>
      </c>
      <c r="O2226" s="1" t="s">
        <v>124</v>
      </c>
      <c r="P2226" s="1" t="s">
        <v>4161</v>
      </c>
      <c r="U2226" s="1" t="s">
        <v>7479</v>
      </c>
      <c r="Z2226" s="1" t="s">
        <v>71</v>
      </c>
      <c r="AE2226" s="1" t="s">
        <v>7481</v>
      </c>
      <c r="AH2226" s="1" t="s">
        <v>73</v>
      </c>
      <c r="AK2226" s="1" t="s">
        <v>71</v>
      </c>
      <c r="AM2226" s="1" t="s">
        <v>71</v>
      </c>
      <c r="AN2226" s="1" t="s">
        <v>71</v>
      </c>
      <c r="AS2226" s="1" t="s">
        <v>71</v>
      </c>
      <c r="AX2226" s="1" t="s">
        <v>71</v>
      </c>
      <c r="AY2226" s="1" t="s">
        <v>59</v>
      </c>
      <c r="AZ2226" s="1" t="s">
        <v>74</v>
      </c>
      <c r="BH2226" s="1" t="s">
        <v>71</v>
      </c>
    </row>
    <row r="2227" customFormat="false" ht="15" hidden="false" customHeight="false" outlineLevel="0" collapsed="false">
      <c r="A2227" s="1" t="s">
        <v>7482</v>
      </c>
      <c r="B2227" s="1" t="s">
        <v>7483</v>
      </c>
      <c r="C2227" s="1" t="s">
        <v>2146</v>
      </c>
      <c r="D2227" s="1" t="s">
        <v>7457</v>
      </c>
      <c r="E2227" s="1" t="s">
        <v>65</v>
      </c>
      <c r="F2227" s="1" t="s">
        <v>119</v>
      </c>
      <c r="G2227" s="1" t="s">
        <v>65</v>
      </c>
      <c r="H2227" s="1" t="s">
        <v>64</v>
      </c>
      <c r="K2227" s="1" t="s">
        <v>182</v>
      </c>
      <c r="L2227" s="1" t="s">
        <v>183</v>
      </c>
      <c r="M2227" s="1" t="s">
        <v>104</v>
      </c>
      <c r="N2227" s="1" t="s">
        <v>123</v>
      </c>
      <c r="O2227" s="1" t="s">
        <v>124</v>
      </c>
      <c r="P2227" s="1" t="s">
        <v>4161</v>
      </c>
      <c r="U2227" s="1" t="s">
        <v>7482</v>
      </c>
      <c r="Z2227" s="1" t="s">
        <v>71</v>
      </c>
      <c r="AE2227" s="1" t="s">
        <v>7481</v>
      </c>
      <c r="AH2227" s="1" t="s">
        <v>73</v>
      </c>
      <c r="AK2227" s="1" t="s">
        <v>71</v>
      </c>
      <c r="AM2227" s="1" t="s">
        <v>71</v>
      </c>
      <c r="AN2227" s="1" t="s">
        <v>71</v>
      </c>
      <c r="AS2227" s="1" t="s">
        <v>71</v>
      </c>
      <c r="AX2227" s="1" t="s">
        <v>71</v>
      </c>
      <c r="AY2227" s="1" t="s">
        <v>59</v>
      </c>
      <c r="AZ2227" s="1" t="s">
        <v>74</v>
      </c>
      <c r="BH2227" s="1" t="s">
        <v>71</v>
      </c>
    </row>
    <row r="2228" customFormat="false" ht="15" hidden="false" customHeight="false" outlineLevel="0" collapsed="false">
      <c r="A2228" s="1" t="s">
        <v>7484</v>
      </c>
      <c r="B2228" s="1" t="s">
        <v>7485</v>
      </c>
      <c r="C2228" s="1" t="s">
        <v>2152</v>
      </c>
      <c r="D2228" s="1" t="s">
        <v>7486</v>
      </c>
      <c r="E2228" s="1" t="s">
        <v>61</v>
      </c>
      <c r="F2228" s="1" t="s">
        <v>101</v>
      </c>
      <c r="G2228" s="1" t="s">
        <v>93</v>
      </c>
      <c r="H2228" s="1" t="s">
        <v>64</v>
      </c>
      <c r="K2228" s="1" t="s">
        <v>229</v>
      </c>
      <c r="L2228" s="1" t="s">
        <v>605</v>
      </c>
      <c r="M2228" s="1" t="s">
        <v>5708</v>
      </c>
      <c r="N2228" s="1" t="s">
        <v>5592</v>
      </c>
      <c r="O2228" s="1" t="s">
        <v>5593</v>
      </c>
      <c r="P2228" s="1" t="s">
        <v>5594</v>
      </c>
      <c r="U2228" s="1" t="s">
        <v>7484</v>
      </c>
      <c r="V2228" s="1" t="s">
        <v>7487</v>
      </c>
      <c r="Z2228" s="1" t="s">
        <v>71</v>
      </c>
      <c r="AE2228" s="1" t="s">
        <v>7488</v>
      </c>
      <c r="AH2228" s="1" t="s">
        <v>73</v>
      </c>
      <c r="AK2228" s="1" t="s">
        <v>71</v>
      </c>
      <c r="AM2228" s="1" t="s">
        <v>71</v>
      </c>
      <c r="AN2228" s="1" t="s">
        <v>71</v>
      </c>
      <c r="AS2228" s="1" t="s">
        <v>71</v>
      </c>
      <c r="AX2228" s="1" t="s">
        <v>71</v>
      </c>
      <c r="AY2228" s="1" t="s">
        <v>59</v>
      </c>
      <c r="AZ2228" s="1" t="s">
        <v>74</v>
      </c>
      <c r="BH2228" s="1" t="s">
        <v>71</v>
      </c>
    </row>
    <row r="2229" customFormat="false" ht="15" hidden="false" customHeight="false" outlineLevel="0" collapsed="false">
      <c r="A2229" s="1" t="s">
        <v>7489</v>
      </c>
      <c r="B2229" s="1" t="s">
        <v>7490</v>
      </c>
      <c r="C2229" s="1" t="s">
        <v>2152</v>
      </c>
      <c r="D2229" s="1" t="s">
        <v>7486</v>
      </c>
      <c r="E2229" s="1" t="s">
        <v>61</v>
      </c>
      <c r="F2229" s="1" t="s">
        <v>101</v>
      </c>
      <c r="G2229" s="1" t="s">
        <v>275</v>
      </c>
      <c r="H2229" s="1" t="s">
        <v>276</v>
      </c>
      <c r="K2229" s="1" t="s">
        <v>1479</v>
      </c>
      <c r="L2229" s="1" t="s">
        <v>1480</v>
      </c>
      <c r="M2229" s="1" t="s">
        <v>5708</v>
      </c>
      <c r="N2229" s="1" t="s">
        <v>1365</v>
      </c>
      <c r="O2229" s="1" t="s">
        <v>1366</v>
      </c>
      <c r="P2229" s="1" t="s">
        <v>4820</v>
      </c>
      <c r="U2229" s="1" t="s">
        <v>7489</v>
      </c>
      <c r="V2229" s="1" t="s">
        <v>7491</v>
      </c>
      <c r="Z2229" s="1" t="s">
        <v>71</v>
      </c>
      <c r="AE2229" s="1" t="s">
        <v>7488</v>
      </c>
      <c r="AH2229" s="1" t="s">
        <v>73</v>
      </c>
      <c r="AK2229" s="1" t="s">
        <v>71</v>
      </c>
      <c r="AM2229" s="1" t="s">
        <v>71</v>
      </c>
      <c r="AN2229" s="1" t="s">
        <v>71</v>
      </c>
      <c r="AS2229" s="1" t="s">
        <v>71</v>
      </c>
      <c r="AX2229" s="1" t="s">
        <v>71</v>
      </c>
      <c r="AY2229" s="1" t="s">
        <v>59</v>
      </c>
      <c r="AZ2229" s="1" t="s">
        <v>74</v>
      </c>
      <c r="BH2229" s="1" t="s">
        <v>71</v>
      </c>
    </row>
    <row r="2230" customFormat="false" ht="15" hidden="false" customHeight="false" outlineLevel="0" collapsed="false">
      <c r="A2230" s="1" t="s">
        <v>7492</v>
      </c>
      <c r="B2230" s="1" t="s">
        <v>7493</v>
      </c>
      <c r="C2230" s="1" t="s">
        <v>2152</v>
      </c>
      <c r="D2230" s="1" t="s">
        <v>7486</v>
      </c>
      <c r="E2230" s="1" t="s">
        <v>61</v>
      </c>
      <c r="F2230" s="1" t="s">
        <v>101</v>
      </c>
      <c r="G2230" s="1" t="s">
        <v>148</v>
      </c>
      <c r="H2230" s="1" t="s">
        <v>231</v>
      </c>
      <c r="K2230" s="1" t="s">
        <v>173</v>
      </c>
      <c r="L2230" s="1" t="s">
        <v>5690</v>
      </c>
      <c r="M2230" s="1" t="s">
        <v>5708</v>
      </c>
      <c r="N2230" s="1" t="s">
        <v>375</v>
      </c>
      <c r="O2230" s="1" t="s">
        <v>376</v>
      </c>
      <c r="P2230" s="1" t="s">
        <v>5536</v>
      </c>
      <c r="U2230" s="1" t="s">
        <v>7492</v>
      </c>
      <c r="V2230" s="1" t="s">
        <v>7487</v>
      </c>
      <c r="Z2230" s="1" t="s">
        <v>71</v>
      </c>
      <c r="AE2230" s="1" t="s">
        <v>7488</v>
      </c>
      <c r="AH2230" s="1" t="s">
        <v>73</v>
      </c>
      <c r="AK2230" s="1" t="s">
        <v>71</v>
      </c>
      <c r="AM2230" s="1" t="s">
        <v>71</v>
      </c>
      <c r="AN2230" s="1" t="s">
        <v>71</v>
      </c>
      <c r="AS2230" s="1" t="s">
        <v>71</v>
      </c>
      <c r="AX2230" s="1" t="s">
        <v>71</v>
      </c>
      <c r="AY2230" s="1" t="s">
        <v>59</v>
      </c>
      <c r="AZ2230" s="1" t="s">
        <v>74</v>
      </c>
      <c r="BH2230" s="1" t="s">
        <v>71</v>
      </c>
    </row>
    <row r="2231" customFormat="false" ht="15" hidden="false" customHeight="false" outlineLevel="0" collapsed="false">
      <c r="A2231" s="1" t="s">
        <v>7494</v>
      </c>
      <c r="B2231" s="1" t="s">
        <v>7495</v>
      </c>
      <c r="C2231" s="1" t="s">
        <v>2152</v>
      </c>
      <c r="D2231" s="1" t="s">
        <v>7486</v>
      </c>
      <c r="E2231" s="1" t="s">
        <v>61</v>
      </c>
      <c r="F2231" s="1" t="s">
        <v>101</v>
      </c>
      <c r="G2231" s="1" t="s">
        <v>93</v>
      </c>
      <c r="H2231" s="1" t="s">
        <v>64</v>
      </c>
      <c r="K2231" s="1" t="s">
        <v>582</v>
      </c>
      <c r="L2231" s="1" t="s">
        <v>4731</v>
      </c>
      <c r="M2231" s="1" t="s">
        <v>5708</v>
      </c>
      <c r="N2231" s="1" t="s">
        <v>5592</v>
      </c>
      <c r="O2231" s="1" t="s">
        <v>5593</v>
      </c>
      <c r="P2231" s="1" t="s">
        <v>5594</v>
      </c>
      <c r="U2231" s="1" t="s">
        <v>7494</v>
      </c>
      <c r="V2231" s="1" t="s">
        <v>7487</v>
      </c>
      <c r="Z2231" s="1" t="s">
        <v>71</v>
      </c>
      <c r="AE2231" s="1" t="s">
        <v>7488</v>
      </c>
      <c r="AH2231" s="1" t="s">
        <v>73</v>
      </c>
      <c r="AK2231" s="1" t="s">
        <v>71</v>
      </c>
      <c r="AM2231" s="1" t="s">
        <v>71</v>
      </c>
      <c r="AN2231" s="1" t="s">
        <v>71</v>
      </c>
      <c r="AS2231" s="1" t="s">
        <v>71</v>
      </c>
      <c r="AX2231" s="1" t="s">
        <v>71</v>
      </c>
      <c r="AY2231" s="1" t="s">
        <v>59</v>
      </c>
      <c r="AZ2231" s="1" t="s">
        <v>74</v>
      </c>
      <c r="BH2231" s="1" t="s">
        <v>71</v>
      </c>
    </row>
    <row r="2232" customFormat="false" ht="15" hidden="false" customHeight="false" outlineLevel="0" collapsed="false">
      <c r="A2232" s="1" t="s">
        <v>7496</v>
      </c>
      <c r="B2232" s="1" t="s">
        <v>7497</v>
      </c>
      <c r="C2232" s="1" t="s">
        <v>2152</v>
      </c>
      <c r="D2232" s="1" t="s">
        <v>7486</v>
      </c>
      <c r="E2232" s="1" t="s">
        <v>61</v>
      </c>
      <c r="F2232" s="1" t="s">
        <v>101</v>
      </c>
      <c r="G2232" s="1" t="s">
        <v>93</v>
      </c>
      <c r="H2232" s="1" t="s">
        <v>64</v>
      </c>
      <c r="K2232" s="1" t="s">
        <v>2190</v>
      </c>
      <c r="L2232" s="1" t="s">
        <v>5590</v>
      </c>
      <c r="M2232" s="1" t="s">
        <v>5708</v>
      </c>
      <c r="N2232" s="1" t="s">
        <v>5592</v>
      </c>
      <c r="O2232" s="1" t="s">
        <v>5593</v>
      </c>
      <c r="P2232" s="1" t="s">
        <v>5594</v>
      </c>
      <c r="U2232" s="1" t="s">
        <v>7496</v>
      </c>
      <c r="V2232" s="1" t="s">
        <v>7491</v>
      </c>
      <c r="Z2232" s="1" t="s">
        <v>71</v>
      </c>
      <c r="AE2232" s="1" t="s">
        <v>7488</v>
      </c>
      <c r="AH2232" s="1" t="s">
        <v>73</v>
      </c>
      <c r="AK2232" s="1" t="s">
        <v>71</v>
      </c>
      <c r="AM2232" s="1" t="s">
        <v>71</v>
      </c>
      <c r="AN2232" s="1" t="s">
        <v>71</v>
      </c>
      <c r="AS2232" s="1" t="s">
        <v>71</v>
      </c>
      <c r="AX2232" s="1" t="s">
        <v>71</v>
      </c>
      <c r="AY2232" s="1" t="s">
        <v>59</v>
      </c>
      <c r="AZ2232" s="1" t="s">
        <v>74</v>
      </c>
      <c r="BH2232" s="1" t="s">
        <v>71</v>
      </c>
    </row>
    <row r="2233" customFormat="false" ht="15" hidden="false" customHeight="false" outlineLevel="0" collapsed="false">
      <c r="A2233" s="1" t="s">
        <v>7498</v>
      </c>
      <c r="B2233" s="1" t="s">
        <v>7499</v>
      </c>
      <c r="C2233" s="1" t="s">
        <v>1399</v>
      </c>
      <c r="D2233" s="1" t="s">
        <v>1400</v>
      </c>
      <c r="E2233" s="1" t="s">
        <v>82</v>
      </c>
      <c r="F2233" s="1" t="s">
        <v>391</v>
      </c>
      <c r="G2233" s="1" t="s">
        <v>97</v>
      </c>
      <c r="H2233" s="1" t="s">
        <v>406</v>
      </c>
      <c r="K2233" s="1" t="s">
        <v>65</v>
      </c>
      <c r="L2233" s="1" t="s">
        <v>860</v>
      </c>
      <c r="M2233" s="1" t="s">
        <v>496</v>
      </c>
      <c r="N2233" s="1" t="s">
        <v>7500</v>
      </c>
      <c r="O2233" s="1" t="s">
        <v>7501</v>
      </c>
      <c r="P2233" s="1" t="s">
        <v>7502</v>
      </c>
      <c r="U2233" s="1" t="s">
        <v>7498</v>
      </c>
      <c r="Z2233" s="1" t="s">
        <v>71</v>
      </c>
      <c r="AE2233" s="1" t="s">
        <v>7503</v>
      </c>
      <c r="AH2233" s="1" t="s">
        <v>73</v>
      </c>
      <c r="AK2233" s="1" t="s">
        <v>71</v>
      </c>
      <c r="AM2233" s="1" t="s">
        <v>71</v>
      </c>
      <c r="AN2233" s="1" t="s">
        <v>71</v>
      </c>
      <c r="AS2233" s="1" t="s">
        <v>71</v>
      </c>
      <c r="AX2233" s="1" t="s">
        <v>71</v>
      </c>
      <c r="BH2233" s="1" t="s">
        <v>71</v>
      </c>
    </row>
    <row r="2234" customFormat="false" ht="15" hidden="false" customHeight="false" outlineLevel="0" collapsed="false">
      <c r="A2234" s="1" t="s">
        <v>7504</v>
      </c>
      <c r="B2234" s="1" t="s">
        <v>7505</v>
      </c>
      <c r="C2234" s="1" t="s">
        <v>182</v>
      </c>
      <c r="D2234" s="1" t="s">
        <v>239</v>
      </c>
      <c r="E2234" s="1" t="s">
        <v>65</v>
      </c>
      <c r="F2234" s="1" t="s">
        <v>119</v>
      </c>
      <c r="G2234" s="1" t="s">
        <v>88</v>
      </c>
      <c r="H2234" s="1" t="s">
        <v>255</v>
      </c>
      <c r="K2234" s="1" t="s">
        <v>1596</v>
      </c>
      <c r="L2234" s="1" t="s">
        <v>1597</v>
      </c>
      <c r="M2234" s="1" t="s">
        <v>7506</v>
      </c>
      <c r="N2234" s="1" t="s">
        <v>7098</v>
      </c>
      <c r="O2234" s="1" t="s">
        <v>7099</v>
      </c>
      <c r="P2234" s="1" t="s">
        <v>7100</v>
      </c>
      <c r="U2234" s="1" t="s">
        <v>245</v>
      </c>
      <c r="Z2234" s="1" t="s">
        <v>71</v>
      </c>
      <c r="AE2234" s="1" t="s">
        <v>7507</v>
      </c>
      <c r="AH2234" s="1" t="s">
        <v>73</v>
      </c>
      <c r="AK2234" s="1" t="s">
        <v>71</v>
      </c>
      <c r="AM2234" s="1" t="s">
        <v>71</v>
      </c>
      <c r="AN2234" s="1" t="s">
        <v>71</v>
      </c>
      <c r="AS2234" s="1" t="s">
        <v>71</v>
      </c>
      <c r="AX2234" s="1" t="s">
        <v>71</v>
      </c>
      <c r="AY2234" s="1" t="s">
        <v>59</v>
      </c>
      <c r="AZ2234" s="1" t="s">
        <v>74</v>
      </c>
      <c r="BH2234" s="1" t="s">
        <v>71</v>
      </c>
    </row>
    <row r="2235" customFormat="false" ht="15" hidden="false" customHeight="false" outlineLevel="0" collapsed="false">
      <c r="A2235" s="1" t="s">
        <v>7508</v>
      </c>
      <c r="B2235" s="1" t="s">
        <v>7509</v>
      </c>
      <c r="C2235" s="1" t="s">
        <v>2146</v>
      </c>
      <c r="D2235" s="1" t="s">
        <v>7457</v>
      </c>
      <c r="E2235" s="1" t="s">
        <v>61</v>
      </c>
      <c r="F2235" s="1" t="s">
        <v>101</v>
      </c>
      <c r="G2235" s="1" t="s">
        <v>93</v>
      </c>
      <c r="H2235" s="1" t="s">
        <v>64</v>
      </c>
      <c r="K2235" s="1" t="s">
        <v>251</v>
      </c>
      <c r="L2235" s="1" t="s">
        <v>1084</v>
      </c>
      <c r="M2235" s="1" t="s">
        <v>104</v>
      </c>
      <c r="N2235" s="1" t="s">
        <v>123</v>
      </c>
      <c r="O2235" s="1" t="s">
        <v>124</v>
      </c>
      <c r="P2235" s="1" t="s">
        <v>4161</v>
      </c>
      <c r="U2235" s="1" t="s">
        <v>7508</v>
      </c>
      <c r="Z2235" s="1" t="s">
        <v>71</v>
      </c>
      <c r="AE2235" s="1" t="s">
        <v>7510</v>
      </c>
      <c r="AH2235" s="1" t="s">
        <v>73</v>
      </c>
      <c r="AK2235" s="1" t="s">
        <v>71</v>
      </c>
      <c r="AM2235" s="1" t="s">
        <v>71</v>
      </c>
      <c r="AN2235" s="1" t="s">
        <v>71</v>
      </c>
      <c r="AS2235" s="1" t="s">
        <v>71</v>
      </c>
      <c r="AX2235" s="1" t="s">
        <v>71</v>
      </c>
      <c r="AY2235" s="1" t="s">
        <v>59</v>
      </c>
      <c r="AZ2235" s="1" t="s">
        <v>74</v>
      </c>
      <c r="BH2235" s="1" t="s">
        <v>71</v>
      </c>
    </row>
    <row r="2236" customFormat="false" ht="15" hidden="false" customHeight="false" outlineLevel="0" collapsed="false">
      <c r="A2236" s="1" t="s">
        <v>7511</v>
      </c>
      <c r="B2236" s="1" t="s">
        <v>7512</v>
      </c>
      <c r="C2236" s="1" t="s">
        <v>1855</v>
      </c>
      <c r="D2236" s="1" t="s">
        <v>6651</v>
      </c>
      <c r="E2236" s="1" t="s">
        <v>61</v>
      </c>
      <c r="F2236" s="1" t="s">
        <v>101</v>
      </c>
      <c r="G2236" s="1" t="s">
        <v>1772</v>
      </c>
      <c r="H2236" s="1" t="s">
        <v>6148</v>
      </c>
      <c r="K2236" s="1" t="s">
        <v>275</v>
      </c>
      <c r="L2236" s="1" t="s">
        <v>6652</v>
      </c>
      <c r="M2236" s="1" t="s">
        <v>258</v>
      </c>
      <c r="N2236" s="1" t="s">
        <v>6653</v>
      </c>
      <c r="O2236" s="1" t="s">
        <v>6654</v>
      </c>
      <c r="P2236" s="1" t="s">
        <v>6655</v>
      </c>
      <c r="U2236" s="1" t="s">
        <v>7511</v>
      </c>
      <c r="Z2236" s="1" t="s">
        <v>71</v>
      </c>
      <c r="AE2236" s="1" t="s">
        <v>7510</v>
      </c>
      <c r="AH2236" s="1" t="s">
        <v>73</v>
      </c>
      <c r="AK2236" s="1" t="s">
        <v>71</v>
      </c>
      <c r="AM2236" s="1" t="s">
        <v>71</v>
      </c>
      <c r="AN2236" s="1" t="s">
        <v>71</v>
      </c>
      <c r="AS2236" s="1" t="s">
        <v>71</v>
      </c>
      <c r="AX2236" s="1" t="s">
        <v>71</v>
      </c>
      <c r="AY2236" s="1" t="s">
        <v>59</v>
      </c>
      <c r="AZ2236" s="1" t="s">
        <v>74</v>
      </c>
      <c r="BH2236" s="1" t="s">
        <v>71</v>
      </c>
    </row>
    <row r="2237" customFormat="false" ht="15" hidden="false" customHeight="false" outlineLevel="0" collapsed="false">
      <c r="A2237" s="1" t="s">
        <v>7513</v>
      </c>
      <c r="B2237" s="1" t="s">
        <v>7514</v>
      </c>
      <c r="C2237" s="1" t="s">
        <v>1855</v>
      </c>
      <c r="D2237" s="1" t="s">
        <v>6651</v>
      </c>
      <c r="E2237" s="1" t="s">
        <v>61</v>
      </c>
      <c r="F2237" s="1" t="s">
        <v>101</v>
      </c>
      <c r="G2237" s="1" t="s">
        <v>1772</v>
      </c>
      <c r="H2237" s="1" t="s">
        <v>6148</v>
      </c>
      <c r="K2237" s="1" t="s">
        <v>275</v>
      </c>
      <c r="L2237" s="1" t="s">
        <v>6652</v>
      </c>
      <c r="M2237" s="1" t="s">
        <v>258</v>
      </c>
      <c r="N2237" s="1" t="s">
        <v>6659</v>
      </c>
      <c r="O2237" s="1" t="s">
        <v>6660</v>
      </c>
      <c r="P2237" s="1" t="s">
        <v>6661</v>
      </c>
      <c r="U2237" s="1" t="s">
        <v>7513</v>
      </c>
      <c r="Z2237" s="1" t="s">
        <v>71</v>
      </c>
      <c r="AE2237" s="1" t="s">
        <v>7510</v>
      </c>
      <c r="AH2237" s="1" t="s">
        <v>73</v>
      </c>
      <c r="AK2237" s="1" t="s">
        <v>71</v>
      </c>
      <c r="AM2237" s="1" t="s">
        <v>71</v>
      </c>
      <c r="AN2237" s="1" t="s">
        <v>71</v>
      </c>
      <c r="AS2237" s="1" t="s">
        <v>71</v>
      </c>
      <c r="AX2237" s="1" t="s">
        <v>71</v>
      </c>
      <c r="AY2237" s="1" t="s">
        <v>59</v>
      </c>
      <c r="AZ2237" s="1" t="s">
        <v>74</v>
      </c>
      <c r="BH2237" s="1" t="s">
        <v>71</v>
      </c>
    </row>
    <row r="2238" customFormat="false" ht="15" hidden="false" customHeight="false" outlineLevel="0" collapsed="false">
      <c r="A2238" s="1" t="s">
        <v>7515</v>
      </c>
      <c r="B2238" s="1" t="s">
        <v>7516</v>
      </c>
      <c r="C2238" s="1" t="s">
        <v>1855</v>
      </c>
      <c r="D2238" s="1" t="s">
        <v>6651</v>
      </c>
      <c r="E2238" s="1" t="s">
        <v>61</v>
      </c>
      <c r="F2238" s="1" t="s">
        <v>101</v>
      </c>
      <c r="G2238" s="1" t="s">
        <v>1772</v>
      </c>
      <c r="H2238" s="1" t="s">
        <v>6148</v>
      </c>
      <c r="K2238" s="1" t="s">
        <v>275</v>
      </c>
      <c r="L2238" s="1" t="s">
        <v>6652</v>
      </c>
      <c r="M2238" s="1" t="s">
        <v>258</v>
      </c>
      <c r="N2238" s="1" t="s">
        <v>6666</v>
      </c>
      <c r="O2238" s="1" t="s">
        <v>6667</v>
      </c>
      <c r="P2238" s="1" t="s">
        <v>6668</v>
      </c>
      <c r="S2238" s="1" t="s">
        <v>229</v>
      </c>
      <c r="U2238" s="1" t="s">
        <v>7515</v>
      </c>
      <c r="Z2238" s="1" t="s">
        <v>71</v>
      </c>
      <c r="AE2238" s="1" t="s">
        <v>7510</v>
      </c>
      <c r="AH2238" s="1" t="s">
        <v>73</v>
      </c>
      <c r="AK2238" s="1" t="s">
        <v>71</v>
      </c>
      <c r="AM2238" s="1" t="s">
        <v>71</v>
      </c>
      <c r="AN2238" s="1" t="s">
        <v>71</v>
      </c>
      <c r="AS2238" s="1" t="s">
        <v>71</v>
      </c>
      <c r="AX2238" s="1" t="s">
        <v>71</v>
      </c>
      <c r="AY2238" s="1" t="s">
        <v>59</v>
      </c>
      <c r="AZ2238" s="1" t="s">
        <v>74</v>
      </c>
      <c r="BH2238" s="1" t="s">
        <v>71</v>
      </c>
    </row>
    <row r="2239" customFormat="false" ht="15" hidden="false" customHeight="false" outlineLevel="0" collapsed="false">
      <c r="A2239" s="1" t="s">
        <v>7517</v>
      </c>
      <c r="B2239" s="1" t="s">
        <v>7518</v>
      </c>
      <c r="C2239" s="1" t="s">
        <v>2175</v>
      </c>
      <c r="D2239" s="1" t="s">
        <v>7519</v>
      </c>
      <c r="E2239" s="1" t="s">
        <v>65</v>
      </c>
      <c r="F2239" s="1" t="s">
        <v>119</v>
      </c>
      <c r="G2239" s="1" t="s">
        <v>88</v>
      </c>
      <c r="H2239" s="1" t="s">
        <v>255</v>
      </c>
      <c r="K2239" s="1" t="s">
        <v>256</v>
      </c>
      <c r="L2239" s="1" t="s">
        <v>257</v>
      </c>
      <c r="M2239" s="1" t="s">
        <v>278</v>
      </c>
      <c r="N2239" s="1" t="s">
        <v>259</v>
      </c>
      <c r="O2239" s="1" t="s">
        <v>260</v>
      </c>
      <c r="P2239" s="1" t="s">
        <v>3768</v>
      </c>
      <c r="U2239" s="1" t="s">
        <v>7517</v>
      </c>
      <c r="V2239" s="1" t="s">
        <v>7520</v>
      </c>
      <c r="Z2239" s="1" t="s">
        <v>71</v>
      </c>
      <c r="AE2239" s="1" t="s">
        <v>7521</v>
      </c>
      <c r="AH2239" s="1" t="s">
        <v>73</v>
      </c>
      <c r="AK2239" s="1" t="s">
        <v>71</v>
      </c>
      <c r="AM2239" s="1" t="s">
        <v>71</v>
      </c>
      <c r="AN2239" s="1" t="s">
        <v>71</v>
      </c>
      <c r="AS2239" s="1" t="s">
        <v>71</v>
      </c>
      <c r="AX2239" s="1" t="s">
        <v>71</v>
      </c>
      <c r="AY2239" s="1" t="s">
        <v>59</v>
      </c>
      <c r="AZ2239" s="1" t="s">
        <v>74</v>
      </c>
      <c r="BH2239" s="1" t="s">
        <v>71</v>
      </c>
    </row>
    <row r="2240" customFormat="false" ht="15" hidden="false" customHeight="false" outlineLevel="0" collapsed="false">
      <c r="A2240" s="1" t="s">
        <v>7522</v>
      </c>
      <c r="B2240" s="1" t="s">
        <v>7523</v>
      </c>
      <c r="C2240" s="1" t="s">
        <v>2175</v>
      </c>
      <c r="D2240" s="1" t="s">
        <v>7519</v>
      </c>
      <c r="E2240" s="1" t="s">
        <v>65</v>
      </c>
      <c r="F2240" s="1" t="s">
        <v>119</v>
      </c>
      <c r="G2240" s="1" t="s">
        <v>88</v>
      </c>
      <c r="H2240" s="1" t="s">
        <v>255</v>
      </c>
      <c r="K2240" s="1" t="s">
        <v>256</v>
      </c>
      <c r="L2240" s="1" t="s">
        <v>257</v>
      </c>
      <c r="M2240" s="1" t="s">
        <v>278</v>
      </c>
      <c r="N2240" s="1" t="s">
        <v>259</v>
      </c>
      <c r="O2240" s="1" t="s">
        <v>260</v>
      </c>
      <c r="P2240" s="1" t="s">
        <v>3768</v>
      </c>
      <c r="U2240" s="1" t="s">
        <v>7520</v>
      </c>
      <c r="Z2240" s="1" t="s">
        <v>71</v>
      </c>
      <c r="AE2240" s="1" t="s">
        <v>7521</v>
      </c>
      <c r="AH2240" s="1" t="s">
        <v>73</v>
      </c>
      <c r="AK2240" s="1" t="s">
        <v>71</v>
      </c>
      <c r="AM2240" s="1" t="s">
        <v>71</v>
      </c>
      <c r="AN2240" s="1" t="s">
        <v>71</v>
      </c>
      <c r="AS2240" s="1" t="s">
        <v>71</v>
      </c>
      <c r="AX2240" s="1" t="s">
        <v>71</v>
      </c>
      <c r="AY2240" s="1" t="s">
        <v>59</v>
      </c>
      <c r="AZ2240" s="1" t="s">
        <v>74</v>
      </c>
      <c r="BH2240" s="1" t="s">
        <v>71</v>
      </c>
    </row>
    <row r="2241" customFormat="false" ht="15" hidden="false" customHeight="false" outlineLevel="0" collapsed="false">
      <c r="A2241" s="1" t="s">
        <v>7524</v>
      </c>
      <c r="B2241" s="1" t="s">
        <v>7525</v>
      </c>
      <c r="C2241" s="1" t="s">
        <v>1736</v>
      </c>
      <c r="D2241" s="1" t="s">
        <v>4953</v>
      </c>
      <c r="E2241" s="1" t="s">
        <v>61</v>
      </c>
      <c r="F2241" s="1" t="s">
        <v>101</v>
      </c>
      <c r="G2241" s="1" t="s">
        <v>93</v>
      </c>
      <c r="H2241" s="1" t="s">
        <v>64</v>
      </c>
      <c r="K2241" s="1" t="s">
        <v>126</v>
      </c>
      <c r="L2241" s="1" t="s">
        <v>335</v>
      </c>
      <c r="M2241" s="1" t="s">
        <v>1555</v>
      </c>
      <c r="N2241" s="1" t="s">
        <v>105</v>
      </c>
      <c r="O2241" s="1" t="s">
        <v>106</v>
      </c>
      <c r="P2241" s="1" t="s">
        <v>3539</v>
      </c>
      <c r="U2241" s="1" t="s">
        <v>7526</v>
      </c>
      <c r="Z2241" s="1" t="s">
        <v>71</v>
      </c>
      <c r="AE2241" s="1" t="s">
        <v>7521</v>
      </c>
      <c r="AH2241" s="1" t="s">
        <v>73</v>
      </c>
      <c r="AK2241" s="1" t="s">
        <v>71</v>
      </c>
      <c r="AM2241" s="1" t="s">
        <v>71</v>
      </c>
      <c r="AN2241" s="1" t="s">
        <v>71</v>
      </c>
      <c r="AS2241" s="1" t="s">
        <v>71</v>
      </c>
      <c r="AX2241" s="1" t="s">
        <v>71</v>
      </c>
      <c r="AY2241" s="1" t="s">
        <v>59</v>
      </c>
      <c r="AZ2241" s="1" t="s">
        <v>74</v>
      </c>
      <c r="BH2241" s="1" t="s">
        <v>71</v>
      </c>
    </row>
    <row r="2242" customFormat="false" ht="15" hidden="false" customHeight="false" outlineLevel="0" collapsed="false">
      <c r="A2242" s="1" t="s">
        <v>7527</v>
      </c>
      <c r="B2242" s="1" t="s">
        <v>7528</v>
      </c>
      <c r="C2242" s="1" t="s">
        <v>1736</v>
      </c>
      <c r="D2242" s="1" t="s">
        <v>4953</v>
      </c>
      <c r="E2242" s="1" t="s">
        <v>61</v>
      </c>
      <c r="F2242" s="1" t="s">
        <v>101</v>
      </c>
      <c r="G2242" s="1" t="s">
        <v>93</v>
      </c>
      <c r="H2242" s="1" t="s">
        <v>64</v>
      </c>
      <c r="K2242" s="1" t="s">
        <v>126</v>
      </c>
      <c r="L2242" s="1" t="s">
        <v>335</v>
      </c>
      <c r="M2242" s="1" t="s">
        <v>310</v>
      </c>
      <c r="N2242" s="1" t="s">
        <v>105</v>
      </c>
      <c r="O2242" s="1" t="s">
        <v>106</v>
      </c>
      <c r="P2242" s="1" t="s">
        <v>3539</v>
      </c>
      <c r="U2242" s="1" t="s">
        <v>7527</v>
      </c>
      <c r="Z2242" s="1" t="s">
        <v>71</v>
      </c>
      <c r="AE2242" s="1" t="s">
        <v>7521</v>
      </c>
      <c r="AH2242" s="1" t="s">
        <v>73</v>
      </c>
      <c r="AK2242" s="1" t="s">
        <v>71</v>
      </c>
      <c r="AM2242" s="1" t="s">
        <v>71</v>
      </c>
      <c r="AN2242" s="1" t="s">
        <v>71</v>
      </c>
      <c r="AS2242" s="1" t="s">
        <v>71</v>
      </c>
      <c r="AX2242" s="1" t="s">
        <v>71</v>
      </c>
      <c r="AY2242" s="1" t="s">
        <v>59</v>
      </c>
      <c r="AZ2242" s="1" t="s">
        <v>74</v>
      </c>
      <c r="BH2242" s="1" t="s">
        <v>71</v>
      </c>
    </row>
    <row r="2243" customFormat="false" ht="15" hidden="false" customHeight="false" outlineLevel="0" collapsed="false">
      <c r="A2243" s="1" t="s">
        <v>7529</v>
      </c>
      <c r="B2243" s="1" t="s">
        <v>7530</v>
      </c>
      <c r="C2243" s="1" t="s">
        <v>110</v>
      </c>
      <c r="D2243" s="1" t="s">
        <v>111</v>
      </c>
      <c r="E2243" s="1" t="s">
        <v>61</v>
      </c>
      <c r="F2243" s="1" t="s">
        <v>101</v>
      </c>
      <c r="G2243" s="1" t="s">
        <v>93</v>
      </c>
      <c r="H2243" s="1" t="s">
        <v>64</v>
      </c>
      <c r="K2243" s="1" t="s">
        <v>229</v>
      </c>
      <c r="L2243" s="1" t="s">
        <v>605</v>
      </c>
      <c r="M2243" s="1" t="s">
        <v>122</v>
      </c>
      <c r="N2243" s="1" t="s">
        <v>105</v>
      </c>
      <c r="O2243" s="1" t="s">
        <v>106</v>
      </c>
      <c r="P2243" s="1" t="s">
        <v>3539</v>
      </c>
      <c r="U2243" s="1" t="s">
        <v>7529</v>
      </c>
      <c r="Z2243" s="1" t="s">
        <v>71</v>
      </c>
      <c r="AE2243" s="1" t="s">
        <v>7531</v>
      </c>
      <c r="AH2243" s="1" t="s">
        <v>73</v>
      </c>
      <c r="AK2243" s="1" t="s">
        <v>71</v>
      </c>
      <c r="AM2243" s="1" t="s">
        <v>71</v>
      </c>
      <c r="AN2243" s="1" t="s">
        <v>71</v>
      </c>
      <c r="AS2243" s="1" t="s">
        <v>71</v>
      </c>
      <c r="AX2243" s="1" t="s">
        <v>71</v>
      </c>
      <c r="AY2243" s="1" t="s">
        <v>59</v>
      </c>
      <c r="AZ2243" s="1" t="s">
        <v>74</v>
      </c>
      <c r="BH2243" s="1" t="s">
        <v>71</v>
      </c>
    </row>
    <row r="2244" customFormat="false" ht="15" hidden="false" customHeight="false" outlineLevel="0" collapsed="false">
      <c r="A2244" s="1" t="s">
        <v>7532</v>
      </c>
      <c r="B2244" s="1" t="s">
        <v>7452</v>
      </c>
      <c r="C2244" s="1" t="s">
        <v>6797</v>
      </c>
      <c r="D2244" s="1" t="s">
        <v>7533</v>
      </c>
      <c r="E2244" s="1" t="s">
        <v>59</v>
      </c>
      <c r="F2244" s="1" t="s">
        <v>63</v>
      </c>
      <c r="G2244" s="1" t="s">
        <v>59</v>
      </c>
      <c r="H2244" s="1" t="s">
        <v>64</v>
      </c>
      <c r="K2244" s="1" t="s">
        <v>65</v>
      </c>
      <c r="L2244" s="1" t="s">
        <v>66</v>
      </c>
      <c r="M2244" s="1" t="s">
        <v>382</v>
      </c>
      <c r="N2244" s="1" t="s">
        <v>68</v>
      </c>
      <c r="O2244" s="1" t="s">
        <v>69</v>
      </c>
      <c r="P2244" s="1" t="s">
        <v>4942</v>
      </c>
      <c r="U2244" s="1" t="s">
        <v>7532</v>
      </c>
      <c r="Z2244" s="1" t="s">
        <v>71</v>
      </c>
      <c r="AE2244" s="1" t="s">
        <v>7531</v>
      </c>
      <c r="AH2244" s="1" t="s">
        <v>73</v>
      </c>
      <c r="AK2244" s="1" t="s">
        <v>71</v>
      </c>
      <c r="AM2244" s="1" t="s">
        <v>71</v>
      </c>
      <c r="AN2244" s="1" t="s">
        <v>71</v>
      </c>
      <c r="AS2244" s="1" t="s">
        <v>71</v>
      </c>
      <c r="AX2244" s="1" t="s">
        <v>71</v>
      </c>
      <c r="AY2244" s="1" t="s">
        <v>59</v>
      </c>
      <c r="AZ2244" s="1" t="s">
        <v>74</v>
      </c>
      <c r="BH2244" s="1" t="s">
        <v>71</v>
      </c>
    </row>
    <row r="2245" customFormat="false" ht="15" hidden="false" customHeight="false" outlineLevel="0" collapsed="false">
      <c r="A2245" s="1" t="s">
        <v>7534</v>
      </c>
      <c r="B2245" s="1" t="s">
        <v>7535</v>
      </c>
      <c r="C2245" s="1" t="s">
        <v>163</v>
      </c>
      <c r="D2245" s="1" t="s">
        <v>267</v>
      </c>
      <c r="E2245" s="1" t="s">
        <v>61</v>
      </c>
      <c r="F2245" s="1" t="s">
        <v>101</v>
      </c>
      <c r="G2245" s="1" t="s">
        <v>148</v>
      </c>
      <c r="H2245" s="1" t="s">
        <v>231</v>
      </c>
      <c r="K2245" s="1" t="s">
        <v>144</v>
      </c>
      <c r="L2245" s="1" t="s">
        <v>1654</v>
      </c>
      <c r="M2245" s="1" t="s">
        <v>7536</v>
      </c>
      <c r="N2245" s="1" t="s">
        <v>85</v>
      </c>
      <c r="O2245" s="1" t="s">
        <v>86</v>
      </c>
      <c r="P2245" s="1" t="s">
        <v>6612</v>
      </c>
      <c r="U2245" s="1" t="s">
        <v>7537</v>
      </c>
      <c r="Z2245" s="1" t="s">
        <v>71</v>
      </c>
      <c r="AE2245" s="1" t="s">
        <v>7538</v>
      </c>
      <c r="AH2245" s="1" t="s">
        <v>73</v>
      </c>
      <c r="AK2245" s="1" t="s">
        <v>71</v>
      </c>
      <c r="AM2245" s="1" t="s">
        <v>71</v>
      </c>
      <c r="AN2245" s="1" t="s">
        <v>71</v>
      </c>
      <c r="AS2245" s="1" t="s">
        <v>71</v>
      </c>
      <c r="AX2245" s="1" t="s">
        <v>71</v>
      </c>
      <c r="AY2245" s="1" t="s">
        <v>59</v>
      </c>
      <c r="AZ2245" s="1" t="s">
        <v>74</v>
      </c>
      <c r="BH2245" s="1" t="s">
        <v>71</v>
      </c>
    </row>
    <row r="2246" customFormat="false" ht="15" hidden="false" customHeight="false" outlineLevel="0" collapsed="false">
      <c r="A2246" s="1" t="s">
        <v>7539</v>
      </c>
      <c r="B2246" s="1" t="s">
        <v>7540</v>
      </c>
      <c r="C2246" s="1" t="s">
        <v>110</v>
      </c>
      <c r="D2246" s="1" t="s">
        <v>111</v>
      </c>
      <c r="E2246" s="1" t="s">
        <v>61</v>
      </c>
      <c r="F2246" s="1" t="s">
        <v>101</v>
      </c>
      <c r="G2246" s="1" t="s">
        <v>93</v>
      </c>
      <c r="H2246" s="1" t="s">
        <v>64</v>
      </c>
      <c r="K2246" s="1" t="s">
        <v>206</v>
      </c>
      <c r="L2246" s="1" t="s">
        <v>1558</v>
      </c>
      <c r="M2246" s="1" t="s">
        <v>2555</v>
      </c>
      <c r="N2246" s="1" t="s">
        <v>105</v>
      </c>
      <c r="O2246" s="1" t="s">
        <v>106</v>
      </c>
      <c r="P2246" s="1" t="s">
        <v>3539</v>
      </c>
      <c r="U2246" s="1" t="s">
        <v>7539</v>
      </c>
      <c r="Z2246" s="1" t="s">
        <v>71</v>
      </c>
      <c r="AE2246" s="1" t="s">
        <v>7541</v>
      </c>
      <c r="AH2246" s="1" t="s">
        <v>73</v>
      </c>
      <c r="AK2246" s="1" t="s">
        <v>71</v>
      </c>
      <c r="AM2246" s="1" t="s">
        <v>71</v>
      </c>
      <c r="AN2246" s="1" t="s">
        <v>71</v>
      </c>
      <c r="AS2246" s="1" t="s">
        <v>71</v>
      </c>
      <c r="AX2246" s="1" t="s">
        <v>71</v>
      </c>
      <c r="AY2246" s="1" t="s">
        <v>59</v>
      </c>
      <c r="AZ2246" s="1" t="s">
        <v>74</v>
      </c>
      <c r="BH2246" s="1" t="s">
        <v>71</v>
      </c>
    </row>
    <row r="2247" customFormat="false" ht="15" hidden="false" customHeight="false" outlineLevel="0" collapsed="false">
      <c r="A2247" s="1" t="s">
        <v>7542</v>
      </c>
      <c r="B2247" s="1" t="s">
        <v>7543</v>
      </c>
      <c r="C2247" s="1" t="s">
        <v>110</v>
      </c>
      <c r="D2247" s="1" t="s">
        <v>111</v>
      </c>
      <c r="E2247" s="1" t="s">
        <v>61</v>
      </c>
      <c r="F2247" s="1" t="s">
        <v>101</v>
      </c>
      <c r="G2247" s="1" t="s">
        <v>93</v>
      </c>
      <c r="H2247" s="1" t="s">
        <v>64</v>
      </c>
      <c r="K2247" s="1" t="s">
        <v>206</v>
      </c>
      <c r="L2247" s="1" t="s">
        <v>1558</v>
      </c>
      <c r="M2247" s="1" t="s">
        <v>104</v>
      </c>
      <c r="N2247" s="1" t="s">
        <v>105</v>
      </c>
      <c r="O2247" s="1" t="s">
        <v>106</v>
      </c>
      <c r="P2247" s="1" t="s">
        <v>3539</v>
      </c>
      <c r="U2247" s="1" t="s">
        <v>7542</v>
      </c>
      <c r="Z2247" s="1" t="s">
        <v>71</v>
      </c>
      <c r="AE2247" s="1" t="s">
        <v>7541</v>
      </c>
      <c r="AH2247" s="1" t="s">
        <v>73</v>
      </c>
      <c r="AK2247" s="1" t="s">
        <v>71</v>
      </c>
      <c r="AM2247" s="1" t="s">
        <v>71</v>
      </c>
      <c r="AN2247" s="1" t="s">
        <v>71</v>
      </c>
      <c r="AS2247" s="1" t="s">
        <v>71</v>
      </c>
      <c r="AX2247" s="1" t="s">
        <v>71</v>
      </c>
      <c r="AY2247" s="1" t="s">
        <v>59</v>
      </c>
      <c r="AZ2247" s="1" t="s">
        <v>74</v>
      </c>
      <c r="BH2247" s="1" t="s">
        <v>71</v>
      </c>
    </row>
    <row r="2248" customFormat="false" ht="15" hidden="false" customHeight="false" outlineLevel="0" collapsed="false">
      <c r="A2248" s="1" t="s">
        <v>7544</v>
      </c>
      <c r="B2248" s="1" t="s">
        <v>7545</v>
      </c>
      <c r="C2248" s="1" t="s">
        <v>2090</v>
      </c>
      <c r="D2248" s="1" t="s">
        <v>7238</v>
      </c>
      <c r="E2248" s="1" t="s">
        <v>61</v>
      </c>
      <c r="F2248" s="1" t="s">
        <v>101</v>
      </c>
      <c r="G2248" s="1" t="s">
        <v>93</v>
      </c>
      <c r="H2248" s="1" t="s">
        <v>64</v>
      </c>
      <c r="K2248" s="1" t="s">
        <v>1018</v>
      </c>
      <c r="L2248" s="1" t="s">
        <v>1019</v>
      </c>
      <c r="M2248" s="1" t="s">
        <v>7546</v>
      </c>
      <c r="N2248" s="1" t="s">
        <v>105</v>
      </c>
      <c r="O2248" s="1" t="s">
        <v>106</v>
      </c>
      <c r="P2248" s="1" t="s">
        <v>3539</v>
      </c>
      <c r="U2248" s="1" t="s">
        <v>7239</v>
      </c>
      <c r="Z2248" s="1" t="s">
        <v>71</v>
      </c>
      <c r="AE2248" s="1" t="s">
        <v>7547</v>
      </c>
      <c r="AH2248" s="1" t="s">
        <v>73</v>
      </c>
      <c r="AK2248" s="1" t="s">
        <v>71</v>
      </c>
      <c r="AM2248" s="1" t="s">
        <v>71</v>
      </c>
      <c r="AN2248" s="1" t="s">
        <v>71</v>
      </c>
      <c r="AS2248" s="1" t="s">
        <v>71</v>
      </c>
      <c r="AX2248" s="1" t="s">
        <v>71</v>
      </c>
      <c r="AY2248" s="1" t="s">
        <v>59</v>
      </c>
      <c r="AZ2248" s="1" t="s">
        <v>74</v>
      </c>
      <c r="BH2248" s="1" t="s">
        <v>71</v>
      </c>
    </row>
    <row r="2249" customFormat="false" ht="15" hidden="false" customHeight="false" outlineLevel="0" collapsed="false">
      <c r="A2249" s="1" t="s">
        <v>7548</v>
      </c>
      <c r="B2249" s="1" t="s">
        <v>7549</v>
      </c>
      <c r="C2249" s="1" t="s">
        <v>2090</v>
      </c>
      <c r="D2249" s="1" t="s">
        <v>7238</v>
      </c>
      <c r="E2249" s="1" t="s">
        <v>61</v>
      </c>
      <c r="F2249" s="1" t="s">
        <v>101</v>
      </c>
      <c r="G2249" s="1" t="s">
        <v>93</v>
      </c>
      <c r="H2249" s="1" t="s">
        <v>64</v>
      </c>
      <c r="K2249" s="1" t="s">
        <v>112</v>
      </c>
      <c r="L2249" s="1" t="s">
        <v>113</v>
      </c>
      <c r="M2249" s="1" t="s">
        <v>1555</v>
      </c>
      <c r="N2249" s="1" t="s">
        <v>105</v>
      </c>
      <c r="O2249" s="1" t="s">
        <v>106</v>
      </c>
      <c r="P2249" s="1" t="s">
        <v>3539</v>
      </c>
      <c r="U2249" s="1" t="s">
        <v>7239</v>
      </c>
      <c r="Z2249" s="1" t="s">
        <v>71</v>
      </c>
      <c r="AE2249" s="1" t="s">
        <v>7547</v>
      </c>
      <c r="AH2249" s="1" t="s">
        <v>73</v>
      </c>
      <c r="AK2249" s="1" t="s">
        <v>71</v>
      </c>
      <c r="AM2249" s="1" t="s">
        <v>71</v>
      </c>
      <c r="AN2249" s="1" t="s">
        <v>71</v>
      </c>
      <c r="AS2249" s="1" t="s">
        <v>71</v>
      </c>
      <c r="AX2249" s="1" t="s">
        <v>71</v>
      </c>
      <c r="AY2249" s="1" t="s">
        <v>59</v>
      </c>
      <c r="AZ2249" s="1" t="s">
        <v>74</v>
      </c>
      <c r="BH2249" s="1" t="s">
        <v>71</v>
      </c>
    </row>
    <row r="2250" customFormat="false" ht="15" hidden="false" customHeight="false" outlineLevel="0" collapsed="false">
      <c r="A2250" s="1" t="s">
        <v>7550</v>
      </c>
      <c r="B2250" s="1" t="s">
        <v>7551</v>
      </c>
      <c r="C2250" s="1" t="s">
        <v>2090</v>
      </c>
      <c r="D2250" s="1" t="s">
        <v>7238</v>
      </c>
      <c r="E2250" s="1" t="s">
        <v>61</v>
      </c>
      <c r="F2250" s="1" t="s">
        <v>101</v>
      </c>
      <c r="G2250" s="1" t="s">
        <v>1772</v>
      </c>
      <c r="H2250" s="1" t="s">
        <v>6148</v>
      </c>
      <c r="K2250" s="1" t="s">
        <v>275</v>
      </c>
      <c r="L2250" s="1" t="s">
        <v>6652</v>
      </c>
      <c r="M2250" s="1" t="s">
        <v>1589</v>
      </c>
      <c r="N2250" s="1" t="s">
        <v>6666</v>
      </c>
      <c r="O2250" s="1" t="s">
        <v>6667</v>
      </c>
      <c r="P2250" s="1" t="s">
        <v>6668</v>
      </c>
      <c r="S2250" s="1" t="s">
        <v>229</v>
      </c>
      <c r="U2250" s="1" t="s">
        <v>7550</v>
      </c>
      <c r="Z2250" s="1" t="s">
        <v>71</v>
      </c>
      <c r="AE2250" s="1" t="s">
        <v>7547</v>
      </c>
      <c r="AH2250" s="1" t="s">
        <v>73</v>
      </c>
      <c r="AK2250" s="1" t="s">
        <v>71</v>
      </c>
      <c r="AM2250" s="1" t="s">
        <v>71</v>
      </c>
      <c r="AN2250" s="1" t="s">
        <v>71</v>
      </c>
      <c r="AS2250" s="1" t="s">
        <v>71</v>
      </c>
      <c r="AX2250" s="1" t="s">
        <v>71</v>
      </c>
      <c r="AY2250" s="1" t="s">
        <v>59</v>
      </c>
      <c r="AZ2250" s="1" t="s">
        <v>74</v>
      </c>
      <c r="BH2250" s="1" t="s">
        <v>71</v>
      </c>
    </row>
    <row r="2251" customFormat="false" ht="15" hidden="false" customHeight="false" outlineLevel="0" collapsed="false">
      <c r="A2251" s="1" t="s">
        <v>7552</v>
      </c>
      <c r="B2251" s="1" t="s">
        <v>7553</v>
      </c>
      <c r="C2251" s="1" t="s">
        <v>2090</v>
      </c>
      <c r="D2251" s="1" t="s">
        <v>7238</v>
      </c>
      <c r="E2251" s="1" t="s">
        <v>61</v>
      </c>
      <c r="F2251" s="1" t="s">
        <v>101</v>
      </c>
      <c r="G2251" s="1" t="s">
        <v>93</v>
      </c>
      <c r="H2251" s="1" t="s">
        <v>64</v>
      </c>
      <c r="K2251" s="1" t="s">
        <v>126</v>
      </c>
      <c r="L2251" s="1" t="s">
        <v>335</v>
      </c>
      <c r="M2251" s="1" t="s">
        <v>1555</v>
      </c>
      <c r="N2251" s="1" t="s">
        <v>105</v>
      </c>
      <c r="O2251" s="1" t="s">
        <v>106</v>
      </c>
      <c r="P2251" s="1" t="s">
        <v>3539</v>
      </c>
      <c r="U2251" s="1" t="s">
        <v>7239</v>
      </c>
      <c r="Z2251" s="1" t="s">
        <v>71</v>
      </c>
      <c r="AE2251" s="1" t="s">
        <v>7547</v>
      </c>
      <c r="AH2251" s="1" t="s">
        <v>73</v>
      </c>
      <c r="AK2251" s="1" t="s">
        <v>71</v>
      </c>
      <c r="AM2251" s="1" t="s">
        <v>71</v>
      </c>
      <c r="AN2251" s="1" t="s">
        <v>71</v>
      </c>
      <c r="AS2251" s="1" t="s">
        <v>71</v>
      </c>
      <c r="AX2251" s="1" t="s">
        <v>71</v>
      </c>
      <c r="AY2251" s="1" t="s">
        <v>59</v>
      </c>
      <c r="AZ2251" s="1" t="s">
        <v>74</v>
      </c>
      <c r="BH2251" s="1" t="s">
        <v>71</v>
      </c>
    </row>
    <row r="2252" customFormat="false" ht="15" hidden="false" customHeight="false" outlineLevel="0" collapsed="false">
      <c r="A2252" s="1" t="s">
        <v>7554</v>
      </c>
      <c r="B2252" s="1" t="s">
        <v>7555</v>
      </c>
      <c r="C2252" s="1" t="s">
        <v>163</v>
      </c>
      <c r="D2252" s="1" t="s">
        <v>267</v>
      </c>
      <c r="E2252" s="1" t="s">
        <v>61</v>
      </c>
      <c r="F2252" s="1" t="s">
        <v>101</v>
      </c>
      <c r="G2252" s="1" t="s">
        <v>1772</v>
      </c>
      <c r="H2252" s="1" t="s">
        <v>6148</v>
      </c>
      <c r="K2252" s="1" t="s">
        <v>275</v>
      </c>
      <c r="L2252" s="1" t="s">
        <v>6652</v>
      </c>
      <c r="M2252" s="1" t="s">
        <v>1604</v>
      </c>
      <c r="N2252" s="1" t="s">
        <v>6676</v>
      </c>
      <c r="O2252" s="1" t="s">
        <v>6677</v>
      </c>
      <c r="P2252" s="1" t="s">
        <v>6678</v>
      </c>
      <c r="U2252" s="1" t="s">
        <v>7556</v>
      </c>
      <c r="Z2252" s="1" t="s">
        <v>71</v>
      </c>
      <c r="AE2252" s="1" t="s">
        <v>7557</v>
      </c>
      <c r="AH2252" s="1" t="s">
        <v>73</v>
      </c>
      <c r="AK2252" s="1" t="s">
        <v>71</v>
      </c>
      <c r="AM2252" s="1" t="s">
        <v>71</v>
      </c>
      <c r="AN2252" s="1" t="s">
        <v>71</v>
      </c>
      <c r="AS2252" s="1" t="s">
        <v>71</v>
      </c>
      <c r="AX2252" s="1" t="s">
        <v>71</v>
      </c>
      <c r="AY2252" s="1" t="s">
        <v>59</v>
      </c>
      <c r="AZ2252" s="1" t="s">
        <v>74</v>
      </c>
      <c r="BH2252" s="1" t="s">
        <v>71</v>
      </c>
    </row>
    <row r="2253" customFormat="false" ht="15" hidden="false" customHeight="false" outlineLevel="0" collapsed="false">
      <c r="A2253" s="1" t="s">
        <v>7558</v>
      </c>
      <c r="B2253" s="1" t="s">
        <v>7559</v>
      </c>
      <c r="C2253" s="1" t="s">
        <v>110</v>
      </c>
      <c r="D2253" s="1" t="s">
        <v>111</v>
      </c>
      <c r="E2253" s="1" t="s">
        <v>61</v>
      </c>
      <c r="F2253" s="1" t="s">
        <v>101</v>
      </c>
      <c r="G2253" s="1" t="s">
        <v>93</v>
      </c>
      <c r="H2253" s="1" t="s">
        <v>64</v>
      </c>
      <c r="K2253" s="1" t="s">
        <v>229</v>
      </c>
      <c r="L2253" s="1" t="s">
        <v>605</v>
      </c>
      <c r="M2253" s="1" t="s">
        <v>104</v>
      </c>
      <c r="N2253" s="1" t="s">
        <v>105</v>
      </c>
      <c r="O2253" s="1" t="s">
        <v>106</v>
      </c>
      <c r="P2253" s="1" t="s">
        <v>3539</v>
      </c>
      <c r="U2253" s="1" t="s">
        <v>7558</v>
      </c>
      <c r="Z2253" s="1" t="s">
        <v>71</v>
      </c>
      <c r="AE2253" s="1" t="s">
        <v>7557</v>
      </c>
      <c r="AH2253" s="1" t="s">
        <v>73</v>
      </c>
      <c r="AK2253" s="1" t="s">
        <v>71</v>
      </c>
      <c r="AM2253" s="1" t="s">
        <v>71</v>
      </c>
      <c r="AN2253" s="1" t="s">
        <v>71</v>
      </c>
      <c r="AS2253" s="1" t="s">
        <v>71</v>
      </c>
      <c r="AX2253" s="1" t="s">
        <v>71</v>
      </c>
      <c r="AY2253" s="1" t="s">
        <v>59</v>
      </c>
      <c r="AZ2253" s="1" t="s">
        <v>74</v>
      </c>
      <c r="BH2253" s="1" t="s">
        <v>71</v>
      </c>
    </row>
    <row r="2254" customFormat="false" ht="15" hidden="false" customHeight="false" outlineLevel="0" collapsed="false">
      <c r="A2254" s="1" t="s">
        <v>7560</v>
      </c>
      <c r="B2254" s="1" t="s">
        <v>7561</v>
      </c>
      <c r="C2254" s="1" t="s">
        <v>110</v>
      </c>
      <c r="D2254" s="1" t="s">
        <v>111</v>
      </c>
      <c r="E2254" s="1" t="s">
        <v>61</v>
      </c>
      <c r="F2254" s="1" t="s">
        <v>101</v>
      </c>
      <c r="G2254" s="1" t="s">
        <v>93</v>
      </c>
      <c r="H2254" s="1" t="s">
        <v>64</v>
      </c>
      <c r="K2254" s="1" t="s">
        <v>2214</v>
      </c>
      <c r="L2254" s="1" t="s">
        <v>5558</v>
      </c>
      <c r="M2254" s="1" t="s">
        <v>104</v>
      </c>
      <c r="N2254" s="1" t="s">
        <v>123</v>
      </c>
      <c r="O2254" s="1" t="s">
        <v>124</v>
      </c>
      <c r="P2254" s="1" t="s">
        <v>4161</v>
      </c>
      <c r="U2254" s="1" t="s">
        <v>7560</v>
      </c>
      <c r="Z2254" s="1" t="s">
        <v>71</v>
      </c>
      <c r="AE2254" s="1" t="s">
        <v>7557</v>
      </c>
      <c r="AH2254" s="1" t="s">
        <v>73</v>
      </c>
      <c r="AK2254" s="1" t="s">
        <v>71</v>
      </c>
      <c r="AM2254" s="1" t="s">
        <v>71</v>
      </c>
      <c r="AN2254" s="1" t="s">
        <v>71</v>
      </c>
      <c r="AS2254" s="1" t="s">
        <v>71</v>
      </c>
      <c r="AX2254" s="1" t="s">
        <v>71</v>
      </c>
      <c r="AY2254" s="1" t="s">
        <v>59</v>
      </c>
      <c r="AZ2254" s="1" t="s">
        <v>74</v>
      </c>
      <c r="BH2254" s="1" t="s">
        <v>71</v>
      </c>
    </row>
    <row r="2255" customFormat="false" ht="15" hidden="false" customHeight="false" outlineLevel="0" collapsed="false">
      <c r="A2255" s="1" t="s">
        <v>7562</v>
      </c>
      <c r="B2255" s="1" t="s">
        <v>7563</v>
      </c>
      <c r="C2255" s="1" t="s">
        <v>2090</v>
      </c>
      <c r="D2255" s="1" t="s">
        <v>7238</v>
      </c>
      <c r="E2255" s="1" t="s">
        <v>61</v>
      </c>
      <c r="F2255" s="1" t="s">
        <v>101</v>
      </c>
      <c r="G2255" s="1" t="s">
        <v>93</v>
      </c>
      <c r="H2255" s="1" t="s">
        <v>64</v>
      </c>
      <c r="K2255" s="1" t="s">
        <v>582</v>
      </c>
      <c r="L2255" s="1" t="s">
        <v>4731</v>
      </c>
      <c r="M2255" s="1" t="s">
        <v>7342</v>
      </c>
      <c r="N2255" s="1" t="s">
        <v>1177</v>
      </c>
      <c r="O2255" s="1" t="s">
        <v>1178</v>
      </c>
      <c r="P2255" s="1" t="s">
        <v>4732</v>
      </c>
      <c r="U2255" s="1" t="s">
        <v>7562</v>
      </c>
      <c r="Z2255" s="1" t="s">
        <v>71</v>
      </c>
      <c r="AE2255" s="1" t="s">
        <v>7564</v>
      </c>
      <c r="AH2255" s="1" t="s">
        <v>73</v>
      </c>
      <c r="AK2255" s="1" t="s">
        <v>71</v>
      </c>
      <c r="AM2255" s="1" t="s">
        <v>71</v>
      </c>
      <c r="AN2255" s="1" t="s">
        <v>71</v>
      </c>
      <c r="AS2255" s="1" t="s">
        <v>71</v>
      </c>
      <c r="AX2255" s="1" t="s">
        <v>71</v>
      </c>
      <c r="AY2255" s="1" t="s">
        <v>59</v>
      </c>
      <c r="AZ2255" s="1" t="s">
        <v>74</v>
      </c>
      <c r="BH2255" s="1" t="s">
        <v>71</v>
      </c>
    </row>
    <row r="2256" customFormat="false" ht="15" hidden="false" customHeight="false" outlineLevel="0" collapsed="false">
      <c r="A2256" s="1" t="s">
        <v>7565</v>
      </c>
      <c r="B2256" s="1" t="s">
        <v>7566</v>
      </c>
      <c r="C2256" s="1" t="s">
        <v>718</v>
      </c>
      <c r="D2256" s="1" t="s">
        <v>900</v>
      </c>
      <c r="E2256" s="1" t="s">
        <v>82</v>
      </c>
      <c r="F2256" s="1" t="s">
        <v>391</v>
      </c>
      <c r="G2256" s="1" t="s">
        <v>213</v>
      </c>
      <c r="H2256" s="1" t="s">
        <v>477</v>
      </c>
      <c r="K2256" s="1" t="s">
        <v>478</v>
      </c>
      <c r="L2256" s="1" t="s">
        <v>479</v>
      </c>
      <c r="M2256" s="1" t="s">
        <v>496</v>
      </c>
      <c r="N2256" s="1" t="s">
        <v>1760</v>
      </c>
      <c r="O2256" s="1" t="s">
        <v>1761</v>
      </c>
      <c r="P2256" s="1" t="s">
        <v>7567</v>
      </c>
      <c r="U2256" s="1" t="s">
        <v>7565</v>
      </c>
      <c r="Z2256" s="1" t="s">
        <v>71</v>
      </c>
      <c r="AE2256" s="1" t="s">
        <v>7564</v>
      </c>
      <c r="AH2256" s="1" t="s">
        <v>73</v>
      </c>
      <c r="AK2256" s="1" t="s">
        <v>71</v>
      </c>
      <c r="AM2256" s="1" t="s">
        <v>71</v>
      </c>
      <c r="AN2256" s="1" t="s">
        <v>71</v>
      </c>
      <c r="AS2256" s="1" t="s">
        <v>71</v>
      </c>
      <c r="AX2256" s="1" t="s">
        <v>71</v>
      </c>
      <c r="BH2256" s="1" t="s">
        <v>71</v>
      </c>
    </row>
    <row r="2257" customFormat="false" ht="15" hidden="false" customHeight="false" outlineLevel="0" collapsed="false">
      <c r="A2257" s="1" t="s">
        <v>7568</v>
      </c>
      <c r="B2257" s="1" t="s">
        <v>7569</v>
      </c>
      <c r="C2257" s="1" t="s">
        <v>188</v>
      </c>
      <c r="D2257" s="1" t="s">
        <v>189</v>
      </c>
      <c r="E2257" s="1" t="s">
        <v>61</v>
      </c>
      <c r="F2257" s="1" t="s">
        <v>101</v>
      </c>
      <c r="G2257" s="1" t="s">
        <v>93</v>
      </c>
      <c r="H2257" s="1" t="s">
        <v>64</v>
      </c>
      <c r="K2257" s="1" t="s">
        <v>195</v>
      </c>
      <c r="L2257" s="1" t="s">
        <v>1542</v>
      </c>
      <c r="M2257" s="1" t="s">
        <v>104</v>
      </c>
      <c r="N2257" s="1" t="s">
        <v>1177</v>
      </c>
      <c r="O2257" s="1" t="s">
        <v>1178</v>
      </c>
      <c r="P2257" s="1" t="s">
        <v>4732</v>
      </c>
      <c r="U2257" s="1" t="s">
        <v>7568</v>
      </c>
      <c r="Z2257" s="1" t="s">
        <v>71</v>
      </c>
      <c r="AE2257" s="1" t="s">
        <v>7564</v>
      </c>
      <c r="AH2257" s="1" t="s">
        <v>73</v>
      </c>
      <c r="AK2257" s="1" t="s">
        <v>71</v>
      </c>
      <c r="AM2257" s="1" t="s">
        <v>71</v>
      </c>
      <c r="AN2257" s="1" t="s">
        <v>71</v>
      </c>
      <c r="AS2257" s="1" t="s">
        <v>71</v>
      </c>
      <c r="AX2257" s="1" t="s">
        <v>71</v>
      </c>
      <c r="AY2257" s="1" t="s">
        <v>59</v>
      </c>
      <c r="AZ2257" s="1" t="s">
        <v>74</v>
      </c>
      <c r="BH2257" s="1" t="s">
        <v>71</v>
      </c>
    </row>
    <row r="2258" customFormat="false" ht="15" hidden="false" customHeight="false" outlineLevel="0" collapsed="false">
      <c r="A2258" s="1" t="s">
        <v>7570</v>
      </c>
      <c r="B2258" s="1" t="s">
        <v>7571</v>
      </c>
      <c r="C2258" s="1" t="s">
        <v>2205</v>
      </c>
      <c r="D2258" s="1" t="s">
        <v>7572</v>
      </c>
      <c r="E2258" s="1" t="s">
        <v>82</v>
      </c>
      <c r="F2258" s="1" t="s">
        <v>391</v>
      </c>
      <c r="G2258" s="1" t="s">
        <v>443</v>
      </c>
      <c r="H2258" s="1" t="s">
        <v>444</v>
      </c>
      <c r="K2258" s="1" t="s">
        <v>582</v>
      </c>
      <c r="L2258" s="1" t="s">
        <v>860</v>
      </c>
      <c r="M2258" s="1" t="s">
        <v>496</v>
      </c>
      <c r="N2258" s="1" t="s">
        <v>2340</v>
      </c>
      <c r="O2258" s="1" t="s">
        <v>400</v>
      </c>
      <c r="P2258" s="1" t="s">
        <v>6474</v>
      </c>
      <c r="U2258" s="1" t="s">
        <v>7570</v>
      </c>
      <c r="Z2258" s="1" t="s">
        <v>71</v>
      </c>
      <c r="AE2258" s="1" t="s">
        <v>7564</v>
      </c>
      <c r="AH2258" s="1" t="s">
        <v>73</v>
      </c>
      <c r="AK2258" s="1" t="s">
        <v>71</v>
      </c>
      <c r="AM2258" s="1" t="s">
        <v>71</v>
      </c>
      <c r="AN2258" s="1" t="s">
        <v>71</v>
      </c>
      <c r="AS2258" s="1" t="s">
        <v>71</v>
      </c>
      <c r="AX2258" s="1" t="s">
        <v>71</v>
      </c>
      <c r="BH2258" s="1" t="s">
        <v>71</v>
      </c>
    </row>
    <row r="2259" customFormat="false" ht="15" hidden="false" customHeight="false" outlineLevel="0" collapsed="false">
      <c r="A2259" s="1" t="s">
        <v>7573</v>
      </c>
      <c r="B2259" s="1" t="s">
        <v>7574</v>
      </c>
      <c r="C2259" s="1" t="s">
        <v>7575</v>
      </c>
      <c r="D2259" s="1" t="s">
        <v>7576</v>
      </c>
      <c r="E2259" s="1" t="s">
        <v>65</v>
      </c>
      <c r="F2259" s="1" t="s">
        <v>119</v>
      </c>
      <c r="G2259" s="1" t="s">
        <v>136</v>
      </c>
      <c r="H2259" s="1" t="s">
        <v>7577</v>
      </c>
      <c r="K2259" s="1" t="s">
        <v>59</v>
      </c>
      <c r="L2259" s="1" t="s">
        <v>7578</v>
      </c>
      <c r="M2259" s="1" t="s">
        <v>7579</v>
      </c>
      <c r="N2259" s="1" t="s">
        <v>7580</v>
      </c>
      <c r="O2259" s="1" t="s">
        <v>7581</v>
      </c>
      <c r="P2259" s="1" t="s">
        <v>7582</v>
      </c>
      <c r="U2259" s="1" t="s">
        <v>7573</v>
      </c>
      <c r="V2259" s="1" t="s">
        <v>7583</v>
      </c>
      <c r="Z2259" s="1" t="s">
        <v>71</v>
      </c>
      <c r="AE2259" s="1" t="s">
        <v>7584</v>
      </c>
      <c r="AH2259" s="1" t="s">
        <v>73</v>
      </c>
      <c r="AK2259" s="1" t="s">
        <v>71</v>
      </c>
      <c r="AM2259" s="1" t="s">
        <v>71</v>
      </c>
      <c r="AN2259" s="1" t="s">
        <v>71</v>
      </c>
      <c r="AS2259" s="1" t="s">
        <v>71</v>
      </c>
      <c r="AX2259" s="1" t="s">
        <v>71</v>
      </c>
      <c r="AY2259" s="1" t="s">
        <v>59</v>
      </c>
      <c r="AZ2259" s="1" t="s">
        <v>74</v>
      </c>
      <c r="BH2259" s="1" t="s">
        <v>71</v>
      </c>
    </row>
    <row r="2260" customFormat="false" ht="15" hidden="false" customHeight="false" outlineLevel="0" collapsed="false">
      <c r="A2260" s="1" t="s">
        <v>7585</v>
      </c>
      <c r="B2260" s="1" t="s">
        <v>7586</v>
      </c>
      <c r="C2260" s="1" t="s">
        <v>7575</v>
      </c>
      <c r="D2260" s="1" t="s">
        <v>7576</v>
      </c>
      <c r="E2260" s="1" t="s">
        <v>65</v>
      </c>
      <c r="F2260" s="1" t="s">
        <v>119</v>
      </c>
      <c r="G2260" s="1" t="s">
        <v>136</v>
      </c>
      <c r="H2260" s="1" t="s">
        <v>7577</v>
      </c>
      <c r="K2260" s="1" t="s">
        <v>59</v>
      </c>
      <c r="L2260" s="1" t="s">
        <v>7578</v>
      </c>
      <c r="M2260" s="1" t="s">
        <v>6711</v>
      </c>
      <c r="N2260" s="1" t="s">
        <v>7587</v>
      </c>
      <c r="O2260" s="1" t="s">
        <v>7588</v>
      </c>
      <c r="P2260" s="1" t="s">
        <v>7589</v>
      </c>
      <c r="U2260" s="1" t="s">
        <v>7585</v>
      </c>
      <c r="V2260" s="1" t="s">
        <v>7583</v>
      </c>
      <c r="Z2260" s="1" t="s">
        <v>71</v>
      </c>
      <c r="AE2260" s="1" t="s">
        <v>7584</v>
      </c>
      <c r="AH2260" s="1" t="s">
        <v>73</v>
      </c>
      <c r="AK2260" s="1" t="s">
        <v>71</v>
      </c>
      <c r="AM2260" s="1" t="s">
        <v>71</v>
      </c>
      <c r="AN2260" s="1" t="s">
        <v>71</v>
      </c>
      <c r="AS2260" s="1" t="s">
        <v>71</v>
      </c>
      <c r="AX2260" s="1" t="s">
        <v>71</v>
      </c>
      <c r="AY2260" s="1" t="s">
        <v>59</v>
      </c>
      <c r="AZ2260" s="1" t="s">
        <v>74</v>
      </c>
      <c r="BH2260" s="1" t="s">
        <v>71</v>
      </c>
    </row>
    <row r="2261" customFormat="false" ht="15" hidden="false" customHeight="false" outlineLevel="0" collapsed="false">
      <c r="A2261" s="1" t="s">
        <v>7590</v>
      </c>
      <c r="B2261" s="1" t="s">
        <v>7591</v>
      </c>
      <c r="C2261" s="1" t="s">
        <v>7575</v>
      </c>
      <c r="D2261" s="1" t="s">
        <v>7576</v>
      </c>
      <c r="E2261" s="1" t="s">
        <v>65</v>
      </c>
      <c r="F2261" s="1" t="s">
        <v>119</v>
      </c>
      <c r="G2261" s="1" t="s">
        <v>136</v>
      </c>
      <c r="H2261" s="1" t="s">
        <v>7577</v>
      </c>
      <c r="K2261" s="1" t="s">
        <v>59</v>
      </c>
      <c r="L2261" s="1" t="s">
        <v>7578</v>
      </c>
      <c r="M2261" s="1" t="s">
        <v>6711</v>
      </c>
      <c r="N2261" s="1" t="s">
        <v>7592</v>
      </c>
      <c r="O2261" s="1" t="s">
        <v>7593</v>
      </c>
      <c r="P2261" s="1" t="s">
        <v>7594</v>
      </c>
      <c r="U2261" s="1" t="s">
        <v>7590</v>
      </c>
      <c r="V2261" s="1" t="s">
        <v>7583</v>
      </c>
      <c r="Z2261" s="1" t="s">
        <v>71</v>
      </c>
      <c r="AE2261" s="1" t="s">
        <v>7584</v>
      </c>
      <c r="AH2261" s="1" t="s">
        <v>73</v>
      </c>
      <c r="AK2261" s="1" t="s">
        <v>71</v>
      </c>
      <c r="AM2261" s="1" t="s">
        <v>71</v>
      </c>
      <c r="AN2261" s="1" t="s">
        <v>71</v>
      </c>
      <c r="AS2261" s="1" t="s">
        <v>71</v>
      </c>
      <c r="AX2261" s="1" t="s">
        <v>71</v>
      </c>
      <c r="AY2261" s="1" t="s">
        <v>59</v>
      </c>
      <c r="AZ2261" s="1" t="s">
        <v>74</v>
      </c>
      <c r="BH2261" s="1" t="s">
        <v>71</v>
      </c>
    </row>
    <row r="2262" customFormat="false" ht="15" hidden="false" customHeight="false" outlineLevel="0" collapsed="false">
      <c r="A2262" s="1" t="s">
        <v>7595</v>
      </c>
      <c r="B2262" s="1" t="s">
        <v>7596</v>
      </c>
      <c r="C2262" s="1" t="s">
        <v>7575</v>
      </c>
      <c r="D2262" s="1" t="s">
        <v>7576</v>
      </c>
      <c r="E2262" s="1" t="s">
        <v>65</v>
      </c>
      <c r="F2262" s="1" t="s">
        <v>119</v>
      </c>
      <c r="G2262" s="1" t="s">
        <v>136</v>
      </c>
      <c r="H2262" s="1" t="s">
        <v>7577</v>
      </c>
      <c r="K2262" s="1" t="s">
        <v>59</v>
      </c>
      <c r="L2262" s="1" t="s">
        <v>7578</v>
      </c>
      <c r="M2262" s="1" t="s">
        <v>6711</v>
      </c>
      <c r="N2262" s="1" t="s">
        <v>7592</v>
      </c>
      <c r="O2262" s="1" t="s">
        <v>7593</v>
      </c>
      <c r="P2262" s="1" t="s">
        <v>7594</v>
      </c>
      <c r="U2262" s="1" t="s">
        <v>7595</v>
      </c>
      <c r="V2262" s="1" t="s">
        <v>7583</v>
      </c>
      <c r="Z2262" s="1" t="s">
        <v>71</v>
      </c>
      <c r="AE2262" s="1" t="s">
        <v>7584</v>
      </c>
      <c r="AH2262" s="1" t="s">
        <v>73</v>
      </c>
      <c r="AK2262" s="1" t="s">
        <v>71</v>
      </c>
      <c r="AM2262" s="1" t="s">
        <v>71</v>
      </c>
      <c r="AN2262" s="1" t="s">
        <v>71</v>
      </c>
      <c r="AS2262" s="1" t="s">
        <v>71</v>
      </c>
      <c r="AX2262" s="1" t="s">
        <v>71</v>
      </c>
      <c r="AY2262" s="1" t="s">
        <v>59</v>
      </c>
      <c r="AZ2262" s="1" t="s">
        <v>74</v>
      </c>
      <c r="BH2262" s="1" t="s">
        <v>71</v>
      </c>
    </row>
    <row r="2263" customFormat="false" ht="15" hidden="false" customHeight="false" outlineLevel="0" collapsed="false">
      <c r="A2263" s="1" t="s">
        <v>7597</v>
      </c>
      <c r="B2263" s="1" t="s">
        <v>7598</v>
      </c>
      <c r="C2263" s="1" t="s">
        <v>7575</v>
      </c>
      <c r="D2263" s="1" t="s">
        <v>7576</v>
      </c>
      <c r="E2263" s="1" t="s">
        <v>65</v>
      </c>
      <c r="F2263" s="1" t="s">
        <v>119</v>
      </c>
      <c r="G2263" s="1" t="s">
        <v>136</v>
      </c>
      <c r="H2263" s="1" t="s">
        <v>7577</v>
      </c>
      <c r="K2263" s="1" t="s">
        <v>65</v>
      </c>
      <c r="L2263" s="1" t="s">
        <v>7599</v>
      </c>
      <c r="M2263" s="1" t="s">
        <v>258</v>
      </c>
      <c r="N2263" s="1" t="s">
        <v>7592</v>
      </c>
      <c r="O2263" s="1" t="s">
        <v>7593</v>
      </c>
      <c r="P2263" s="1" t="s">
        <v>7594</v>
      </c>
      <c r="U2263" s="1" t="s">
        <v>7597</v>
      </c>
      <c r="V2263" s="1" t="s">
        <v>7583</v>
      </c>
      <c r="Z2263" s="1" t="s">
        <v>71</v>
      </c>
      <c r="AE2263" s="1" t="s">
        <v>7584</v>
      </c>
      <c r="AH2263" s="1" t="s">
        <v>73</v>
      </c>
      <c r="AK2263" s="1" t="s">
        <v>71</v>
      </c>
      <c r="AM2263" s="1" t="s">
        <v>71</v>
      </c>
      <c r="AN2263" s="1" t="s">
        <v>71</v>
      </c>
      <c r="AS2263" s="1" t="s">
        <v>71</v>
      </c>
      <c r="AX2263" s="1" t="s">
        <v>71</v>
      </c>
      <c r="AY2263" s="1" t="s">
        <v>59</v>
      </c>
      <c r="AZ2263" s="1" t="s">
        <v>74</v>
      </c>
      <c r="BH2263" s="1" t="s">
        <v>71</v>
      </c>
    </row>
    <row r="2264" customFormat="false" ht="15" hidden="false" customHeight="false" outlineLevel="0" collapsed="false">
      <c r="A2264" s="1" t="s">
        <v>7600</v>
      </c>
      <c r="B2264" s="1" t="s">
        <v>7601</v>
      </c>
      <c r="C2264" s="1" t="s">
        <v>2090</v>
      </c>
      <c r="D2264" s="1" t="s">
        <v>7238</v>
      </c>
      <c r="E2264" s="1" t="s">
        <v>61</v>
      </c>
      <c r="F2264" s="1" t="s">
        <v>101</v>
      </c>
      <c r="G2264" s="1" t="s">
        <v>108</v>
      </c>
      <c r="H2264" s="1" t="s">
        <v>1495</v>
      </c>
      <c r="K2264" s="1" t="s">
        <v>155</v>
      </c>
      <c r="L2264" s="1" t="s">
        <v>7015</v>
      </c>
      <c r="M2264" s="1" t="s">
        <v>7602</v>
      </c>
      <c r="N2264" s="1" t="s">
        <v>105</v>
      </c>
      <c r="O2264" s="1" t="s">
        <v>106</v>
      </c>
      <c r="P2264" s="1" t="s">
        <v>3539</v>
      </c>
      <c r="U2264" s="1" t="s">
        <v>7239</v>
      </c>
      <c r="Z2264" s="1" t="s">
        <v>71</v>
      </c>
      <c r="AE2264" s="1" t="s">
        <v>7603</v>
      </c>
      <c r="AH2264" s="1" t="s">
        <v>73</v>
      </c>
      <c r="AK2264" s="1" t="s">
        <v>71</v>
      </c>
      <c r="AM2264" s="1" t="s">
        <v>71</v>
      </c>
      <c r="AN2264" s="1" t="s">
        <v>71</v>
      </c>
      <c r="AS2264" s="1" t="s">
        <v>71</v>
      </c>
      <c r="AX2264" s="1" t="s">
        <v>71</v>
      </c>
      <c r="AY2264" s="1" t="s">
        <v>59</v>
      </c>
      <c r="AZ2264" s="1" t="s">
        <v>74</v>
      </c>
      <c r="BH2264" s="1" t="s">
        <v>71</v>
      </c>
    </row>
    <row r="2265" customFormat="false" ht="15" hidden="false" customHeight="false" outlineLevel="0" collapsed="false">
      <c r="A2265" s="1" t="s">
        <v>7604</v>
      </c>
      <c r="B2265" s="1" t="s">
        <v>7605</v>
      </c>
      <c r="C2265" s="1" t="s">
        <v>2090</v>
      </c>
      <c r="D2265" s="1" t="s">
        <v>7238</v>
      </c>
      <c r="E2265" s="1" t="s">
        <v>61</v>
      </c>
      <c r="F2265" s="1" t="s">
        <v>101</v>
      </c>
      <c r="G2265" s="1" t="s">
        <v>108</v>
      </c>
      <c r="H2265" s="1" t="s">
        <v>1495</v>
      </c>
      <c r="K2265" s="1" t="s">
        <v>155</v>
      </c>
      <c r="L2265" s="1" t="s">
        <v>7015</v>
      </c>
      <c r="M2265" s="1" t="s">
        <v>5063</v>
      </c>
      <c r="N2265" s="1" t="s">
        <v>105</v>
      </c>
      <c r="O2265" s="1" t="s">
        <v>106</v>
      </c>
      <c r="P2265" s="1" t="s">
        <v>3539</v>
      </c>
      <c r="U2265" s="1" t="s">
        <v>7239</v>
      </c>
      <c r="Z2265" s="1" t="s">
        <v>71</v>
      </c>
      <c r="AE2265" s="1" t="s">
        <v>7603</v>
      </c>
      <c r="AH2265" s="1" t="s">
        <v>73</v>
      </c>
      <c r="AK2265" s="1" t="s">
        <v>71</v>
      </c>
      <c r="AM2265" s="1" t="s">
        <v>71</v>
      </c>
      <c r="AN2265" s="1" t="s">
        <v>71</v>
      </c>
      <c r="AS2265" s="1" t="s">
        <v>71</v>
      </c>
      <c r="AX2265" s="1" t="s">
        <v>71</v>
      </c>
      <c r="AY2265" s="1" t="s">
        <v>59</v>
      </c>
      <c r="AZ2265" s="1" t="s">
        <v>74</v>
      </c>
      <c r="BH2265" s="1" t="s">
        <v>71</v>
      </c>
    </row>
    <row r="2266" customFormat="false" ht="15" hidden="false" customHeight="false" outlineLevel="0" collapsed="false">
      <c r="A2266" s="1" t="s">
        <v>7606</v>
      </c>
      <c r="B2266" s="1" t="s">
        <v>7607</v>
      </c>
      <c r="C2266" s="1" t="s">
        <v>1636</v>
      </c>
      <c r="D2266" s="1" t="s">
        <v>6144</v>
      </c>
      <c r="E2266" s="1" t="s">
        <v>61</v>
      </c>
      <c r="F2266" s="1" t="s">
        <v>101</v>
      </c>
      <c r="G2266" s="1" t="s">
        <v>1772</v>
      </c>
      <c r="H2266" s="1" t="s">
        <v>6148</v>
      </c>
      <c r="K2266" s="1" t="s">
        <v>59</v>
      </c>
      <c r="L2266" s="1" t="s">
        <v>6149</v>
      </c>
      <c r="M2266" s="1" t="s">
        <v>7608</v>
      </c>
      <c r="N2266" s="1" t="s">
        <v>6151</v>
      </c>
      <c r="O2266" s="1" t="s">
        <v>6152</v>
      </c>
      <c r="P2266" s="1" t="s">
        <v>6153</v>
      </c>
      <c r="U2266" s="1" t="s">
        <v>73</v>
      </c>
      <c r="Z2266" s="1" t="s">
        <v>71</v>
      </c>
      <c r="AE2266" s="1" t="s">
        <v>7609</v>
      </c>
      <c r="AH2266" s="1" t="s">
        <v>73</v>
      </c>
      <c r="AK2266" s="1" t="s">
        <v>71</v>
      </c>
      <c r="AM2266" s="1" t="s">
        <v>71</v>
      </c>
      <c r="AN2266" s="1" t="s">
        <v>71</v>
      </c>
      <c r="AS2266" s="1" t="s">
        <v>71</v>
      </c>
      <c r="AX2266" s="1" t="s">
        <v>71</v>
      </c>
      <c r="AY2266" s="1" t="s">
        <v>59</v>
      </c>
      <c r="AZ2266" s="1" t="s">
        <v>74</v>
      </c>
      <c r="BH2266" s="1" t="s">
        <v>71</v>
      </c>
    </row>
    <row r="2267" customFormat="false" ht="15" hidden="false" customHeight="false" outlineLevel="0" collapsed="false">
      <c r="A2267" s="1" t="s">
        <v>7610</v>
      </c>
      <c r="B2267" s="1" t="s">
        <v>7611</v>
      </c>
      <c r="C2267" s="1" t="s">
        <v>2216</v>
      </c>
      <c r="D2267" s="1" t="s">
        <v>7612</v>
      </c>
      <c r="E2267" s="1" t="s">
        <v>61</v>
      </c>
      <c r="F2267" s="1" t="s">
        <v>101</v>
      </c>
      <c r="G2267" s="1" t="s">
        <v>1479</v>
      </c>
      <c r="H2267" s="1" t="s">
        <v>5583</v>
      </c>
      <c r="K2267" s="1" t="s">
        <v>82</v>
      </c>
      <c r="L2267" s="1" t="s">
        <v>6368</v>
      </c>
      <c r="M2267" s="1" t="s">
        <v>7613</v>
      </c>
      <c r="N2267" s="1" t="s">
        <v>6357</v>
      </c>
      <c r="O2267" s="1" t="s">
        <v>6358</v>
      </c>
      <c r="P2267" s="1" t="s">
        <v>6359</v>
      </c>
      <c r="U2267" s="1" t="s">
        <v>7610</v>
      </c>
      <c r="V2267" s="1" t="s">
        <v>7614</v>
      </c>
      <c r="Z2267" s="1" t="s">
        <v>71</v>
      </c>
      <c r="AE2267" s="1" t="s">
        <v>7615</v>
      </c>
      <c r="AH2267" s="1" t="s">
        <v>73</v>
      </c>
      <c r="AK2267" s="1" t="s">
        <v>71</v>
      </c>
      <c r="AM2267" s="1" t="s">
        <v>71</v>
      </c>
      <c r="AN2267" s="1" t="s">
        <v>71</v>
      </c>
      <c r="AS2267" s="1" t="s">
        <v>71</v>
      </c>
      <c r="AX2267" s="1" t="s">
        <v>71</v>
      </c>
      <c r="AY2267" s="1" t="s">
        <v>59</v>
      </c>
      <c r="AZ2267" s="1" t="s">
        <v>74</v>
      </c>
      <c r="BH2267" s="1" t="s">
        <v>71</v>
      </c>
    </row>
    <row r="2268" customFormat="false" ht="15" hidden="false" customHeight="false" outlineLevel="0" collapsed="false">
      <c r="A2268" s="1" t="s">
        <v>7616</v>
      </c>
      <c r="B2268" s="1" t="s">
        <v>7617</v>
      </c>
      <c r="C2268" s="1" t="s">
        <v>2437</v>
      </c>
      <c r="D2268" s="1" t="s">
        <v>7612</v>
      </c>
      <c r="E2268" s="1" t="s">
        <v>61</v>
      </c>
      <c r="F2268" s="1" t="s">
        <v>101</v>
      </c>
      <c r="G2268" s="1" t="s">
        <v>1479</v>
      </c>
      <c r="H2268" s="1" t="s">
        <v>5583</v>
      </c>
      <c r="K2268" s="1" t="s">
        <v>88</v>
      </c>
      <c r="L2268" s="1" t="s">
        <v>6371</v>
      </c>
      <c r="M2268" s="1" t="s">
        <v>1589</v>
      </c>
      <c r="N2268" s="1" t="s">
        <v>6357</v>
      </c>
      <c r="O2268" s="1" t="s">
        <v>6358</v>
      </c>
      <c r="P2268" s="1" t="s">
        <v>6359</v>
      </c>
      <c r="U2268" s="1" t="s">
        <v>7616</v>
      </c>
      <c r="V2268" s="1" t="s">
        <v>7618</v>
      </c>
      <c r="Z2268" s="1" t="s">
        <v>71</v>
      </c>
      <c r="AE2268" s="1" t="s">
        <v>7615</v>
      </c>
      <c r="AH2268" s="1" t="s">
        <v>73</v>
      </c>
      <c r="AK2268" s="1" t="s">
        <v>71</v>
      </c>
      <c r="AM2268" s="1" t="s">
        <v>71</v>
      </c>
      <c r="AN2268" s="1" t="s">
        <v>71</v>
      </c>
      <c r="AS2268" s="1" t="s">
        <v>71</v>
      </c>
      <c r="AX2268" s="1" t="s">
        <v>71</v>
      </c>
      <c r="AY2268" s="1" t="s">
        <v>59</v>
      </c>
      <c r="AZ2268" s="1" t="s">
        <v>74</v>
      </c>
      <c r="BH2268" s="1" t="s">
        <v>71</v>
      </c>
    </row>
    <row r="2269" customFormat="false" ht="15" hidden="false" customHeight="false" outlineLevel="0" collapsed="false">
      <c r="A2269" s="1" t="s">
        <v>7619</v>
      </c>
      <c r="B2269" s="1" t="s">
        <v>7620</v>
      </c>
      <c r="C2269" s="1" t="s">
        <v>2216</v>
      </c>
      <c r="D2269" s="1" t="s">
        <v>7612</v>
      </c>
      <c r="E2269" s="1" t="s">
        <v>61</v>
      </c>
      <c r="F2269" s="1" t="s">
        <v>101</v>
      </c>
      <c r="G2269" s="1" t="s">
        <v>138</v>
      </c>
      <c r="H2269" s="1" t="s">
        <v>7621</v>
      </c>
      <c r="K2269" s="1" t="s">
        <v>59</v>
      </c>
      <c r="L2269" s="1" t="s">
        <v>7622</v>
      </c>
      <c r="M2269" s="1" t="s">
        <v>1589</v>
      </c>
      <c r="N2269" s="1" t="s">
        <v>6357</v>
      </c>
      <c r="O2269" s="1" t="s">
        <v>6358</v>
      </c>
      <c r="P2269" s="1" t="s">
        <v>6359</v>
      </c>
      <c r="U2269" s="1" t="s">
        <v>7619</v>
      </c>
      <c r="V2269" s="1" t="s">
        <v>7614</v>
      </c>
      <c r="Z2269" s="1" t="s">
        <v>71</v>
      </c>
      <c r="AE2269" s="1" t="s">
        <v>7615</v>
      </c>
      <c r="AH2269" s="1" t="s">
        <v>73</v>
      </c>
      <c r="AK2269" s="1" t="s">
        <v>71</v>
      </c>
      <c r="AM2269" s="1" t="s">
        <v>71</v>
      </c>
      <c r="AN2269" s="1" t="s">
        <v>71</v>
      </c>
      <c r="AS2269" s="1" t="s">
        <v>71</v>
      </c>
      <c r="AX2269" s="1" t="s">
        <v>71</v>
      </c>
      <c r="AY2269" s="1" t="s">
        <v>59</v>
      </c>
      <c r="AZ2269" s="1" t="s">
        <v>74</v>
      </c>
      <c r="BH2269" s="1" t="s">
        <v>71</v>
      </c>
    </row>
    <row r="2270" customFormat="false" ht="15" hidden="false" customHeight="false" outlineLevel="0" collapsed="false">
      <c r="A2270" s="1" t="s">
        <v>7623</v>
      </c>
      <c r="B2270" s="1" t="s">
        <v>7624</v>
      </c>
      <c r="C2270" s="1" t="s">
        <v>2437</v>
      </c>
      <c r="D2270" s="1" t="s">
        <v>7612</v>
      </c>
      <c r="E2270" s="1" t="s">
        <v>61</v>
      </c>
      <c r="F2270" s="1" t="s">
        <v>101</v>
      </c>
      <c r="G2270" s="1" t="s">
        <v>1479</v>
      </c>
      <c r="H2270" s="1" t="s">
        <v>5583</v>
      </c>
      <c r="K2270" s="1" t="s">
        <v>59</v>
      </c>
      <c r="L2270" s="1" t="s">
        <v>6341</v>
      </c>
      <c r="M2270" s="1" t="s">
        <v>1589</v>
      </c>
      <c r="N2270" s="1" t="s">
        <v>6357</v>
      </c>
      <c r="O2270" s="1" t="s">
        <v>6358</v>
      </c>
      <c r="P2270" s="1" t="s">
        <v>6359</v>
      </c>
      <c r="U2270" s="1" t="s">
        <v>7623</v>
      </c>
      <c r="V2270" s="1" t="s">
        <v>7618</v>
      </c>
      <c r="Z2270" s="1" t="s">
        <v>71</v>
      </c>
      <c r="AE2270" s="1" t="s">
        <v>7615</v>
      </c>
      <c r="AH2270" s="1" t="s">
        <v>73</v>
      </c>
      <c r="AK2270" s="1" t="s">
        <v>71</v>
      </c>
      <c r="AM2270" s="1" t="s">
        <v>71</v>
      </c>
      <c r="AN2270" s="1" t="s">
        <v>71</v>
      </c>
      <c r="AS2270" s="1" t="s">
        <v>71</v>
      </c>
      <c r="AX2270" s="1" t="s">
        <v>71</v>
      </c>
      <c r="AY2270" s="1" t="s">
        <v>59</v>
      </c>
      <c r="AZ2270" s="1" t="s">
        <v>74</v>
      </c>
      <c r="BH2270" s="1" t="s">
        <v>71</v>
      </c>
    </row>
    <row r="2271" customFormat="false" ht="15" hidden="false" customHeight="false" outlineLevel="0" collapsed="false">
      <c r="A2271" s="1" t="s">
        <v>7625</v>
      </c>
      <c r="B2271" s="1" t="s">
        <v>7626</v>
      </c>
      <c r="C2271" s="1" t="s">
        <v>2216</v>
      </c>
      <c r="D2271" s="1" t="s">
        <v>7612</v>
      </c>
      <c r="E2271" s="1" t="s">
        <v>61</v>
      </c>
      <c r="F2271" s="1" t="s">
        <v>101</v>
      </c>
      <c r="G2271" s="1" t="s">
        <v>1479</v>
      </c>
      <c r="H2271" s="1" t="s">
        <v>5583</v>
      </c>
      <c r="K2271" s="1" t="s">
        <v>93</v>
      </c>
      <c r="L2271" s="1" t="s">
        <v>6362</v>
      </c>
      <c r="M2271" s="1" t="s">
        <v>1589</v>
      </c>
      <c r="N2271" s="1" t="s">
        <v>6357</v>
      </c>
      <c r="O2271" s="1" t="s">
        <v>6358</v>
      </c>
      <c r="P2271" s="1" t="s">
        <v>6359</v>
      </c>
      <c r="U2271" s="1" t="s">
        <v>7625</v>
      </c>
      <c r="V2271" s="1" t="s">
        <v>7614</v>
      </c>
      <c r="Z2271" s="1" t="s">
        <v>71</v>
      </c>
      <c r="AE2271" s="1" t="s">
        <v>7615</v>
      </c>
      <c r="AH2271" s="1" t="s">
        <v>73</v>
      </c>
      <c r="AK2271" s="1" t="s">
        <v>71</v>
      </c>
      <c r="AM2271" s="1" t="s">
        <v>71</v>
      </c>
      <c r="AN2271" s="1" t="s">
        <v>71</v>
      </c>
      <c r="AS2271" s="1" t="s">
        <v>71</v>
      </c>
      <c r="AX2271" s="1" t="s">
        <v>71</v>
      </c>
      <c r="AY2271" s="1" t="s">
        <v>59</v>
      </c>
      <c r="AZ2271" s="1" t="s">
        <v>74</v>
      </c>
      <c r="BH2271" s="1" t="s">
        <v>71</v>
      </c>
    </row>
    <row r="2272" customFormat="false" ht="15" hidden="false" customHeight="false" outlineLevel="0" collapsed="false">
      <c r="A2272" s="1" t="s">
        <v>7627</v>
      </c>
      <c r="B2272" s="1" t="s">
        <v>7628</v>
      </c>
      <c r="C2272" s="1" t="s">
        <v>2216</v>
      </c>
      <c r="D2272" s="1" t="s">
        <v>7612</v>
      </c>
      <c r="E2272" s="1" t="s">
        <v>61</v>
      </c>
      <c r="F2272" s="1" t="s">
        <v>101</v>
      </c>
      <c r="G2272" s="1" t="s">
        <v>1479</v>
      </c>
      <c r="H2272" s="1" t="s">
        <v>5583</v>
      </c>
      <c r="K2272" s="1" t="s">
        <v>275</v>
      </c>
      <c r="L2272" s="1" t="s">
        <v>5584</v>
      </c>
      <c r="M2272" s="1" t="s">
        <v>278</v>
      </c>
      <c r="N2272" s="1" t="s">
        <v>4854</v>
      </c>
      <c r="O2272" s="1" t="s">
        <v>4855</v>
      </c>
      <c r="P2272" s="1" t="s">
        <v>4856</v>
      </c>
      <c r="U2272" s="1" t="s">
        <v>7627</v>
      </c>
      <c r="V2272" s="1" t="s">
        <v>7618</v>
      </c>
      <c r="Z2272" s="1" t="s">
        <v>71</v>
      </c>
      <c r="AE2272" s="1" t="s">
        <v>7615</v>
      </c>
      <c r="AH2272" s="1" t="s">
        <v>73</v>
      </c>
      <c r="AK2272" s="1" t="s">
        <v>71</v>
      </c>
      <c r="AM2272" s="1" t="s">
        <v>71</v>
      </c>
      <c r="AN2272" s="1" t="s">
        <v>71</v>
      </c>
      <c r="AS2272" s="1" t="s">
        <v>71</v>
      </c>
      <c r="AX2272" s="1" t="s">
        <v>71</v>
      </c>
      <c r="AY2272" s="1" t="s">
        <v>59</v>
      </c>
      <c r="AZ2272" s="1" t="s">
        <v>74</v>
      </c>
      <c r="BH2272" s="1" t="s">
        <v>71</v>
      </c>
    </row>
    <row r="2273" customFormat="false" ht="15" hidden="false" customHeight="false" outlineLevel="0" collapsed="false">
      <c r="A2273" s="1" t="s">
        <v>7629</v>
      </c>
      <c r="B2273" s="1" t="s">
        <v>7630</v>
      </c>
      <c r="C2273" s="1" t="s">
        <v>2437</v>
      </c>
      <c r="D2273" s="1" t="s">
        <v>7612</v>
      </c>
      <c r="E2273" s="1" t="s">
        <v>61</v>
      </c>
      <c r="F2273" s="1" t="s">
        <v>101</v>
      </c>
      <c r="G2273" s="1" t="s">
        <v>1479</v>
      </c>
      <c r="H2273" s="1" t="s">
        <v>5583</v>
      </c>
      <c r="K2273" s="1" t="s">
        <v>275</v>
      </c>
      <c r="L2273" s="1" t="s">
        <v>5584</v>
      </c>
      <c r="M2273" s="1" t="s">
        <v>278</v>
      </c>
      <c r="N2273" s="1" t="s">
        <v>4854</v>
      </c>
      <c r="O2273" s="1" t="s">
        <v>4855</v>
      </c>
      <c r="P2273" s="1" t="s">
        <v>4856</v>
      </c>
      <c r="U2273" s="1" t="s">
        <v>7629</v>
      </c>
      <c r="V2273" s="1" t="s">
        <v>7618</v>
      </c>
      <c r="Z2273" s="1" t="s">
        <v>71</v>
      </c>
      <c r="AE2273" s="1" t="s">
        <v>7615</v>
      </c>
      <c r="AH2273" s="1" t="s">
        <v>73</v>
      </c>
      <c r="AK2273" s="1" t="s">
        <v>71</v>
      </c>
      <c r="AM2273" s="1" t="s">
        <v>71</v>
      </c>
      <c r="AN2273" s="1" t="s">
        <v>71</v>
      </c>
      <c r="AS2273" s="1" t="s">
        <v>71</v>
      </c>
      <c r="AX2273" s="1" t="s">
        <v>71</v>
      </c>
      <c r="AY2273" s="1" t="s">
        <v>59</v>
      </c>
      <c r="AZ2273" s="1" t="s">
        <v>74</v>
      </c>
      <c r="BH2273" s="1" t="s">
        <v>71</v>
      </c>
    </row>
    <row r="2274" customFormat="false" ht="15" hidden="false" customHeight="false" outlineLevel="0" collapsed="false">
      <c r="A2274" s="1" t="s">
        <v>7631</v>
      </c>
      <c r="B2274" s="1" t="s">
        <v>7632</v>
      </c>
      <c r="C2274" s="1" t="s">
        <v>2146</v>
      </c>
      <c r="D2274" s="1" t="s">
        <v>7457</v>
      </c>
      <c r="E2274" s="1" t="s">
        <v>61</v>
      </c>
      <c r="F2274" s="1" t="s">
        <v>101</v>
      </c>
      <c r="G2274" s="1" t="s">
        <v>93</v>
      </c>
      <c r="H2274" s="1" t="s">
        <v>64</v>
      </c>
      <c r="K2274" s="1" t="s">
        <v>206</v>
      </c>
      <c r="L2274" s="1" t="s">
        <v>1558</v>
      </c>
      <c r="M2274" s="1" t="s">
        <v>104</v>
      </c>
      <c r="N2274" s="1" t="s">
        <v>123</v>
      </c>
      <c r="O2274" s="1" t="s">
        <v>124</v>
      </c>
      <c r="P2274" s="1" t="s">
        <v>4161</v>
      </c>
      <c r="U2274" s="1" t="s">
        <v>7631</v>
      </c>
      <c r="Z2274" s="1" t="s">
        <v>71</v>
      </c>
      <c r="AE2274" s="1" t="s">
        <v>7633</v>
      </c>
      <c r="AH2274" s="1" t="s">
        <v>73</v>
      </c>
      <c r="AK2274" s="1" t="s">
        <v>71</v>
      </c>
      <c r="AM2274" s="1" t="s">
        <v>71</v>
      </c>
      <c r="AN2274" s="1" t="s">
        <v>71</v>
      </c>
      <c r="AS2274" s="1" t="s">
        <v>71</v>
      </c>
      <c r="AX2274" s="1" t="s">
        <v>71</v>
      </c>
      <c r="AY2274" s="1" t="s">
        <v>59</v>
      </c>
      <c r="AZ2274" s="1" t="s">
        <v>74</v>
      </c>
      <c r="BH2274" s="1" t="s">
        <v>71</v>
      </c>
    </row>
    <row r="2275" customFormat="false" ht="15" hidden="false" customHeight="false" outlineLevel="0" collapsed="false">
      <c r="A2275" s="1" t="s">
        <v>7634</v>
      </c>
      <c r="B2275" s="1" t="s">
        <v>7635</v>
      </c>
      <c r="C2275" s="1" t="s">
        <v>2223</v>
      </c>
      <c r="D2275" s="1" t="s">
        <v>7636</v>
      </c>
      <c r="E2275" s="1" t="s">
        <v>93</v>
      </c>
      <c r="F2275" s="1" t="s">
        <v>6348</v>
      </c>
      <c r="G2275" s="1" t="s">
        <v>142</v>
      </c>
      <c r="H2275" s="1" t="s">
        <v>7637</v>
      </c>
      <c r="K2275" s="1" t="s">
        <v>59</v>
      </c>
      <c r="L2275" s="1" t="s">
        <v>7638</v>
      </c>
      <c r="M2275" s="1" t="s">
        <v>7639</v>
      </c>
      <c r="N2275" s="1" t="s">
        <v>7640</v>
      </c>
      <c r="O2275" s="1" t="s">
        <v>7641</v>
      </c>
      <c r="P2275" s="1" t="s">
        <v>7642</v>
      </c>
      <c r="U2275" s="1" t="s">
        <v>7634</v>
      </c>
      <c r="V2275" s="1" t="s">
        <v>7643</v>
      </c>
      <c r="Z2275" s="1" t="s">
        <v>71</v>
      </c>
      <c r="AE2275" s="1" t="s">
        <v>7633</v>
      </c>
      <c r="AH2275" s="1" t="s">
        <v>73</v>
      </c>
      <c r="AK2275" s="1" t="s">
        <v>71</v>
      </c>
      <c r="AM2275" s="1" t="s">
        <v>71</v>
      </c>
      <c r="AN2275" s="1" t="s">
        <v>71</v>
      </c>
      <c r="AS2275" s="1" t="s">
        <v>71</v>
      </c>
      <c r="AX2275" s="1" t="s">
        <v>71</v>
      </c>
      <c r="AY2275" s="1" t="s">
        <v>59</v>
      </c>
      <c r="AZ2275" s="1" t="s">
        <v>74</v>
      </c>
      <c r="BH2275" s="1" t="s">
        <v>71</v>
      </c>
    </row>
    <row r="2276" customFormat="false" ht="15" hidden="false" customHeight="false" outlineLevel="0" collapsed="false">
      <c r="A2276" s="1" t="s">
        <v>7644</v>
      </c>
      <c r="B2276" s="1" t="s">
        <v>7645</v>
      </c>
      <c r="C2276" s="1" t="s">
        <v>2223</v>
      </c>
      <c r="D2276" s="1" t="s">
        <v>7636</v>
      </c>
      <c r="E2276" s="1" t="s">
        <v>93</v>
      </c>
      <c r="F2276" s="1" t="s">
        <v>6348</v>
      </c>
      <c r="G2276" s="1" t="s">
        <v>144</v>
      </c>
      <c r="H2276" s="1" t="s">
        <v>7646</v>
      </c>
      <c r="K2276" s="1" t="s">
        <v>59</v>
      </c>
      <c r="L2276" s="1" t="s">
        <v>7647</v>
      </c>
      <c r="M2276" s="1" t="s">
        <v>7648</v>
      </c>
      <c r="N2276" s="1" t="s">
        <v>3559</v>
      </c>
      <c r="O2276" s="1" t="s">
        <v>3560</v>
      </c>
      <c r="P2276" s="1" t="s">
        <v>3561</v>
      </c>
      <c r="U2276" s="1" t="s">
        <v>7644</v>
      </c>
      <c r="V2276" s="1" t="s">
        <v>7643</v>
      </c>
      <c r="Z2276" s="1" t="s">
        <v>71</v>
      </c>
      <c r="AE2276" s="1" t="s">
        <v>7633</v>
      </c>
      <c r="AH2276" s="1" t="s">
        <v>73</v>
      </c>
      <c r="AK2276" s="1" t="s">
        <v>71</v>
      </c>
      <c r="AM2276" s="1" t="s">
        <v>71</v>
      </c>
      <c r="AN2276" s="1" t="s">
        <v>71</v>
      </c>
      <c r="AS2276" s="1" t="s">
        <v>71</v>
      </c>
      <c r="AX2276" s="1" t="s">
        <v>71</v>
      </c>
      <c r="AY2276" s="1" t="s">
        <v>59</v>
      </c>
      <c r="AZ2276" s="1" t="s">
        <v>74</v>
      </c>
      <c r="BH2276" s="1" t="s">
        <v>71</v>
      </c>
    </row>
    <row r="2277" customFormat="false" ht="15" hidden="false" customHeight="false" outlineLevel="0" collapsed="false">
      <c r="A2277" s="1" t="s">
        <v>7649</v>
      </c>
      <c r="B2277" s="1" t="s">
        <v>7650</v>
      </c>
      <c r="C2277" s="1" t="s">
        <v>2223</v>
      </c>
      <c r="D2277" s="1" t="s">
        <v>7636</v>
      </c>
      <c r="E2277" s="1" t="s">
        <v>93</v>
      </c>
      <c r="F2277" s="1" t="s">
        <v>6348</v>
      </c>
      <c r="G2277" s="1" t="s">
        <v>144</v>
      </c>
      <c r="H2277" s="1" t="s">
        <v>7646</v>
      </c>
      <c r="K2277" s="1" t="s">
        <v>177</v>
      </c>
      <c r="L2277" s="1" t="s">
        <v>7651</v>
      </c>
      <c r="M2277" s="1" t="s">
        <v>7652</v>
      </c>
      <c r="N2277" s="1" t="s">
        <v>7653</v>
      </c>
      <c r="O2277" s="1" t="s">
        <v>7654</v>
      </c>
      <c r="P2277" s="1" t="s">
        <v>7655</v>
      </c>
      <c r="U2277" s="1" t="s">
        <v>7649</v>
      </c>
      <c r="Z2277" s="1" t="s">
        <v>71</v>
      </c>
      <c r="AE2277" s="1" t="s">
        <v>7633</v>
      </c>
      <c r="AH2277" s="1" t="s">
        <v>73</v>
      </c>
      <c r="AK2277" s="1" t="s">
        <v>71</v>
      </c>
      <c r="AM2277" s="1" t="s">
        <v>71</v>
      </c>
      <c r="AN2277" s="1" t="s">
        <v>71</v>
      </c>
      <c r="AS2277" s="1" t="s">
        <v>71</v>
      </c>
      <c r="AX2277" s="1" t="s">
        <v>71</v>
      </c>
      <c r="AY2277" s="1" t="s">
        <v>59</v>
      </c>
      <c r="AZ2277" s="1" t="s">
        <v>74</v>
      </c>
      <c r="BH2277" s="1" t="s">
        <v>71</v>
      </c>
    </row>
    <row r="2278" customFormat="false" ht="15" hidden="false" customHeight="false" outlineLevel="0" collapsed="false">
      <c r="A2278" s="1" t="s">
        <v>7656</v>
      </c>
      <c r="B2278" s="1" t="s">
        <v>7657</v>
      </c>
      <c r="C2278" s="1" t="s">
        <v>2223</v>
      </c>
      <c r="D2278" s="1" t="s">
        <v>7636</v>
      </c>
      <c r="E2278" s="1" t="s">
        <v>93</v>
      </c>
      <c r="F2278" s="1" t="s">
        <v>6348</v>
      </c>
      <c r="G2278" s="1" t="s">
        <v>1335</v>
      </c>
      <c r="H2278" s="1" t="s">
        <v>7658</v>
      </c>
      <c r="K2278" s="1" t="s">
        <v>59</v>
      </c>
      <c r="L2278" s="1" t="s">
        <v>7659</v>
      </c>
      <c r="M2278" s="1" t="s">
        <v>7639</v>
      </c>
      <c r="N2278" s="1" t="s">
        <v>3559</v>
      </c>
      <c r="O2278" s="1" t="s">
        <v>3560</v>
      </c>
      <c r="P2278" s="1" t="s">
        <v>3561</v>
      </c>
      <c r="U2278" s="1" t="s">
        <v>7656</v>
      </c>
      <c r="V2278" s="1" t="s">
        <v>7643</v>
      </c>
      <c r="Z2278" s="1" t="s">
        <v>71</v>
      </c>
      <c r="AE2278" s="1" t="s">
        <v>7633</v>
      </c>
      <c r="AH2278" s="1" t="s">
        <v>73</v>
      </c>
      <c r="AK2278" s="1" t="s">
        <v>71</v>
      </c>
      <c r="AM2278" s="1" t="s">
        <v>71</v>
      </c>
      <c r="AN2278" s="1" t="s">
        <v>71</v>
      </c>
      <c r="AS2278" s="1" t="s">
        <v>71</v>
      </c>
      <c r="AX2278" s="1" t="s">
        <v>71</v>
      </c>
      <c r="AY2278" s="1" t="s">
        <v>59</v>
      </c>
      <c r="AZ2278" s="1" t="s">
        <v>74</v>
      </c>
      <c r="BH2278" s="1" t="s">
        <v>71</v>
      </c>
    </row>
    <row r="2279" customFormat="false" ht="15" hidden="false" customHeight="false" outlineLevel="0" collapsed="false">
      <c r="A2279" s="1" t="s">
        <v>7660</v>
      </c>
      <c r="B2279" s="1" t="s">
        <v>7661</v>
      </c>
      <c r="C2279" s="1" t="s">
        <v>2223</v>
      </c>
      <c r="D2279" s="1" t="s">
        <v>7636</v>
      </c>
      <c r="E2279" s="1" t="s">
        <v>93</v>
      </c>
      <c r="F2279" s="1" t="s">
        <v>6348</v>
      </c>
      <c r="G2279" s="1" t="s">
        <v>1335</v>
      </c>
      <c r="H2279" s="1" t="s">
        <v>7658</v>
      </c>
      <c r="K2279" s="1" t="s">
        <v>65</v>
      </c>
      <c r="L2279" s="1" t="s">
        <v>7662</v>
      </c>
      <c r="M2279" s="1" t="s">
        <v>7639</v>
      </c>
      <c r="N2279" s="1" t="s">
        <v>7653</v>
      </c>
      <c r="O2279" s="1" t="s">
        <v>7654</v>
      </c>
      <c r="P2279" s="1" t="s">
        <v>7655</v>
      </c>
      <c r="U2279" s="1" t="s">
        <v>7660</v>
      </c>
      <c r="V2279" s="1" t="s">
        <v>7643</v>
      </c>
      <c r="Z2279" s="1" t="s">
        <v>71</v>
      </c>
      <c r="AE2279" s="1" t="s">
        <v>7633</v>
      </c>
      <c r="AH2279" s="1" t="s">
        <v>73</v>
      </c>
      <c r="AK2279" s="1" t="s">
        <v>71</v>
      </c>
      <c r="AM2279" s="1" t="s">
        <v>71</v>
      </c>
      <c r="AN2279" s="1" t="s">
        <v>71</v>
      </c>
      <c r="AS2279" s="1" t="s">
        <v>71</v>
      </c>
      <c r="AX2279" s="1" t="s">
        <v>71</v>
      </c>
      <c r="AY2279" s="1" t="s">
        <v>59</v>
      </c>
      <c r="AZ2279" s="1" t="s">
        <v>74</v>
      </c>
      <c r="BH2279" s="1" t="s">
        <v>71</v>
      </c>
    </row>
    <row r="2280" customFormat="false" ht="15" hidden="false" customHeight="false" outlineLevel="0" collapsed="false">
      <c r="A2280" s="1" t="s">
        <v>7663</v>
      </c>
      <c r="B2280" s="1" t="s">
        <v>7664</v>
      </c>
      <c r="C2280" s="1" t="s">
        <v>7445</v>
      </c>
      <c r="D2280" s="1" t="s">
        <v>7446</v>
      </c>
      <c r="E2280" s="1" t="s">
        <v>61</v>
      </c>
      <c r="F2280" s="1" t="s">
        <v>101</v>
      </c>
      <c r="G2280" s="1" t="s">
        <v>148</v>
      </c>
      <c r="H2280" s="1" t="s">
        <v>231</v>
      </c>
      <c r="K2280" s="1" t="s">
        <v>1335</v>
      </c>
      <c r="L2280" s="1" t="s">
        <v>1336</v>
      </c>
      <c r="M2280" s="1" t="s">
        <v>104</v>
      </c>
      <c r="N2280" s="1" t="s">
        <v>243</v>
      </c>
      <c r="O2280" s="1" t="s">
        <v>244</v>
      </c>
      <c r="P2280" s="1" t="s">
        <v>3503</v>
      </c>
      <c r="U2280" s="1" t="s">
        <v>7663</v>
      </c>
      <c r="Z2280" s="1" t="s">
        <v>71</v>
      </c>
      <c r="AE2280" s="1" t="s">
        <v>7665</v>
      </c>
      <c r="AH2280" s="1" t="s">
        <v>73</v>
      </c>
      <c r="AK2280" s="1" t="s">
        <v>71</v>
      </c>
      <c r="AM2280" s="1" t="s">
        <v>71</v>
      </c>
      <c r="AN2280" s="1" t="s">
        <v>71</v>
      </c>
      <c r="AS2280" s="1" t="s">
        <v>71</v>
      </c>
      <c r="AX2280" s="1" t="s">
        <v>71</v>
      </c>
      <c r="AY2280" s="1" t="s">
        <v>59</v>
      </c>
      <c r="AZ2280" s="1" t="s">
        <v>74</v>
      </c>
      <c r="BH2280" s="1" t="s">
        <v>71</v>
      </c>
    </row>
    <row r="2281" customFormat="false" ht="15" hidden="false" customHeight="false" outlineLevel="0" collapsed="false">
      <c r="A2281" s="1" t="s">
        <v>7666</v>
      </c>
      <c r="B2281" s="1" t="s">
        <v>7667</v>
      </c>
      <c r="C2281" s="1" t="s">
        <v>182</v>
      </c>
      <c r="D2281" s="1" t="s">
        <v>239</v>
      </c>
      <c r="E2281" s="1" t="s">
        <v>61</v>
      </c>
      <c r="F2281" s="1" t="s">
        <v>101</v>
      </c>
      <c r="G2281" s="1" t="s">
        <v>275</v>
      </c>
      <c r="H2281" s="1" t="s">
        <v>276</v>
      </c>
      <c r="K2281" s="1" t="s">
        <v>526</v>
      </c>
      <c r="L2281" s="1" t="s">
        <v>5362</v>
      </c>
      <c r="M2281" s="1" t="s">
        <v>310</v>
      </c>
      <c r="N2281" s="1" t="s">
        <v>5189</v>
      </c>
      <c r="O2281" s="1" t="s">
        <v>5190</v>
      </c>
      <c r="P2281" s="1" t="s">
        <v>5191</v>
      </c>
      <c r="S2281" s="1" t="s">
        <v>275</v>
      </c>
      <c r="U2281" s="1" t="s">
        <v>245</v>
      </c>
      <c r="Z2281" s="1" t="s">
        <v>71</v>
      </c>
      <c r="AE2281" s="1" t="s">
        <v>7668</v>
      </c>
      <c r="AH2281" s="1" t="s">
        <v>73</v>
      </c>
      <c r="AK2281" s="1" t="s">
        <v>71</v>
      </c>
      <c r="AM2281" s="1" t="s">
        <v>71</v>
      </c>
      <c r="AN2281" s="1" t="s">
        <v>71</v>
      </c>
      <c r="AS2281" s="1" t="s">
        <v>71</v>
      </c>
      <c r="AX2281" s="1" t="s">
        <v>71</v>
      </c>
      <c r="AY2281" s="1" t="s">
        <v>59</v>
      </c>
      <c r="AZ2281" s="1" t="s">
        <v>74</v>
      </c>
      <c r="BH2281" s="1" t="s">
        <v>71</v>
      </c>
    </row>
    <row r="2282" customFormat="false" ht="15" hidden="false" customHeight="false" outlineLevel="0" collapsed="false">
      <c r="A2282" s="1" t="s">
        <v>7669</v>
      </c>
      <c r="B2282" s="1" t="s">
        <v>7670</v>
      </c>
      <c r="C2282" s="1" t="s">
        <v>182</v>
      </c>
      <c r="D2282" s="1" t="s">
        <v>239</v>
      </c>
      <c r="E2282" s="1" t="s">
        <v>61</v>
      </c>
      <c r="F2282" s="1" t="s">
        <v>101</v>
      </c>
      <c r="G2282" s="1" t="s">
        <v>275</v>
      </c>
      <c r="H2282" s="1" t="s">
        <v>276</v>
      </c>
      <c r="K2282" s="1" t="s">
        <v>526</v>
      </c>
      <c r="L2282" s="1" t="s">
        <v>5362</v>
      </c>
      <c r="M2282" s="1" t="s">
        <v>310</v>
      </c>
      <c r="N2282" s="1" t="s">
        <v>5189</v>
      </c>
      <c r="O2282" s="1" t="s">
        <v>5190</v>
      </c>
      <c r="P2282" s="1" t="s">
        <v>5191</v>
      </c>
      <c r="S2282" s="1" t="s">
        <v>275</v>
      </c>
      <c r="U2282" s="1" t="s">
        <v>245</v>
      </c>
      <c r="Z2282" s="1" t="s">
        <v>71</v>
      </c>
      <c r="AE2282" s="1" t="s">
        <v>7668</v>
      </c>
      <c r="AH2282" s="1" t="s">
        <v>73</v>
      </c>
      <c r="AK2282" s="1" t="s">
        <v>71</v>
      </c>
      <c r="AM2282" s="1" t="s">
        <v>71</v>
      </c>
      <c r="AN2282" s="1" t="s">
        <v>71</v>
      </c>
      <c r="AS2282" s="1" t="s">
        <v>71</v>
      </c>
      <c r="AX2282" s="1" t="s">
        <v>71</v>
      </c>
      <c r="AY2282" s="1" t="s">
        <v>59</v>
      </c>
      <c r="AZ2282" s="1" t="s">
        <v>74</v>
      </c>
      <c r="BH2282" s="1" t="s">
        <v>71</v>
      </c>
    </row>
    <row r="2283" customFormat="false" ht="15" hidden="false" customHeight="false" outlineLevel="0" collapsed="false">
      <c r="A2283" s="1" t="s">
        <v>7671</v>
      </c>
      <c r="B2283" s="1" t="s">
        <v>7672</v>
      </c>
      <c r="C2283" s="1" t="s">
        <v>110</v>
      </c>
      <c r="D2283" s="1" t="s">
        <v>111</v>
      </c>
      <c r="E2283" s="1" t="s">
        <v>61</v>
      </c>
      <c r="F2283" s="1" t="s">
        <v>101</v>
      </c>
      <c r="G2283" s="1" t="s">
        <v>93</v>
      </c>
      <c r="H2283" s="1" t="s">
        <v>64</v>
      </c>
      <c r="K2283" s="1" t="s">
        <v>1092</v>
      </c>
      <c r="L2283" s="1" t="s">
        <v>1093</v>
      </c>
      <c r="M2283" s="1" t="s">
        <v>165</v>
      </c>
      <c r="N2283" s="1" t="s">
        <v>123</v>
      </c>
      <c r="O2283" s="1" t="s">
        <v>124</v>
      </c>
      <c r="P2283" s="1" t="s">
        <v>4161</v>
      </c>
      <c r="U2283" s="1" t="s">
        <v>5262</v>
      </c>
      <c r="Z2283" s="1" t="s">
        <v>71</v>
      </c>
      <c r="AE2283" s="1" t="s">
        <v>7673</v>
      </c>
      <c r="AH2283" s="1" t="s">
        <v>73</v>
      </c>
      <c r="AK2283" s="1" t="s">
        <v>71</v>
      </c>
      <c r="AM2283" s="1" t="s">
        <v>71</v>
      </c>
      <c r="AN2283" s="1" t="s">
        <v>71</v>
      </c>
      <c r="AS2283" s="1" t="s">
        <v>71</v>
      </c>
      <c r="AX2283" s="1" t="s">
        <v>71</v>
      </c>
      <c r="AY2283" s="1" t="s">
        <v>59</v>
      </c>
      <c r="AZ2283" s="1" t="s">
        <v>74</v>
      </c>
      <c r="BH2283" s="1" t="s">
        <v>71</v>
      </c>
    </row>
    <row r="2284" customFormat="false" ht="15" hidden="false" customHeight="false" outlineLevel="0" collapsed="false">
      <c r="A2284" s="1" t="s">
        <v>7674</v>
      </c>
      <c r="B2284" s="1" t="s">
        <v>7675</v>
      </c>
      <c r="C2284" s="1" t="s">
        <v>110</v>
      </c>
      <c r="D2284" s="1" t="s">
        <v>111</v>
      </c>
      <c r="E2284" s="1" t="s">
        <v>61</v>
      </c>
      <c r="F2284" s="1" t="s">
        <v>101</v>
      </c>
      <c r="G2284" s="1" t="s">
        <v>93</v>
      </c>
      <c r="H2284" s="1" t="s">
        <v>64</v>
      </c>
      <c r="K2284" s="1" t="s">
        <v>302</v>
      </c>
      <c r="L2284" s="1" t="s">
        <v>303</v>
      </c>
      <c r="M2284" s="1" t="s">
        <v>122</v>
      </c>
      <c r="N2284" s="1" t="s">
        <v>105</v>
      </c>
      <c r="O2284" s="1" t="s">
        <v>106</v>
      </c>
      <c r="P2284" s="1" t="s">
        <v>3539</v>
      </c>
      <c r="U2284" s="1" t="s">
        <v>7676</v>
      </c>
      <c r="Z2284" s="1" t="s">
        <v>71</v>
      </c>
      <c r="AE2284" s="1" t="s">
        <v>7673</v>
      </c>
      <c r="AH2284" s="1" t="s">
        <v>73</v>
      </c>
      <c r="AK2284" s="1" t="s">
        <v>71</v>
      </c>
      <c r="AM2284" s="1" t="s">
        <v>71</v>
      </c>
      <c r="AN2284" s="1" t="s">
        <v>71</v>
      </c>
      <c r="AS2284" s="1" t="s">
        <v>71</v>
      </c>
      <c r="AX2284" s="1" t="s">
        <v>71</v>
      </c>
      <c r="AY2284" s="1" t="s">
        <v>59</v>
      </c>
      <c r="AZ2284" s="1" t="s">
        <v>74</v>
      </c>
      <c r="BH2284" s="1" t="s">
        <v>71</v>
      </c>
    </row>
    <row r="2285" customFormat="false" ht="15" hidden="false" customHeight="false" outlineLevel="0" collapsed="false">
      <c r="A2285" s="1" t="s">
        <v>7677</v>
      </c>
      <c r="B2285" s="1" t="s">
        <v>7678</v>
      </c>
      <c r="C2285" s="1" t="s">
        <v>2242</v>
      </c>
      <c r="D2285" s="1" t="s">
        <v>7679</v>
      </c>
      <c r="E2285" s="1" t="s">
        <v>61</v>
      </c>
      <c r="F2285" s="1" t="s">
        <v>101</v>
      </c>
      <c r="G2285" s="1" t="s">
        <v>93</v>
      </c>
      <c r="H2285" s="1" t="s">
        <v>64</v>
      </c>
      <c r="K2285" s="1" t="s">
        <v>4298</v>
      </c>
      <c r="L2285" s="1" t="s">
        <v>4299</v>
      </c>
      <c r="M2285" s="1" t="s">
        <v>104</v>
      </c>
      <c r="N2285" s="1" t="s">
        <v>105</v>
      </c>
      <c r="O2285" s="1" t="s">
        <v>106</v>
      </c>
      <c r="P2285" s="1" t="s">
        <v>3539</v>
      </c>
      <c r="U2285" s="1" t="s">
        <v>3957</v>
      </c>
      <c r="Z2285" s="1" t="s">
        <v>71</v>
      </c>
      <c r="AE2285" s="1" t="s">
        <v>7680</v>
      </c>
      <c r="AH2285" s="1" t="s">
        <v>73</v>
      </c>
      <c r="AK2285" s="1" t="s">
        <v>71</v>
      </c>
      <c r="AM2285" s="1" t="s">
        <v>71</v>
      </c>
      <c r="AN2285" s="1" t="s">
        <v>71</v>
      </c>
      <c r="AS2285" s="1" t="s">
        <v>71</v>
      </c>
      <c r="AX2285" s="1" t="s">
        <v>71</v>
      </c>
      <c r="AY2285" s="1" t="s">
        <v>59</v>
      </c>
      <c r="AZ2285" s="1" t="s">
        <v>74</v>
      </c>
      <c r="BH2285" s="1" t="s">
        <v>71</v>
      </c>
    </row>
    <row r="2286" customFormat="false" ht="15" hidden="false" customHeight="false" outlineLevel="0" collapsed="false">
      <c r="A2286" s="1" t="s">
        <v>7681</v>
      </c>
      <c r="B2286" s="1" t="s">
        <v>7682</v>
      </c>
      <c r="C2286" s="1" t="s">
        <v>2242</v>
      </c>
      <c r="D2286" s="1" t="s">
        <v>7679</v>
      </c>
      <c r="E2286" s="1" t="s">
        <v>61</v>
      </c>
      <c r="F2286" s="1" t="s">
        <v>101</v>
      </c>
      <c r="G2286" s="1" t="s">
        <v>93</v>
      </c>
      <c r="H2286" s="1" t="s">
        <v>64</v>
      </c>
      <c r="K2286" s="1" t="s">
        <v>290</v>
      </c>
      <c r="L2286" s="1" t="s">
        <v>291</v>
      </c>
      <c r="M2286" s="1" t="s">
        <v>104</v>
      </c>
      <c r="N2286" s="1" t="s">
        <v>105</v>
      </c>
      <c r="O2286" s="1" t="s">
        <v>106</v>
      </c>
      <c r="P2286" s="1" t="s">
        <v>3539</v>
      </c>
      <c r="U2286" s="1" t="s">
        <v>3855</v>
      </c>
      <c r="Z2286" s="1" t="s">
        <v>71</v>
      </c>
      <c r="AE2286" s="1" t="s">
        <v>7680</v>
      </c>
      <c r="AH2286" s="1" t="s">
        <v>73</v>
      </c>
      <c r="AK2286" s="1" t="s">
        <v>71</v>
      </c>
      <c r="AM2286" s="1" t="s">
        <v>71</v>
      </c>
      <c r="AN2286" s="1" t="s">
        <v>71</v>
      </c>
      <c r="AS2286" s="1" t="s">
        <v>71</v>
      </c>
      <c r="AX2286" s="1" t="s">
        <v>71</v>
      </c>
      <c r="AY2286" s="1" t="s">
        <v>59</v>
      </c>
      <c r="AZ2286" s="1" t="s">
        <v>74</v>
      </c>
      <c r="BH2286" s="1" t="s">
        <v>71</v>
      </c>
    </row>
    <row r="2287" customFormat="false" ht="15" hidden="false" customHeight="false" outlineLevel="0" collapsed="false">
      <c r="A2287" s="1" t="s">
        <v>7683</v>
      </c>
      <c r="B2287" s="1" t="s">
        <v>7684</v>
      </c>
      <c r="C2287" s="1" t="s">
        <v>2242</v>
      </c>
      <c r="D2287" s="1" t="s">
        <v>7679</v>
      </c>
      <c r="E2287" s="1" t="s">
        <v>61</v>
      </c>
      <c r="F2287" s="1" t="s">
        <v>101</v>
      </c>
      <c r="G2287" s="1" t="s">
        <v>93</v>
      </c>
      <c r="H2287" s="1" t="s">
        <v>64</v>
      </c>
      <c r="K2287" s="1" t="s">
        <v>290</v>
      </c>
      <c r="L2287" s="1" t="s">
        <v>291</v>
      </c>
      <c r="M2287" s="1" t="s">
        <v>104</v>
      </c>
      <c r="N2287" s="1" t="s">
        <v>105</v>
      </c>
      <c r="O2287" s="1" t="s">
        <v>106</v>
      </c>
      <c r="P2287" s="1" t="s">
        <v>3539</v>
      </c>
      <c r="U2287" s="1" t="s">
        <v>3753</v>
      </c>
      <c r="Z2287" s="1" t="s">
        <v>71</v>
      </c>
      <c r="AE2287" s="1" t="s">
        <v>7680</v>
      </c>
      <c r="AH2287" s="1" t="s">
        <v>73</v>
      </c>
      <c r="AK2287" s="1" t="s">
        <v>71</v>
      </c>
      <c r="AM2287" s="1" t="s">
        <v>71</v>
      </c>
      <c r="AN2287" s="1" t="s">
        <v>71</v>
      </c>
      <c r="AS2287" s="1" t="s">
        <v>71</v>
      </c>
      <c r="AX2287" s="1" t="s">
        <v>71</v>
      </c>
      <c r="AY2287" s="1" t="s">
        <v>59</v>
      </c>
      <c r="AZ2287" s="1" t="s">
        <v>74</v>
      </c>
      <c r="BH2287" s="1" t="s">
        <v>71</v>
      </c>
    </row>
    <row r="2288" customFormat="false" ht="15" hidden="false" customHeight="false" outlineLevel="0" collapsed="false">
      <c r="A2288" s="1" t="s">
        <v>7685</v>
      </c>
      <c r="B2288" s="1" t="s">
        <v>7686</v>
      </c>
      <c r="C2288" s="1" t="s">
        <v>2242</v>
      </c>
      <c r="D2288" s="1" t="s">
        <v>7679</v>
      </c>
      <c r="E2288" s="1" t="s">
        <v>61</v>
      </c>
      <c r="F2288" s="1" t="s">
        <v>101</v>
      </c>
      <c r="G2288" s="1" t="s">
        <v>93</v>
      </c>
      <c r="H2288" s="1" t="s">
        <v>64</v>
      </c>
      <c r="K2288" s="1" t="s">
        <v>290</v>
      </c>
      <c r="L2288" s="1" t="s">
        <v>291</v>
      </c>
      <c r="M2288" s="1" t="s">
        <v>828</v>
      </c>
      <c r="N2288" s="1" t="s">
        <v>105</v>
      </c>
      <c r="O2288" s="1" t="s">
        <v>106</v>
      </c>
      <c r="P2288" s="1" t="s">
        <v>3539</v>
      </c>
      <c r="U2288" s="1" t="s">
        <v>3850</v>
      </c>
      <c r="Z2288" s="1" t="s">
        <v>71</v>
      </c>
      <c r="AE2288" s="1" t="s">
        <v>7680</v>
      </c>
      <c r="AH2288" s="1" t="s">
        <v>73</v>
      </c>
      <c r="AK2288" s="1" t="s">
        <v>71</v>
      </c>
      <c r="AM2288" s="1" t="s">
        <v>71</v>
      </c>
      <c r="AN2288" s="1" t="s">
        <v>71</v>
      </c>
      <c r="AS2288" s="1" t="s">
        <v>71</v>
      </c>
      <c r="AX2288" s="1" t="s">
        <v>71</v>
      </c>
      <c r="AY2288" s="1" t="s">
        <v>59</v>
      </c>
      <c r="AZ2288" s="1" t="s">
        <v>74</v>
      </c>
      <c r="BH2288" s="1" t="s">
        <v>71</v>
      </c>
    </row>
    <row r="2289" customFormat="false" ht="15" hidden="false" customHeight="false" outlineLevel="0" collapsed="false">
      <c r="A2289" s="1" t="s">
        <v>7687</v>
      </c>
      <c r="B2289" s="1" t="s">
        <v>7688</v>
      </c>
      <c r="C2289" s="1" t="s">
        <v>2242</v>
      </c>
      <c r="D2289" s="1" t="s">
        <v>7679</v>
      </c>
      <c r="E2289" s="1" t="s">
        <v>61</v>
      </c>
      <c r="F2289" s="1" t="s">
        <v>101</v>
      </c>
      <c r="G2289" s="1" t="s">
        <v>93</v>
      </c>
      <c r="H2289" s="1" t="s">
        <v>64</v>
      </c>
      <c r="K2289" s="1" t="s">
        <v>290</v>
      </c>
      <c r="L2289" s="1" t="s">
        <v>291</v>
      </c>
      <c r="M2289" s="1" t="s">
        <v>828</v>
      </c>
      <c r="N2289" s="1" t="s">
        <v>105</v>
      </c>
      <c r="O2289" s="1" t="s">
        <v>106</v>
      </c>
      <c r="P2289" s="1" t="s">
        <v>3539</v>
      </c>
      <c r="U2289" s="1" t="s">
        <v>7689</v>
      </c>
      <c r="Z2289" s="1" t="s">
        <v>71</v>
      </c>
      <c r="AE2289" s="1" t="s">
        <v>7680</v>
      </c>
      <c r="AH2289" s="1" t="s">
        <v>73</v>
      </c>
      <c r="AK2289" s="1" t="s">
        <v>71</v>
      </c>
      <c r="AM2289" s="1" t="s">
        <v>71</v>
      </c>
      <c r="AN2289" s="1" t="s">
        <v>71</v>
      </c>
      <c r="AS2289" s="1" t="s">
        <v>71</v>
      </c>
      <c r="AX2289" s="1" t="s">
        <v>71</v>
      </c>
      <c r="AY2289" s="1" t="s">
        <v>59</v>
      </c>
      <c r="AZ2289" s="1" t="s">
        <v>74</v>
      </c>
      <c r="BH2289" s="1" t="s">
        <v>71</v>
      </c>
    </row>
    <row r="2290" customFormat="false" ht="15" hidden="false" customHeight="false" outlineLevel="0" collapsed="false">
      <c r="A2290" s="1" t="s">
        <v>7690</v>
      </c>
      <c r="B2290" s="1" t="s">
        <v>7691</v>
      </c>
      <c r="C2290" s="1" t="s">
        <v>2242</v>
      </c>
      <c r="D2290" s="1" t="s">
        <v>7679</v>
      </c>
      <c r="E2290" s="1" t="s">
        <v>61</v>
      </c>
      <c r="F2290" s="1" t="s">
        <v>101</v>
      </c>
      <c r="G2290" s="1" t="s">
        <v>93</v>
      </c>
      <c r="H2290" s="1" t="s">
        <v>64</v>
      </c>
      <c r="K2290" s="1" t="s">
        <v>224</v>
      </c>
      <c r="L2290" s="1" t="s">
        <v>225</v>
      </c>
      <c r="M2290" s="1" t="s">
        <v>104</v>
      </c>
      <c r="N2290" s="1" t="s">
        <v>105</v>
      </c>
      <c r="O2290" s="1" t="s">
        <v>106</v>
      </c>
      <c r="P2290" s="1" t="s">
        <v>3539</v>
      </c>
      <c r="U2290" s="1" t="s">
        <v>3935</v>
      </c>
      <c r="Z2290" s="1" t="s">
        <v>71</v>
      </c>
      <c r="AE2290" s="1" t="s">
        <v>7680</v>
      </c>
      <c r="AH2290" s="1" t="s">
        <v>73</v>
      </c>
      <c r="AK2290" s="1" t="s">
        <v>71</v>
      </c>
      <c r="AM2290" s="1" t="s">
        <v>71</v>
      </c>
      <c r="AN2290" s="1" t="s">
        <v>71</v>
      </c>
      <c r="AS2290" s="1" t="s">
        <v>71</v>
      </c>
      <c r="AX2290" s="1" t="s">
        <v>71</v>
      </c>
      <c r="AY2290" s="1" t="s">
        <v>59</v>
      </c>
      <c r="AZ2290" s="1" t="s">
        <v>74</v>
      </c>
      <c r="BH2290" s="1" t="s">
        <v>71</v>
      </c>
    </row>
    <row r="2291" customFormat="false" ht="15" hidden="false" customHeight="false" outlineLevel="0" collapsed="false">
      <c r="A2291" s="1" t="s">
        <v>7692</v>
      </c>
      <c r="B2291" s="1" t="s">
        <v>7693</v>
      </c>
      <c r="C2291" s="1" t="s">
        <v>2242</v>
      </c>
      <c r="D2291" s="1" t="s">
        <v>7679</v>
      </c>
      <c r="E2291" s="1" t="s">
        <v>61</v>
      </c>
      <c r="F2291" s="1" t="s">
        <v>101</v>
      </c>
      <c r="G2291" s="1" t="s">
        <v>93</v>
      </c>
      <c r="H2291" s="1" t="s">
        <v>64</v>
      </c>
      <c r="K2291" s="1" t="s">
        <v>224</v>
      </c>
      <c r="L2291" s="1" t="s">
        <v>225</v>
      </c>
      <c r="M2291" s="1" t="s">
        <v>828</v>
      </c>
      <c r="N2291" s="1" t="s">
        <v>105</v>
      </c>
      <c r="O2291" s="1" t="s">
        <v>106</v>
      </c>
      <c r="P2291" s="1" t="s">
        <v>3539</v>
      </c>
      <c r="U2291" s="1" t="s">
        <v>3648</v>
      </c>
      <c r="Z2291" s="1" t="s">
        <v>71</v>
      </c>
      <c r="AE2291" s="1" t="s">
        <v>7680</v>
      </c>
      <c r="AH2291" s="1" t="s">
        <v>73</v>
      </c>
      <c r="AK2291" s="1" t="s">
        <v>71</v>
      </c>
      <c r="AM2291" s="1" t="s">
        <v>71</v>
      </c>
      <c r="AN2291" s="1" t="s">
        <v>71</v>
      </c>
      <c r="AS2291" s="1" t="s">
        <v>71</v>
      </c>
      <c r="AX2291" s="1" t="s">
        <v>71</v>
      </c>
      <c r="AY2291" s="1" t="s">
        <v>59</v>
      </c>
      <c r="AZ2291" s="1" t="s">
        <v>74</v>
      </c>
      <c r="BH2291" s="1" t="s">
        <v>71</v>
      </c>
    </row>
    <row r="2292" customFormat="false" ht="15" hidden="false" customHeight="false" outlineLevel="0" collapsed="false">
      <c r="A2292" s="1" t="s">
        <v>7694</v>
      </c>
      <c r="B2292" s="1" t="s">
        <v>7695</v>
      </c>
      <c r="C2292" s="1" t="s">
        <v>2242</v>
      </c>
      <c r="D2292" s="1" t="s">
        <v>7679</v>
      </c>
      <c r="E2292" s="1" t="s">
        <v>61</v>
      </c>
      <c r="F2292" s="1" t="s">
        <v>101</v>
      </c>
      <c r="G2292" s="1" t="s">
        <v>93</v>
      </c>
      <c r="H2292" s="1" t="s">
        <v>64</v>
      </c>
      <c r="K2292" s="1" t="s">
        <v>126</v>
      </c>
      <c r="L2292" s="1" t="s">
        <v>335</v>
      </c>
      <c r="M2292" s="1" t="s">
        <v>828</v>
      </c>
      <c r="N2292" s="1" t="s">
        <v>105</v>
      </c>
      <c r="O2292" s="1" t="s">
        <v>106</v>
      </c>
      <c r="P2292" s="1" t="s">
        <v>3539</v>
      </c>
      <c r="U2292" s="1" t="s">
        <v>3960</v>
      </c>
      <c r="Z2292" s="1" t="s">
        <v>71</v>
      </c>
      <c r="AE2292" s="1" t="s">
        <v>7680</v>
      </c>
      <c r="AH2292" s="1" t="s">
        <v>73</v>
      </c>
      <c r="AK2292" s="1" t="s">
        <v>71</v>
      </c>
      <c r="AM2292" s="1" t="s">
        <v>71</v>
      </c>
      <c r="AN2292" s="1" t="s">
        <v>71</v>
      </c>
      <c r="AS2292" s="1" t="s">
        <v>71</v>
      </c>
      <c r="AX2292" s="1" t="s">
        <v>71</v>
      </c>
      <c r="AY2292" s="1" t="s">
        <v>59</v>
      </c>
      <c r="AZ2292" s="1" t="s">
        <v>74</v>
      </c>
      <c r="BH2292" s="1" t="s">
        <v>71</v>
      </c>
    </row>
    <row r="2293" customFormat="false" ht="15" hidden="false" customHeight="false" outlineLevel="0" collapsed="false">
      <c r="A2293" s="1" t="s">
        <v>7696</v>
      </c>
      <c r="B2293" s="1" t="s">
        <v>7697</v>
      </c>
      <c r="C2293" s="1" t="s">
        <v>2242</v>
      </c>
      <c r="D2293" s="1" t="s">
        <v>7679</v>
      </c>
      <c r="E2293" s="1" t="s">
        <v>61</v>
      </c>
      <c r="F2293" s="1" t="s">
        <v>101</v>
      </c>
      <c r="G2293" s="1" t="s">
        <v>93</v>
      </c>
      <c r="H2293" s="1" t="s">
        <v>64</v>
      </c>
      <c r="K2293" s="1" t="s">
        <v>126</v>
      </c>
      <c r="L2293" s="1" t="s">
        <v>335</v>
      </c>
      <c r="M2293" s="1" t="s">
        <v>828</v>
      </c>
      <c r="N2293" s="1" t="s">
        <v>105</v>
      </c>
      <c r="O2293" s="1" t="s">
        <v>106</v>
      </c>
      <c r="P2293" s="1" t="s">
        <v>3539</v>
      </c>
      <c r="U2293" s="1" t="s">
        <v>3385</v>
      </c>
      <c r="Z2293" s="1" t="s">
        <v>71</v>
      </c>
      <c r="AE2293" s="1" t="s">
        <v>7680</v>
      </c>
      <c r="AH2293" s="1" t="s">
        <v>73</v>
      </c>
      <c r="AK2293" s="1" t="s">
        <v>71</v>
      </c>
      <c r="AM2293" s="1" t="s">
        <v>71</v>
      </c>
      <c r="AN2293" s="1" t="s">
        <v>71</v>
      </c>
      <c r="AS2293" s="1" t="s">
        <v>71</v>
      </c>
      <c r="AX2293" s="1" t="s">
        <v>71</v>
      </c>
      <c r="AY2293" s="1" t="s">
        <v>59</v>
      </c>
      <c r="AZ2293" s="1" t="s">
        <v>74</v>
      </c>
      <c r="BH2293" s="1" t="s">
        <v>71</v>
      </c>
    </row>
    <row r="2294" customFormat="false" ht="15" hidden="false" customHeight="false" outlineLevel="0" collapsed="false">
      <c r="A2294" s="1" t="s">
        <v>7698</v>
      </c>
      <c r="B2294" s="1" t="s">
        <v>7699</v>
      </c>
      <c r="C2294" s="1" t="s">
        <v>2242</v>
      </c>
      <c r="D2294" s="1" t="s">
        <v>7679</v>
      </c>
      <c r="E2294" s="1" t="s">
        <v>61</v>
      </c>
      <c r="F2294" s="1" t="s">
        <v>101</v>
      </c>
      <c r="G2294" s="1" t="s">
        <v>93</v>
      </c>
      <c r="H2294" s="1" t="s">
        <v>64</v>
      </c>
      <c r="K2294" s="1" t="s">
        <v>224</v>
      </c>
      <c r="L2294" s="1" t="s">
        <v>225</v>
      </c>
      <c r="M2294" s="1" t="s">
        <v>104</v>
      </c>
      <c r="N2294" s="1" t="s">
        <v>105</v>
      </c>
      <c r="O2294" s="1" t="s">
        <v>106</v>
      </c>
      <c r="P2294" s="1" t="s">
        <v>3539</v>
      </c>
      <c r="U2294" s="1" t="s">
        <v>3229</v>
      </c>
      <c r="Z2294" s="1" t="s">
        <v>71</v>
      </c>
      <c r="AE2294" s="1" t="s">
        <v>7680</v>
      </c>
      <c r="AH2294" s="1" t="s">
        <v>73</v>
      </c>
      <c r="AK2294" s="1" t="s">
        <v>71</v>
      </c>
      <c r="AM2294" s="1" t="s">
        <v>71</v>
      </c>
      <c r="AN2294" s="1" t="s">
        <v>71</v>
      </c>
      <c r="AS2294" s="1" t="s">
        <v>71</v>
      </c>
      <c r="AX2294" s="1" t="s">
        <v>71</v>
      </c>
      <c r="AY2294" s="1" t="s">
        <v>59</v>
      </c>
      <c r="AZ2294" s="1" t="s">
        <v>74</v>
      </c>
      <c r="BH2294" s="1" t="s">
        <v>71</v>
      </c>
    </row>
    <row r="2295" customFormat="false" ht="15" hidden="false" customHeight="false" outlineLevel="0" collapsed="false">
      <c r="A2295" s="1" t="s">
        <v>7700</v>
      </c>
      <c r="B2295" s="1" t="s">
        <v>7701</v>
      </c>
      <c r="C2295" s="1" t="s">
        <v>2242</v>
      </c>
      <c r="D2295" s="1" t="s">
        <v>7679</v>
      </c>
      <c r="E2295" s="1" t="s">
        <v>61</v>
      </c>
      <c r="F2295" s="1" t="s">
        <v>101</v>
      </c>
      <c r="G2295" s="1" t="s">
        <v>93</v>
      </c>
      <c r="H2295" s="1" t="s">
        <v>64</v>
      </c>
      <c r="K2295" s="1" t="s">
        <v>302</v>
      </c>
      <c r="L2295" s="1" t="s">
        <v>303</v>
      </c>
      <c r="M2295" s="1" t="s">
        <v>1555</v>
      </c>
      <c r="N2295" s="1" t="s">
        <v>105</v>
      </c>
      <c r="O2295" s="1" t="s">
        <v>106</v>
      </c>
      <c r="P2295" s="1" t="s">
        <v>3539</v>
      </c>
      <c r="U2295" s="1" t="s">
        <v>7702</v>
      </c>
      <c r="Z2295" s="1" t="s">
        <v>71</v>
      </c>
      <c r="AE2295" s="1" t="s">
        <v>7680</v>
      </c>
      <c r="AH2295" s="1" t="s">
        <v>73</v>
      </c>
      <c r="AK2295" s="1" t="s">
        <v>71</v>
      </c>
      <c r="AM2295" s="1" t="s">
        <v>71</v>
      </c>
      <c r="AN2295" s="1" t="s">
        <v>71</v>
      </c>
      <c r="AS2295" s="1" t="s">
        <v>71</v>
      </c>
      <c r="AX2295" s="1" t="s">
        <v>71</v>
      </c>
      <c r="AY2295" s="1" t="s">
        <v>59</v>
      </c>
      <c r="AZ2295" s="1" t="s">
        <v>74</v>
      </c>
      <c r="BH2295" s="1" t="s">
        <v>71</v>
      </c>
    </row>
    <row r="2296" customFormat="false" ht="15" hidden="false" customHeight="false" outlineLevel="0" collapsed="false">
      <c r="A2296" s="1" t="s">
        <v>7703</v>
      </c>
      <c r="B2296" s="1" t="s">
        <v>7704</v>
      </c>
      <c r="C2296" s="1" t="s">
        <v>2242</v>
      </c>
      <c r="D2296" s="1" t="s">
        <v>7679</v>
      </c>
      <c r="E2296" s="1" t="s">
        <v>61</v>
      </c>
      <c r="F2296" s="1" t="s">
        <v>101</v>
      </c>
      <c r="G2296" s="1" t="s">
        <v>93</v>
      </c>
      <c r="H2296" s="1" t="s">
        <v>64</v>
      </c>
      <c r="K2296" s="1" t="s">
        <v>582</v>
      </c>
      <c r="L2296" s="1" t="s">
        <v>4731</v>
      </c>
      <c r="M2296" s="1" t="s">
        <v>310</v>
      </c>
      <c r="N2296" s="1" t="s">
        <v>105</v>
      </c>
      <c r="O2296" s="1" t="s">
        <v>106</v>
      </c>
      <c r="P2296" s="1" t="s">
        <v>3539</v>
      </c>
      <c r="U2296" s="1" t="s">
        <v>3889</v>
      </c>
      <c r="Z2296" s="1" t="s">
        <v>71</v>
      </c>
      <c r="AE2296" s="1" t="s">
        <v>7680</v>
      </c>
      <c r="AH2296" s="1" t="s">
        <v>73</v>
      </c>
      <c r="AK2296" s="1" t="s">
        <v>71</v>
      </c>
      <c r="AM2296" s="1" t="s">
        <v>71</v>
      </c>
      <c r="AN2296" s="1" t="s">
        <v>71</v>
      </c>
      <c r="AS2296" s="1" t="s">
        <v>71</v>
      </c>
      <c r="AX2296" s="1" t="s">
        <v>71</v>
      </c>
      <c r="AY2296" s="1" t="s">
        <v>59</v>
      </c>
      <c r="AZ2296" s="1" t="s">
        <v>74</v>
      </c>
      <c r="BH2296" s="1" t="s">
        <v>71</v>
      </c>
    </row>
    <row r="2297" customFormat="false" ht="15" hidden="false" customHeight="false" outlineLevel="0" collapsed="false">
      <c r="A2297" s="1" t="s">
        <v>7705</v>
      </c>
      <c r="B2297" s="1" t="s">
        <v>7706</v>
      </c>
      <c r="C2297" s="1" t="s">
        <v>2242</v>
      </c>
      <c r="D2297" s="1" t="s">
        <v>7679</v>
      </c>
      <c r="E2297" s="1" t="s">
        <v>61</v>
      </c>
      <c r="F2297" s="1" t="s">
        <v>101</v>
      </c>
      <c r="G2297" s="1" t="s">
        <v>93</v>
      </c>
      <c r="H2297" s="1" t="s">
        <v>64</v>
      </c>
      <c r="K2297" s="1" t="s">
        <v>582</v>
      </c>
      <c r="L2297" s="1" t="s">
        <v>4731</v>
      </c>
      <c r="M2297" s="1" t="s">
        <v>104</v>
      </c>
      <c r="N2297" s="1" t="s">
        <v>105</v>
      </c>
      <c r="O2297" s="1" t="s">
        <v>106</v>
      </c>
      <c r="P2297" s="1" t="s">
        <v>3539</v>
      </c>
      <c r="U2297" s="1" t="s">
        <v>7707</v>
      </c>
      <c r="Z2297" s="1" t="s">
        <v>71</v>
      </c>
      <c r="AE2297" s="1" t="s">
        <v>7680</v>
      </c>
      <c r="AH2297" s="1" t="s">
        <v>73</v>
      </c>
      <c r="AK2297" s="1" t="s">
        <v>71</v>
      </c>
      <c r="AM2297" s="1" t="s">
        <v>71</v>
      </c>
      <c r="AN2297" s="1" t="s">
        <v>71</v>
      </c>
      <c r="AS2297" s="1" t="s">
        <v>71</v>
      </c>
      <c r="AX2297" s="1" t="s">
        <v>71</v>
      </c>
      <c r="AY2297" s="1" t="s">
        <v>59</v>
      </c>
      <c r="AZ2297" s="1" t="s">
        <v>74</v>
      </c>
      <c r="BH2297" s="1" t="s">
        <v>71</v>
      </c>
    </row>
    <row r="2298" customFormat="false" ht="15" hidden="false" customHeight="false" outlineLevel="0" collapsed="false">
      <c r="A2298" s="1" t="s">
        <v>7708</v>
      </c>
      <c r="B2298" s="1" t="s">
        <v>7709</v>
      </c>
      <c r="C2298" s="1" t="s">
        <v>2242</v>
      </c>
      <c r="D2298" s="1" t="s">
        <v>7679</v>
      </c>
      <c r="E2298" s="1" t="s">
        <v>61</v>
      </c>
      <c r="F2298" s="1" t="s">
        <v>101</v>
      </c>
      <c r="G2298" s="1" t="s">
        <v>93</v>
      </c>
      <c r="H2298" s="1" t="s">
        <v>64</v>
      </c>
      <c r="K2298" s="1" t="s">
        <v>582</v>
      </c>
      <c r="L2298" s="1" t="s">
        <v>4731</v>
      </c>
      <c r="M2298" s="1" t="s">
        <v>1555</v>
      </c>
      <c r="N2298" s="1" t="s">
        <v>105</v>
      </c>
      <c r="O2298" s="1" t="s">
        <v>106</v>
      </c>
      <c r="P2298" s="1" t="s">
        <v>3539</v>
      </c>
      <c r="U2298" s="1" t="s">
        <v>5451</v>
      </c>
      <c r="Z2298" s="1" t="s">
        <v>71</v>
      </c>
      <c r="AE2298" s="1" t="s">
        <v>7680</v>
      </c>
      <c r="AH2298" s="1" t="s">
        <v>73</v>
      </c>
      <c r="AK2298" s="1" t="s">
        <v>71</v>
      </c>
      <c r="AM2298" s="1" t="s">
        <v>71</v>
      </c>
      <c r="AN2298" s="1" t="s">
        <v>71</v>
      </c>
      <c r="AS2298" s="1" t="s">
        <v>71</v>
      </c>
      <c r="AX2298" s="1" t="s">
        <v>71</v>
      </c>
      <c r="AY2298" s="1" t="s">
        <v>59</v>
      </c>
      <c r="AZ2298" s="1" t="s">
        <v>74</v>
      </c>
      <c r="BH2298" s="1" t="s">
        <v>71</v>
      </c>
    </row>
    <row r="2299" customFormat="false" ht="15" hidden="false" customHeight="false" outlineLevel="0" collapsed="false">
      <c r="A2299" s="1" t="s">
        <v>7710</v>
      </c>
      <c r="B2299" s="1" t="s">
        <v>7711</v>
      </c>
      <c r="C2299" s="1" t="s">
        <v>1556</v>
      </c>
      <c r="D2299" s="1" t="s">
        <v>5530</v>
      </c>
      <c r="E2299" s="1" t="s">
        <v>61</v>
      </c>
      <c r="F2299" s="1" t="s">
        <v>101</v>
      </c>
      <c r="G2299" s="1" t="s">
        <v>148</v>
      </c>
      <c r="H2299" s="1" t="s">
        <v>231</v>
      </c>
      <c r="K2299" s="1" t="s">
        <v>195</v>
      </c>
      <c r="L2299" s="1" t="s">
        <v>3502</v>
      </c>
      <c r="M2299" s="1" t="s">
        <v>296</v>
      </c>
      <c r="N2299" s="1" t="s">
        <v>243</v>
      </c>
      <c r="O2299" s="1" t="s">
        <v>244</v>
      </c>
      <c r="P2299" s="1" t="s">
        <v>3503</v>
      </c>
      <c r="U2299" s="1" t="s">
        <v>7712</v>
      </c>
      <c r="Z2299" s="1" t="s">
        <v>71</v>
      </c>
      <c r="AE2299" s="1" t="s">
        <v>7713</v>
      </c>
      <c r="AH2299" s="1" t="s">
        <v>73</v>
      </c>
      <c r="AK2299" s="1" t="s">
        <v>71</v>
      </c>
      <c r="AM2299" s="1" t="s">
        <v>71</v>
      </c>
      <c r="AN2299" s="1" t="s">
        <v>71</v>
      </c>
      <c r="AS2299" s="1" t="s">
        <v>71</v>
      </c>
      <c r="AX2299" s="1" t="s">
        <v>71</v>
      </c>
      <c r="AY2299" s="1" t="s">
        <v>59</v>
      </c>
      <c r="AZ2299" s="1" t="s">
        <v>74</v>
      </c>
      <c r="BH2299" s="1" t="s">
        <v>71</v>
      </c>
    </row>
    <row r="2300" customFormat="false" ht="15" hidden="false" customHeight="false" outlineLevel="0" collapsed="false">
      <c r="A2300" s="1" t="s">
        <v>7714</v>
      </c>
      <c r="B2300" s="1" t="s">
        <v>7715</v>
      </c>
      <c r="C2300" s="1" t="s">
        <v>1556</v>
      </c>
      <c r="D2300" s="1" t="s">
        <v>5530</v>
      </c>
      <c r="E2300" s="1" t="s">
        <v>61</v>
      </c>
      <c r="F2300" s="1" t="s">
        <v>101</v>
      </c>
      <c r="G2300" s="1" t="s">
        <v>148</v>
      </c>
      <c r="H2300" s="1" t="s">
        <v>231</v>
      </c>
      <c r="K2300" s="1" t="s">
        <v>1419</v>
      </c>
      <c r="L2300" s="1" t="s">
        <v>1420</v>
      </c>
      <c r="M2300" s="1" t="s">
        <v>6430</v>
      </c>
      <c r="N2300" s="1" t="s">
        <v>243</v>
      </c>
      <c r="O2300" s="1" t="s">
        <v>244</v>
      </c>
      <c r="P2300" s="1" t="s">
        <v>3503</v>
      </c>
      <c r="U2300" s="1" t="s">
        <v>7716</v>
      </c>
      <c r="Z2300" s="1" t="s">
        <v>71</v>
      </c>
      <c r="AE2300" s="1" t="s">
        <v>7713</v>
      </c>
      <c r="AH2300" s="1" t="s">
        <v>73</v>
      </c>
      <c r="AK2300" s="1" t="s">
        <v>71</v>
      </c>
      <c r="AM2300" s="1" t="s">
        <v>71</v>
      </c>
      <c r="AN2300" s="1" t="s">
        <v>71</v>
      </c>
      <c r="AS2300" s="1" t="s">
        <v>71</v>
      </c>
      <c r="AX2300" s="1" t="s">
        <v>71</v>
      </c>
      <c r="AY2300" s="1" t="s">
        <v>59</v>
      </c>
      <c r="AZ2300" s="1" t="s">
        <v>74</v>
      </c>
      <c r="BH2300" s="1" t="s">
        <v>71</v>
      </c>
    </row>
    <row r="2301" customFormat="false" ht="15" hidden="false" customHeight="false" outlineLevel="0" collapsed="false">
      <c r="A2301" s="1" t="s">
        <v>7717</v>
      </c>
      <c r="B2301" s="1" t="s">
        <v>7718</v>
      </c>
      <c r="C2301" s="1" t="s">
        <v>2246</v>
      </c>
      <c r="D2301" s="1" t="s">
        <v>7719</v>
      </c>
      <c r="E2301" s="1" t="s">
        <v>65</v>
      </c>
      <c r="F2301" s="1" t="s">
        <v>119</v>
      </c>
      <c r="G2301" s="1" t="s">
        <v>136</v>
      </c>
      <c r="H2301" s="1" t="s">
        <v>7577</v>
      </c>
      <c r="K2301" s="1" t="s">
        <v>59</v>
      </c>
      <c r="L2301" s="1" t="s">
        <v>7578</v>
      </c>
      <c r="M2301" s="1" t="s">
        <v>104</v>
      </c>
      <c r="N2301" s="1" t="s">
        <v>7720</v>
      </c>
      <c r="O2301" s="1" t="s">
        <v>7721</v>
      </c>
      <c r="P2301" s="1" t="s">
        <v>7722</v>
      </c>
      <c r="U2301" s="1" t="s">
        <v>7723</v>
      </c>
      <c r="Z2301" s="1" t="s">
        <v>71</v>
      </c>
      <c r="AE2301" s="1" t="s">
        <v>7724</v>
      </c>
      <c r="AH2301" s="1" t="s">
        <v>73</v>
      </c>
      <c r="AK2301" s="1" t="s">
        <v>71</v>
      </c>
      <c r="AM2301" s="1" t="s">
        <v>71</v>
      </c>
      <c r="AN2301" s="1" t="s">
        <v>71</v>
      </c>
      <c r="AS2301" s="1" t="s">
        <v>71</v>
      </c>
      <c r="AX2301" s="1" t="s">
        <v>71</v>
      </c>
      <c r="AY2301" s="1" t="s">
        <v>59</v>
      </c>
      <c r="AZ2301" s="1" t="s">
        <v>74</v>
      </c>
      <c r="BH2301" s="1" t="s">
        <v>71</v>
      </c>
    </row>
    <row r="2302" customFormat="false" ht="15" hidden="false" customHeight="false" outlineLevel="0" collapsed="false">
      <c r="A2302" s="1" t="s">
        <v>7725</v>
      </c>
      <c r="B2302" s="1" t="s">
        <v>7726</v>
      </c>
      <c r="C2302" s="1" t="s">
        <v>110</v>
      </c>
      <c r="D2302" s="1" t="s">
        <v>111</v>
      </c>
      <c r="E2302" s="1" t="s">
        <v>61</v>
      </c>
      <c r="F2302" s="1" t="s">
        <v>101</v>
      </c>
      <c r="G2302" s="1" t="s">
        <v>93</v>
      </c>
      <c r="H2302" s="1" t="s">
        <v>64</v>
      </c>
      <c r="K2302" s="1" t="s">
        <v>302</v>
      </c>
      <c r="L2302" s="1" t="s">
        <v>303</v>
      </c>
      <c r="M2302" s="1" t="s">
        <v>122</v>
      </c>
      <c r="N2302" s="1" t="s">
        <v>105</v>
      </c>
      <c r="O2302" s="1" t="s">
        <v>106</v>
      </c>
      <c r="P2302" s="1" t="s">
        <v>3539</v>
      </c>
      <c r="U2302" s="1" t="s">
        <v>7727</v>
      </c>
      <c r="Z2302" s="1" t="s">
        <v>71</v>
      </c>
      <c r="AE2302" s="1" t="s">
        <v>7724</v>
      </c>
      <c r="AH2302" s="1" t="s">
        <v>73</v>
      </c>
      <c r="AK2302" s="1" t="s">
        <v>71</v>
      </c>
      <c r="AM2302" s="1" t="s">
        <v>71</v>
      </c>
      <c r="AN2302" s="1" t="s">
        <v>71</v>
      </c>
      <c r="AS2302" s="1" t="s">
        <v>71</v>
      </c>
      <c r="AX2302" s="1" t="s">
        <v>71</v>
      </c>
      <c r="AY2302" s="1" t="s">
        <v>59</v>
      </c>
      <c r="AZ2302" s="1" t="s">
        <v>74</v>
      </c>
      <c r="BH2302" s="1" t="s">
        <v>71</v>
      </c>
    </row>
    <row r="2303" customFormat="false" ht="15" hidden="false" customHeight="false" outlineLevel="0" collapsed="false">
      <c r="A2303" s="1" t="s">
        <v>7728</v>
      </c>
      <c r="B2303" s="1" t="s">
        <v>7729</v>
      </c>
      <c r="C2303" s="1" t="s">
        <v>2090</v>
      </c>
      <c r="D2303" s="1" t="s">
        <v>7238</v>
      </c>
      <c r="E2303" s="1" t="s">
        <v>61</v>
      </c>
      <c r="F2303" s="1" t="s">
        <v>101</v>
      </c>
      <c r="G2303" s="1" t="s">
        <v>93</v>
      </c>
      <c r="H2303" s="1" t="s">
        <v>64</v>
      </c>
      <c r="K2303" s="1" t="s">
        <v>108</v>
      </c>
      <c r="L2303" s="1" t="s">
        <v>2547</v>
      </c>
      <c r="M2303" s="1" t="s">
        <v>828</v>
      </c>
      <c r="N2303" s="1" t="s">
        <v>105</v>
      </c>
      <c r="O2303" s="1" t="s">
        <v>106</v>
      </c>
      <c r="P2303" s="1" t="s">
        <v>3539</v>
      </c>
      <c r="U2303" s="1" t="s">
        <v>7730</v>
      </c>
      <c r="Z2303" s="1" t="s">
        <v>71</v>
      </c>
      <c r="AE2303" s="1" t="s">
        <v>7731</v>
      </c>
      <c r="AH2303" s="1" t="s">
        <v>73</v>
      </c>
      <c r="AK2303" s="1" t="s">
        <v>71</v>
      </c>
      <c r="AM2303" s="1" t="s">
        <v>71</v>
      </c>
      <c r="AN2303" s="1" t="s">
        <v>71</v>
      </c>
      <c r="AS2303" s="1" t="s">
        <v>71</v>
      </c>
      <c r="AX2303" s="1" t="s">
        <v>71</v>
      </c>
      <c r="AY2303" s="1" t="s">
        <v>59</v>
      </c>
      <c r="AZ2303" s="1" t="s">
        <v>74</v>
      </c>
      <c r="BH2303" s="1" t="s">
        <v>71</v>
      </c>
    </row>
    <row r="2304" customFormat="false" ht="15" hidden="false" customHeight="false" outlineLevel="0" collapsed="false">
      <c r="A2304" s="1" t="s">
        <v>7732</v>
      </c>
      <c r="B2304" s="1" t="s">
        <v>7733</v>
      </c>
      <c r="C2304" s="1" t="s">
        <v>2090</v>
      </c>
      <c r="D2304" s="1" t="s">
        <v>7238</v>
      </c>
      <c r="E2304" s="1" t="s">
        <v>61</v>
      </c>
      <c r="F2304" s="1" t="s">
        <v>101</v>
      </c>
      <c r="G2304" s="1" t="s">
        <v>93</v>
      </c>
      <c r="H2304" s="1" t="s">
        <v>64</v>
      </c>
      <c r="K2304" s="1" t="s">
        <v>290</v>
      </c>
      <c r="L2304" s="1" t="s">
        <v>291</v>
      </c>
      <c r="M2304" s="1" t="s">
        <v>104</v>
      </c>
      <c r="N2304" s="1" t="s">
        <v>105</v>
      </c>
      <c r="O2304" s="1" t="s">
        <v>106</v>
      </c>
      <c r="P2304" s="1" t="s">
        <v>3539</v>
      </c>
      <c r="U2304" s="1" t="s">
        <v>7734</v>
      </c>
      <c r="Z2304" s="1" t="s">
        <v>71</v>
      </c>
      <c r="AE2304" s="1" t="s">
        <v>7731</v>
      </c>
      <c r="AH2304" s="1" t="s">
        <v>73</v>
      </c>
      <c r="AK2304" s="1" t="s">
        <v>71</v>
      </c>
      <c r="AM2304" s="1" t="s">
        <v>71</v>
      </c>
      <c r="AN2304" s="1" t="s">
        <v>71</v>
      </c>
      <c r="AS2304" s="1" t="s">
        <v>71</v>
      </c>
      <c r="AX2304" s="1" t="s">
        <v>71</v>
      </c>
      <c r="AY2304" s="1" t="s">
        <v>59</v>
      </c>
      <c r="AZ2304" s="1" t="s">
        <v>74</v>
      </c>
      <c r="BH2304" s="1" t="s">
        <v>71</v>
      </c>
    </row>
    <row r="2305" customFormat="false" ht="15" hidden="false" customHeight="false" outlineLevel="0" collapsed="false">
      <c r="A2305" s="1" t="s">
        <v>7735</v>
      </c>
      <c r="B2305" s="1" t="s">
        <v>7736</v>
      </c>
      <c r="C2305" s="1" t="s">
        <v>2090</v>
      </c>
      <c r="D2305" s="1" t="s">
        <v>7238</v>
      </c>
      <c r="E2305" s="1" t="s">
        <v>61</v>
      </c>
      <c r="F2305" s="1" t="s">
        <v>101</v>
      </c>
      <c r="G2305" s="1" t="s">
        <v>93</v>
      </c>
      <c r="H2305" s="1" t="s">
        <v>64</v>
      </c>
      <c r="K2305" s="1" t="s">
        <v>4298</v>
      </c>
      <c r="L2305" s="1" t="s">
        <v>4299</v>
      </c>
      <c r="M2305" s="1" t="s">
        <v>104</v>
      </c>
      <c r="N2305" s="1" t="s">
        <v>123</v>
      </c>
      <c r="O2305" s="1" t="s">
        <v>124</v>
      </c>
      <c r="P2305" s="1" t="s">
        <v>4161</v>
      </c>
      <c r="U2305" s="1" t="s">
        <v>7737</v>
      </c>
      <c r="Z2305" s="1" t="s">
        <v>71</v>
      </c>
      <c r="AE2305" s="1" t="s">
        <v>7731</v>
      </c>
      <c r="AH2305" s="1" t="s">
        <v>73</v>
      </c>
      <c r="AK2305" s="1" t="s">
        <v>71</v>
      </c>
      <c r="AM2305" s="1" t="s">
        <v>71</v>
      </c>
      <c r="AN2305" s="1" t="s">
        <v>71</v>
      </c>
      <c r="AS2305" s="1" t="s">
        <v>71</v>
      </c>
      <c r="AX2305" s="1" t="s">
        <v>71</v>
      </c>
      <c r="AY2305" s="1" t="s">
        <v>59</v>
      </c>
      <c r="AZ2305" s="1" t="s">
        <v>74</v>
      </c>
      <c r="BH2305" s="1" t="s">
        <v>71</v>
      </c>
    </row>
    <row r="2306" customFormat="false" ht="15" hidden="false" customHeight="false" outlineLevel="0" collapsed="false">
      <c r="A2306" s="1" t="s">
        <v>7738</v>
      </c>
      <c r="B2306" s="1" t="s">
        <v>7739</v>
      </c>
      <c r="C2306" s="1" t="s">
        <v>2090</v>
      </c>
      <c r="D2306" s="1" t="s">
        <v>7238</v>
      </c>
      <c r="E2306" s="1" t="s">
        <v>61</v>
      </c>
      <c r="F2306" s="1" t="s">
        <v>101</v>
      </c>
      <c r="G2306" s="1" t="s">
        <v>93</v>
      </c>
      <c r="H2306" s="1" t="s">
        <v>64</v>
      </c>
      <c r="K2306" s="1" t="s">
        <v>2113</v>
      </c>
      <c r="L2306" s="1" t="s">
        <v>4189</v>
      </c>
      <c r="M2306" s="1" t="s">
        <v>104</v>
      </c>
      <c r="N2306" s="1" t="s">
        <v>105</v>
      </c>
      <c r="O2306" s="1" t="s">
        <v>106</v>
      </c>
      <c r="P2306" s="1" t="s">
        <v>3539</v>
      </c>
      <c r="U2306" s="1" t="s">
        <v>7740</v>
      </c>
      <c r="Z2306" s="1" t="s">
        <v>71</v>
      </c>
      <c r="AE2306" s="1" t="s">
        <v>7731</v>
      </c>
      <c r="AH2306" s="1" t="s">
        <v>73</v>
      </c>
      <c r="AK2306" s="1" t="s">
        <v>71</v>
      </c>
      <c r="AM2306" s="1" t="s">
        <v>71</v>
      </c>
      <c r="AN2306" s="1" t="s">
        <v>71</v>
      </c>
      <c r="AS2306" s="1" t="s">
        <v>71</v>
      </c>
      <c r="AX2306" s="1" t="s">
        <v>71</v>
      </c>
      <c r="AY2306" s="1" t="s">
        <v>59</v>
      </c>
      <c r="AZ2306" s="1" t="s">
        <v>74</v>
      </c>
      <c r="BH2306" s="1" t="s">
        <v>71</v>
      </c>
    </row>
    <row r="2307" customFormat="false" ht="15" hidden="false" customHeight="false" outlineLevel="0" collapsed="false">
      <c r="A2307" s="1" t="s">
        <v>7741</v>
      </c>
      <c r="B2307" s="1" t="s">
        <v>7742</v>
      </c>
      <c r="C2307" s="1" t="s">
        <v>2090</v>
      </c>
      <c r="D2307" s="1" t="s">
        <v>7238</v>
      </c>
      <c r="E2307" s="1" t="s">
        <v>61</v>
      </c>
      <c r="F2307" s="1" t="s">
        <v>101</v>
      </c>
      <c r="G2307" s="1" t="s">
        <v>93</v>
      </c>
      <c r="H2307" s="1" t="s">
        <v>64</v>
      </c>
      <c r="K2307" s="1" t="s">
        <v>582</v>
      </c>
      <c r="L2307" s="1" t="s">
        <v>4731</v>
      </c>
      <c r="M2307" s="1" t="s">
        <v>5591</v>
      </c>
      <c r="N2307" s="1" t="s">
        <v>1177</v>
      </c>
      <c r="O2307" s="1" t="s">
        <v>1178</v>
      </c>
      <c r="P2307" s="1" t="s">
        <v>4732</v>
      </c>
      <c r="U2307" s="1" t="s">
        <v>7743</v>
      </c>
      <c r="Z2307" s="1" t="s">
        <v>71</v>
      </c>
      <c r="AE2307" s="1" t="s">
        <v>7731</v>
      </c>
      <c r="AH2307" s="1" t="s">
        <v>73</v>
      </c>
      <c r="AK2307" s="1" t="s">
        <v>71</v>
      </c>
      <c r="AM2307" s="1" t="s">
        <v>71</v>
      </c>
      <c r="AN2307" s="1" t="s">
        <v>71</v>
      </c>
      <c r="AS2307" s="1" t="s">
        <v>71</v>
      </c>
      <c r="AX2307" s="1" t="s">
        <v>71</v>
      </c>
      <c r="AY2307" s="1" t="s">
        <v>59</v>
      </c>
      <c r="AZ2307" s="1" t="s">
        <v>74</v>
      </c>
      <c r="BH2307" s="1" t="s">
        <v>71</v>
      </c>
    </row>
    <row r="2308" customFormat="false" ht="15" hidden="false" customHeight="false" outlineLevel="0" collapsed="false">
      <c r="A2308" s="1" t="s">
        <v>7744</v>
      </c>
      <c r="B2308" s="1" t="s">
        <v>7745</v>
      </c>
      <c r="C2308" s="1" t="s">
        <v>2090</v>
      </c>
      <c r="D2308" s="1" t="s">
        <v>7238</v>
      </c>
      <c r="E2308" s="1" t="s">
        <v>61</v>
      </c>
      <c r="F2308" s="1" t="s">
        <v>101</v>
      </c>
      <c r="G2308" s="1" t="s">
        <v>93</v>
      </c>
      <c r="H2308" s="1" t="s">
        <v>64</v>
      </c>
      <c r="K2308" s="1" t="s">
        <v>108</v>
      </c>
      <c r="L2308" s="1" t="s">
        <v>2547</v>
      </c>
      <c r="M2308" s="1" t="s">
        <v>1387</v>
      </c>
      <c r="N2308" s="1" t="s">
        <v>105</v>
      </c>
      <c r="O2308" s="1" t="s">
        <v>106</v>
      </c>
      <c r="P2308" s="1" t="s">
        <v>3539</v>
      </c>
      <c r="U2308" s="1" t="s">
        <v>7746</v>
      </c>
      <c r="Z2308" s="1" t="s">
        <v>71</v>
      </c>
      <c r="AE2308" s="1" t="s">
        <v>7731</v>
      </c>
      <c r="AH2308" s="1" t="s">
        <v>73</v>
      </c>
      <c r="AK2308" s="1" t="s">
        <v>71</v>
      </c>
      <c r="AM2308" s="1" t="s">
        <v>71</v>
      </c>
      <c r="AN2308" s="1" t="s">
        <v>71</v>
      </c>
      <c r="AS2308" s="1" t="s">
        <v>71</v>
      </c>
      <c r="AX2308" s="1" t="s">
        <v>71</v>
      </c>
      <c r="AY2308" s="1" t="s">
        <v>59</v>
      </c>
      <c r="AZ2308" s="1" t="s">
        <v>74</v>
      </c>
      <c r="BH2308" s="1" t="s">
        <v>71</v>
      </c>
    </row>
    <row r="2309" customFormat="false" ht="15" hidden="false" customHeight="false" outlineLevel="0" collapsed="false">
      <c r="A2309" s="1" t="s">
        <v>7747</v>
      </c>
      <c r="B2309" s="1" t="s">
        <v>7748</v>
      </c>
      <c r="C2309" s="1" t="s">
        <v>2152</v>
      </c>
      <c r="D2309" s="1" t="s">
        <v>7486</v>
      </c>
      <c r="E2309" s="1" t="s">
        <v>61</v>
      </c>
      <c r="F2309" s="1" t="s">
        <v>101</v>
      </c>
      <c r="G2309" s="1" t="s">
        <v>93</v>
      </c>
      <c r="H2309" s="1" t="s">
        <v>64</v>
      </c>
      <c r="K2309" s="1" t="s">
        <v>2190</v>
      </c>
      <c r="L2309" s="1" t="s">
        <v>5590</v>
      </c>
      <c r="M2309" s="1" t="s">
        <v>5708</v>
      </c>
      <c r="N2309" s="1" t="s">
        <v>5592</v>
      </c>
      <c r="O2309" s="1" t="s">
        <v>5593</v>
      </c>
      <c r="P2309" s="1" t="s">
        <v>5594</v>
      </c>
      <c r="U2309" s="1" t="s">
        <v>7747</v>
      </c>
      <c r="Z2309" s="1" t="s">
        <v>71</v>
      </c>
      <c r="AE2309" s="1" t="s">
        <v>7749</v>
      </c>
      <c r="AH2309" s="1" t="s">
        <v>73</v>
      </c>
      <c r="AK2309" s="1" t="s">
        <v>71</v>
      </c>
      <c r="AM2309" s="1" t="s">
        <v>71</v>
      </c>
      <c r="AN2309" s="1" t="s">
        <v>71</v>
      </c>
      <c r="AS2309" s="1" t="s">
        <v>71</v>
      </c>
      <c r="AX2309" s="1" t="s">
        <v>71</v>
      </c>
      <c r="AY2309" s="1" t="s">
        <v>59</v>
      </c>
      <c r="AZ2309" s="1" t="s">
        <v>74</v>
      </c>
      <c r="BH2309" s="1" t="s">
        <v>71</v>
      </c>
    </row>
    <row r="2310" customFormat="false" ht="15" hidden="false" customHeight="false" outlineLevel="0" collapsed="false">
      <c r="A2310" s="1" t="s">
        <v>7750</v>
      </c>
      <c r="B2310" s="1" t="s">
        <v>7751</v>
      </c>
      <c r="C2310" s="1" t="s">
        <v>2152</v>
      </c>
      <c r="D2310" s="1" t="s">
        <v>7486</v>
      </c>
      <c r="E2310" s="1" t="s">
        <v>61</v>
      </c>
      <c r="F2310" s="1" t="s">
        <v>101</v>
      </c>
      <c r="G2310" s="1" t="s">
        <v>93</v>
      </c>
      <c r="H2310" s="1" t="s">
        <v>64</v>
      </c>
      <c r="K2310" s="1" t="s">
        <v>5548</v>
      </c>
      <c r="L2310" s="1" t="s">
        <v>5549</v>
      </c>
      <c r="M2310" s="1" t="s">
        <v>6273</v>
      </c>
      <c r="N2310" s="1" t="s">
        <v>105</v>
      </c>
      <c r="O2310" s="1" t="s">
        <v>106</v>
      </c>
      <c r="P2310" s="1" t="s">
        <v>3539</v>
      </c>
      <c r="U2310" s="1" t="s">
        <v>7750</v>
      </c>
      <c r="V2310" s="1" t="s">
        <v>7487</v>
      </c>
      <c r="Z2310" s="1" t="s">
        <v>71</v>
      </c>
      <c r="AE2310" s="1" t="s">
        <v>7749</v>
      </c>
      <c r="AH2310" s="1" t="s">
        <v>73</v>
      </c>
      <c r="AK2310" s="1" t="s">
        <v>71</v>
      </c>
      <c r="AM2310" s="1" t="s">
        <v>71</v>
      </c>
      <c r="AN2310" s="1" t="s">
        <v>71</v>
      </c>
      <c r="AS2310" s="1" t="s">
        <v>71</v>
      </c>
      <c r="AX2310" s="1" t="s">
        <v>71</v>
      </c>
      <c r="AY2310" s="1" t="s">
        <v>59</v>
      </c>
      <c r="AZ2310" s="1" t="s">
        <v>74</v>
      </c>
      <c r="BH2310" s="1" t="s">
        <v>71</v>
      </c>
    </row>
    <row r="2311" customFormat="false" ht="15" hidden="false" customHeight="false" outlineLevel="0" collapsed="false">
      <c r="A2311" s="1" t="s">
        <v>7752</v>
      </c>
      <c r="B2311" s="1" t="s">
        <v>7753</v>
      </c>
      <c r="C2311" s="1" t="s">
        <v>288</v>
      </c>
      <c r="D2311" s="1" t="s">
        <v>289</v>
      </c>
      <c r="E2311" s="1" t="s">
        <v>82</v>
      </c>
      <c r="F2311" s="1" t="s">
        <v>391</v>
      </c>
      <c r="G2311" s="1" t="s">
        <v>213</v>
      </c>
      <c r="H2311" s="1" t="s">
        <v>477</v>
      </c>
      <c r="K2311" s="1" t="s">
        <v>215</v>
      </c>
      <c r="L2311" s="1" t="s">
        <v>7754</v>
      </c>
      <c r="M2311" s="1" t="s">
        <v>496</v>
      </c>
      <c r="N2311" s="1" t="s">
        <v>7755</v>
      </c>
      <c r="O2311" s="1" t="s">
        <v>7756</v>
      </c>
      <c r="P2311" s="1" t="s">
        <v>7757</v>
      </c>
      <c r="U2311" s="1" t="s">
        <v>7752</v>
      </c>
      <c r="Z2311" s="1" t="s">
        <v>71</v>
      </c>
      <c r="AE2311" s="1" t="s">
        <v>7749</v>
      </c>
      <c r="AH2311" s="1" t="s">
        <v>73</v>
      </c>
      <c r="AK2311" s="1" t="s">
        <v>71</v>
      </c>
      <c r="AM2311" s="1" t="s">
        <v>71</v>
      </c>
      <c r="AN2311" s="1" t="s">
        <v>71</v>
      </c>
      <c r="AS2311" s="1" t="s">
        <v>71</v>
      </c>
      <c r="AX2311" s="1" t="s">
        <v>71</v>
      </c>
      <c r="BH2311" s="1" t="s">
        <v>71</v>
      </c>
    </row>
    <row r="2312" customFormat="false" ht="15" hidden="false" customHeight="false" outlineLevel="0" collapsed="false">
      <c r="A2312" s="1" t="s">
        <v>7758</v>
      </c>
      <c r="B2312" s="1" t="s">
        <v>7759</v>
      </c>
      <c r="C2312" s="1" t="s">
        <v>7760</v>
      </c>
      <c r="D2312" s="1" t="s">
        <v>7761</v>
      </c>
      <c r="E2312" s="1" t="s">
        <v>82</v>
      </c>
      <c r="F2312" s="1" t="s">
        <v>391</v>
      </c>
      <c r="G2312" s="1" t="s">
        <v>97</v>
      </c>
      <c r="H2312" s="1" t="s">
        <v>406</v>
      </c>
      <c r="K2312" s="1" t="s">
        <v>65</v>
      </c>
      <c r="L2312" s="1" t="s">
        <v>860</v>
      </c>
      <c r="M2312" s="1" t="s">
        <v>496</v>
      </c>
      <c r="N2312" s="1" t="s">
        <v>7762</v>
      </c>
      <c r="O2312" s="1" t="s">
        <v>7763</v>
      </c>
      <c r="P2312" s="1" t="s">
        <v>7764</v>
      </c>
      <c r="U2312" s="1" t="s">
        <v>7758</v>
      </c>
      <c r="Z2312" s="1" t="s">
        <v>71</v>
      </c>
      <c r="AE2312" s="1" t="s">
        <v>7765</v>
      </c>
      <c r="AH2312" s="1" t="s">
        <v>73</v>
      </c>
      <c r="AK2312" s="1" t="s">
        <v>71</v>
      </c>
      <c r="AM2312" s="1" t="s">
        <v>71</v>
      </c>
      <c r="AN2312" s="1" t="s">
        <v>71</v>
      </c>
      <c r="AS2312" s="1" t="s">
        <v>71</v>
      </c>
      <c r="AX2312" s="1" t="s">
        <v>71</v>
      </c>
      <c r="BH2312" s="1" t="s">
        <v>71</v>
      </c>
    </row>
    <row r="2313" customFormat="false" ht="15" hidden="false" customHeight="false" outlineLevel="0" collapsed="false">
      <c r="A2313" s="1" t="s">
        <v>7766</v>
      </c>
      <c r="B2313" s="1" t="s">
        <v>7767</v>
      </c>
      <c r="C2313" s="1" t="s">
        <v>7760</v>
      </c>
      <c r="D2313" s="1" t="s">
        <v>7761</v>
      </c>
      <c r="E2313" s="1" t="s">
        <v>82</v>
      </c>
      <c r="F2313" s="1" t="s">
        <v>391</v>
      </c>
      <c r="G2313" s="1" t="s">
        <v>97</v>
      </c>
      <c r="H2313" s="1" t="s">
        <v>406</v>
      </c>
      <c r="K2313" s="1" t="s">
        <v>65</v>
      </c>
      <c r="L2313" s="1" t="s">
        <v>860</v>
      </c>
      <c r="M2313" s="1" t="s">
        <v>496</v>
      </c>
      <c r="N2313" s="1" t="s">
        <v>7762</v>
      </c>
      <c r="O2313" s="1" t="s">
        <v>7763</v>
      </c>
      <c r="P2313" s="1" t="s">
        <v>7764</v>
      </c>
      <c r="U2313" s="1" t="s">
        <v>7766</v>
      </c>
      <c r="Z2313" s="1" t="s">
        <v>71</v>
      </c>
      <c r="AE2313" s="1" t="s">
        <v>7765</v>
      </c>
      <c r="AH2313" s="1" t="s">
        <v>73</v>
      </c>
      <c r="AK2313" s="1" t="s">
        <v>71</v>
      </c>
      <c r="AM2313" s="1" t="s">
        <v>71</v>
      </c>
      <c r="AN2313" s="1" t="s">
        <v>71</v>
      </c>
      <c r="AS2313" s="1" t="s">
        <v>71</v>
      </c>
      <c r="AX2313" s="1" t="s">
        <v>71</v>
      </c>
      <c r="BH2313" s="1" t="s">
        <v>71</v>
      </c>
    </row>
    <row r="2314" customFormat="false" ht="15" hidden="false" customHeight="false" outlineLevel="0" collapsed="false">
      <c r="A2314" s="1" t="s">
        <v>7768</v>
      </c>
      <c r="B2314" s="1" t="s">
        <v>7769</v>
      </c>
      <c r="C2314" s="1" t="s">
        <v>7760</v>
      </c>
      <c r="D2314" s="1" t="s">
        <v>7761</v>
      </c>
      <c r="E2314" s="1" t="s">
        <v>82</v>
      </c>
      <c r="F2314" s="1" t="s">
        <v>391</v>
      </c>
      <c r="G2314" s="1" t="s">
        <v>97</v>
      </c>
      <c r="H2314" s="1" t="s">
        <v>406</v>
      </c>
      <c r="K2314" s="1" t="s">
        <v>65</v>
      </c>
      <c r="L2314" s="1" t="s">
        <v>860</v>
      </c>
      <c r="M2314" s="1" t="s">
        <v>496</v>
      </c>
      <c r="N2314" s="1" t="s">
        <v>7762</v>
      </c>
      <c r="O2314" s="1" t="s">
        <v>7763</v>
      </c>
      <c r="P2314" s="1" t="s">
        <v>7764</v>
      </c>
      <c r="U2314" s="1" t="s">
        <v>7768</v>
      </c>
      <c r="Z2314" s="1" t="s">
        <v>71</v>
      </c>
      <c r="AE2314" s="1" t="s">
        <v>7765</v>
      </c>
      <c r="AH2314" s="1" t="s">
        <v>73</v>
      </c>
      <c r="AK2314" s="1" t="s">
        <v>71</v>
      </c>
      <c r="AM2314" s="1" t="s">
        <v>71</v>
      </c>
      <c r="AN2314" s="1" t="s">
        <v>71</v>
      </c>
      <c r="AS2314" s="1" t="s">
        <v>71</v>
      </c>
      <c r="AX2314" s="1" t="s">
        <v>71</v>
      </c>
      <c r="BH2314" s="1" t="s">
        <v>71</v>
      </c>
    </row>
    <row r="2315" customFormat="false" ht="15" hidden="false" customHeight="false" outlineLevel="0" collapsed="false">
      <c r="A2315" s="1" t="s">
        <v>7770</v>
      </c>
      <c r="B2315" s="1" t="s">
        <v>7771</v>
      </c>
      <c r="C2315" s="1" t="s">
        <v>7760</v>
      </c>
      <c r="D2315" s="1" t="s">
        <v>7761</v>
      </c>
      <c r="E2315" s="1" t="s">
        <v>82</v>
      </c>
      <c r="F2315" s="1" t="s">
        <v>391</v>
      </c>
      <c r="G2315" s="1" t="s">
        <v>97</v>
      </c>
      <c r="H2315" s="1" t="s">
        <v>406</v>
      </c>
      <c r="K2315" s="1" t="s">
        <v>65</v>
      </c>
      <c r="L2315" s="1" t="s">
        <v>860</v>
      </c>
      <c r="M2315" s="1" t="s">
        <v>496</v>
      </c>
      <c r="N2315" s="1" t="s">
        <v>7772</v>
      </c>
      <c r="O2315" s="1" t="s">
        <v>400</v>
      </c>
      <c r="P2315" s="1" t="s">
        <v>7773</v>
      </c>
      <c r="U2315" s="1" t="s">
        <v>7770</v>
      </c>
      <c r="Z2315" s="1" t="s">
        <v>71</v>
      </c>
      <c r="AE2315" s="1" t="s">
        <v>7765</v>
      </c>
      <c r="AH2315" s="1" t="s">
        <v>73</v>
      </c>
      <c r="AK2315" s="1" t="s">
        <v>71</v>
      </c>
      <c r="AM2315" s="1" t="s">
        <v>71</v>
      </c>
      <c r="AN2315" s="1" t="s">
        <v>71</v>
      </c>
      <c r="AS2315" s="1" t="s">
        <v>71</v>
      </c>
      <c r="AX2315" s="1" t="s">
        <v>71</v>
      </c>
      <c r="BH2315" s="1" t="s">
        <v>71</v>
      </c>
    </row>
    <row r="2316" customFormat="false" ht="15" hidden="false" customHeight="false" outlineLevel="0" collapsed="false">
      <c r="A2316" s="1" t="s">
        <v>7774</v>
      </c>
      <c r="B2316" s="1" t="s">
        <v>7775</v>
      </c>
      <c r="C2316" s="1" t="s">
        <v>7760</v>
      </c>
      <c r="D2316" s="1" t="s">
        <v>7761</v>
      </c>
      <c r="E2316" s="1" t="s">
        <v>82</v>
      </c>
      <c r="F2316" s="1" t="s">
        <v>391</v>
      </c>
      <c r="G2316" s="1" t="s">
        <v>97</v>
      </c>
      <c r="H2316" s="1" t="s">
        <v>406</v>
      </c>
      <c r="K2316" s="1" t="s">
        <v>65</v>
      </c>
      <c r="L2316" s="1" t="s">
        <v>860</v>
      </c>
      <c r="M2316" s="1" t="s">
        <v>496</v>
      </c>
      <c r="N2316" s="1" t="s">
        <v>7776</v>
      </c>
      <c r="O2316" s="1" t="s">
        <v>400</v>
      </c>
      <c r="P2316" s="1" t="s">
        <v>7777</v>
      </c>
      <c r="U2316" s="1" t="s">
        <v>7774</v>
      </c>
      <c r="Z2316" s="1" t="s">
        <v>71</v>
      </c>
      <c r="AE2316" s="1" t="s">
        <v>7765</v>
      </c>
      <c r="AH2316" s="1" t="s">
        <v>73</v>
      </c>
      <c r="AK2316" s="1" t="s">
        <v>71</v>
      </c>
      <c r="AM2316" s="1" t="s">
        <v>71</v>
      </c>
      <c r="AN2316" s="1" t="s">
        <v>71</v>
      </c>
      <c r="AS2316" s="1" t="s">
        <v>71</v>
      </c>
      <c r="AX2316" s="1" t="s">
        <v>71</v>
      </c>
      <c r="BH2316" s="1" t="s">
        <v>71</v>
      </c>
    </row>
    <row r="2317" customFormat="false" ht="15" hidden="false" customHeight="false" outlineLevel="0" collapsed="false">
      <c r="A2317" s="1" t="s">
        <v>7778</v>
      </c>
      <c r="B2317" s="1" t="s">
        <v>7779</v>
      </c>
      <c r="C2317" s="1" t="s">
        <v>2255</v>
      </c>
      <c r="D2317" s="1" t="s">
        <v>7780</v>
      </c>
      <c r="E2317" s="1" t="s">
        <v>61</v>
      </c>
      <c r="F2317" s="1" t="s">
        <v>101</v>
      </c>
      <c r="G2317" s="1" t="s">
        <v>148</v>
      </c>
      <c r="H2317" s="1" t="s">
        <v>231</v>
      </c>
      <c r="K2317" s="1" t="s">
        <v>308</v>
      </c>
      <c r="L2317" s="1" t="s">
        <v>309</v>
      </c>
      <c r="M2317" s="1" t="s">
        <v>104</v>
      </c>
      <c r="N2317" s="1" t="s">
        <v>234</v>
      </c>
      <c r="O2317" s="1" t="s">
        <v>235</v>
      </c>
      <c r="P2317" s="1" t="s">
        <v>5284</v>
      </c>
      <c r="U2317" s="1" t="s">
        <v>4273</v>
      </c>
      <c r="Z2317" s="1" t="s">
        <v>71</v>
      </c>
      <c r="AE2317" s="1" t="s">
        <v>7765</v>
      </c>
      <c r="AH2317" s="1" t="s">
        <v>73</v>
      </c>
      <c r="AK2317" s="1" t="s">
        <v>71</v>
      </c>
      <c r="AM2317" s="1" t="s">
        <v>71</v>
      </c>
      <c r="AN2317" s="1" t="s">
        <v>71</v>
      </c>
      <c r="AS2317" s="1" t="s">
        <v>71</v>
      </c>
      <c r="AX2317" s="1" t="s">
        <v>71</v>
      </c>
      <c r="AY2317" s="1" t="s">
        <v>59</v>
      </c>
      <c r="AZ2317" s="1" t="s">
        <v>74</v>
      </c>
      <c r="BH2317" s="1" t="s">
        <v>71</v>
      </c>
    </row>
    <row r="2318" customFormat="false" ht="15" hidden="false" customHeight="false" outlineLevel="0" collapsed="false">
      <c r="A2318" s="1" t="s">
        <v>7781</v>
      </c>
      <c r="B2318" s="1" t="s">
        <v>7782</v>
      </c>
      <c r="C2318" s="1" t="s">
        <v>182</v>
      </c>
      <c r="D2318" s="1" t="s">
        <v>239</v>
      </c>
      <c r="E2318" s="1" t="s">
        <v>61</v>
      </c>
      <c r="F2318" s="1" t="s">
        <v>101</v>
      </c>
      <c r="G2318" s="1" t="s">
        <v>275</v>
      </c>
      <c r="H2318" s="1" t="s">
        <v>276</v>
      </c>
      <c r="K2318" s="1" t="s">
        <v>526</v>
      </c>
      <c r="L2318" s="1" t="s">
        <v>5362</v>
      </c>
      <c r="M2318" s="1" t="s">
        <v>1512</v>
      </c>
      <c r="N2318" s="1" t="s">
        <v>5189</v>
      </c>
      <c r="O2318" s="1" t="s">
        <v>5190</v>
      </c>
      <c r="P2318" s="1" t="s">
        <v>5191</v>
      </c>
      <c r="S2318" s="1" t="s">
        <v>275</v>
      </c>
      <c r="U2318" s="1" t="s">
        <v>7783</v>
      </c>
      <c r="Z2318" s="1" t="s">
        <v>71</v>
      </c>
      <c r="AE2318" s="1" t="s">
        <v>7784</v>
      </c>
      <c r="AH2318" s="1" t="s">
        <v>73</v>
      </c>
      <c r="AK2318" s="1" t="s">
        <v>71</v>
      </c>
      <c r="AM2318" s="1" t="s">
        <v>71</v>
      </c>
      <c r="AN2318" s="1" t="s">
        <v>71</v>
      </c>
      <c r="AS2318" s="1" t="s">
        <v>71</v>
      </c>
      <c r="AX2318" s="1" t="s">
        <v>71</v>
      </c>
      <c r="AY2318" s="1" t="s">
        <v>59</v>
      </c>
      <c r="AZ2318" s="1" t="s">
        <v>74</v>
      </c>
      <c r="BH2318" s="1" t="s">
        <v>71</v>
      </c>
    </row>
    <row r="2319" customFormat="false" ht="15" hidden="false" customHeight="false" outlineLevel="0" collapsed="false">
      <c r="A2319" s="1" t="s">
        <v>7785</v>
      </c>
      <c r="B2319" s="1" t="s">
        <v>7786</v>
      </c>
      <c r="C2319" s="1" t="s">
        <v>182</v>
      </c>
      <c r="D2319" s="1" t="s">
        <v>239</v>
      </c>
      <c r="E2319" s="1" t="s">
        <v>61</v>
      </c>
      <c r="F2319" s="1" t="s">
        <v>101</v>
      </c>
      <c r="G2319" s="1" t="s">
        <v>275</v>
      </c>
      <c r="H2319" s="1" t="s">
        <v>276</v>
      </c>
      <c r="K2319" s="1" t="s">
        <v>526</v>
      </c>
      <c r="L2319" s="1" t="s">
        <v>5362</v>
      </c>
      <c r="M2319" s="1" t="s">
        <v>1672</v>
      </c>
      <c r="N2319" s="1" t="s">
        <v>5189</v>
      </c>
      <c r="O2319" s="1" t="s">
        <v>5190</v>
      </c>
      <c r="P2319" s="1" t="s">
        <v>5191</v>
      </c>
      <c r="S2319" s="1" t="s">
        <v>275</v>
      </c>
      <c r="U2319" s="1" t="s">
        <v>7787</v>
      </c>
      <c r="Z2319" s="1" t="s">
        <v>71</v>
      </c>
      <c r="AE2319" s="1" t="s">
        <v>7784</v>
      </c>
      <c r="AH2319" s="1" t="s">
        <v>73</v>
      </c>
      <c r="AK2319" s="1" t="s">
        <v>71</v>
      </c>
      <c r="AM2319" s="1" t="s">
        <v>71</v>
      </c>
      <c r="AN2319" s="1" t="s">
        <v>71</v>
      </c>
      <c r="AS2319" s="1" t="s">
        <v>71</v>
      </c>
      <c r="AX2319" s="1" t="s">
        <v>71</v>
      </c>
      <c r="AY2319" s="1" t="s">
        <v>59</v>
      </c>
      <c r="AZ2319" s="1" t="s">
        <v>74</v>
      </c>
      <c r="BH2319" s="1" t="s">
        <v>71</v>
      </c>
    </row>
    <row r="2320" customFormat="false" ht="15" hidden="false" customHeight="false" outlineLevel="0" collapsed="false">
      <c r="A2320" s="1" t="s">
        <v>7788</v>
      </c>
      <c r="B2320" s="1" t="s">
        <v>7789</v>
      </c>
      <c r="C2320" s="1" t="s">
        <v>2146</v>
      </c>
      <c r="D2320" s="1" t="s">
        <v>7457</v>
      </c>
      <c r="E2320" s="1" t="s">
        <v>61</v>
      </c>
      <c r="F2320" s="1" t="s">
        <v>101</v>
      </c>
      <c r="G2320" s="1" t="s">
        <v>93</v>
      </c>
      <c r="H2320" s="1" t="s">
        <v>64</v>
      </c>
      <c r="K2320" s="1" t="s">
        <v>126</v>
      </c>
      <c r="L2320" s="1" t="s">
        <v>335</v>
      </c>
      <c r="M2320" s="1" t="s">
        <v>310</v>
      </c>
      <c r="N2320" s="1" t="s">
        <v>105</v>
      </c>
      <c r="O2320" s="1" t="s">
        <v>106</v>
      </c>
      <c r="P2320" s="1" t="s">
        <v>3539</v>
      </c>
      <c r="U2320" s="1" t="s">
        <v>7790</v>
      </c>
      <c r="Z2320" s="1" t="s">
        <v>71</v>
      </c>
      <c r="AE2320" s="1" t="s">
        <v>7784</v>
      </c>
      <c r="AH2320" s="1" t="s">
        <v>73</v>
      </c>
      <c r="AK2320" s="1" t="s">
        <v>71</v>
      </c>
      <c r="AM2320" s="1" t="s">
        <v>71</v>
      </c>
      <c r="AN2320" s="1" t="s">
        <v>71</v>
      </c>
      <c r="AS2320" s="1" t="s">
        <v>71</v>
      </c>
      <c r="AX2320" s="1" t="s">
        <v>71</v>
      </c>
      <c r="AY2320" s="1" t="s">
        <v>59</v>
      </c>
      <c r="AZ2320" s="1" t="s">
        <v>74</v>
      </c>
      <c r="BH2320" s="1" t="s">
        <v>71</v>
      </c>
    </row>
    <row r="2321" customFormat="false" ht="15" hidden="false" customHeight="false" outlineLevel="0" collapsed="false">
      <c r="A2321" s="1" t="s">
        <v>7791</v>
      </c>
      <c r="B2321" s="1" t="s">
        <v>7792</v>
      </c>
      <c r="C2321" s="1" t="s">
        <v>2146</v>
      </c>
      <c r="D2321" s="1" t="s">
        <v>7457</v>
      </c>
      <c r="E2321" s="1" t="s">
        <v>61</v>
      </c>
      <c r="F2321" s="1" t="s">
        <v>101</v>
      </c>
      <c r="G2321" s="1" t="s">
        <v>93</v>
      </c>
      <c r="H2321" s="1" t="s">
        <v>64</v>
      </c>
      <c r="K2321" s="1" t="s">
        <v>126</v>
      </c>
      <c r="L2321" s="1" t="s">
        <v>335</v>
      </c>
      <c r="M2321" s="1" t="s">
        <v>104</v>
      </c>
      <c r="N2321" s="1" t="s">
        <v>105</v>
      </c>
      <c r="O2321" s="1" t="s">
        <v>106</v>
      </c>
      <c r="P2321" s="1" t="s">
        <v>3539</v>
      </c>
      <c r="U2321" s="1" t="s">
        <v>7793</v>
      </c>
      <c r="Z2321" s="1" t="s">
        <v>71</v>
      </c>
      <c r="AE2321" s="1" t="s">
        <v>7784</v>
      </c>
      <c r="AH2321" s="1" t="s">
        <v>73</v>
      </c>
      <c r="AK2321" s="1" t="s">
        <v>71</v>
      </c>
      <c r="AM2321" s="1" t="s">
        <v>71</v>
      </c>
      <c r="AN2321" s="1" t="s">
        <v>71</v>
      </c>
      <c r="AS2321" s="1" t="s">
        <v>71</v>
      </c>
      <c r="AX2321" s="1" t="s">
        <v>71</v>
      </c>
      <c r="AY2321" s="1" t="s">
        <v>59</v>
      </c>
      <c r="AZ2321" s="1" t="s">
        <v>74</v>
      </c>
      <c r="BH2321" s="1" t="s">
        <v>71</v>
      </c>
    </row>
    <row r="2322" customFormat="false" ht="15" hidden="false" customHeight="false" outlineLevel="0" collapsed="false">
      <c r="A2322" s="1" t="s">
        <v>7794</v>
      </c>
      <c r="B2322" s="1" t="s">
        <v>7795</v>
      </c>
      <c r="C2322" s="1" t="s">
        <v>2146</v>
      </c>
      <c r="D2322" s="1" t="s">
        <v>7457</v>
      </c>
      <c r="E2322" s="1" t="s">
        <v>61</v>
      </c>
      <c r="F2322" s="1" t="s">
        <v>101</v>
      </c>
      <c r="G2322" s="1" t="s">
        <v>93</v>
      </c>
      <c r="H2322" s="1" t="s">
        <v>64</v>
      </c>
      <c r="K2322" s="1" t="s">
        <v>195</v>
      </c>
      <c r="L2322" s="1" t="s">
        <v>1542</v>
      </c>
      <c r="M2322" s="1" t="s">
        <v>104</v>
      </c>
      <c r="N2322" s="1" t="s">
        <v>1177</v>
      </c>
      <c r="O2322" s="1" t="s">
        <v>1178</v>
      </c>
      <c r="P2322" s="1" t="s">
        <v>4732</v>
      </c>
      <c r="U2322" s="1" t="s">
        <v>7796</v>
      </c>
      <c r="Z2322" s="1" t="s">
        <v>71</v>
      </c>
      <c r="AE2322" s="1" t="s">
        <v>7784</v>
      </c>
      <c r="AH2322" s="1" t="s">
        <v>73</v>
      </c>
      <c r="AK2322" s="1" t="s">
        <v>71</v>
      </c>
      <c r="AM2322" s="1" t="s">
        <v>71</v>
      </c>
      <c r="AN2322" s="1" t="s">
        <v>71</v>
      </c>
      <c r="AS2322" s="1" t="s">
        <v>71</v>
      </c>
      <c r="AX2322" s="1" t="s">
        <v>71</v>
      </c>
      <c r="AY2322" s="1" t="s">
        <v>59</v>
      </c>
      <c r="AZ2322" s="1" t="s">
        <v>74</v>
      </c>
      <c r="BH2322" s="1" t="s">
        <v>71</v>
      </c>
    </row>
    <row r="2323" customFormat="false" ht="15" hidden="false" customHeight="false" outlineLevel="0" collapsed="false">
      <c r="A2323" s="1" t="s">
        <v>7797</v>
      </c>
      <c r="B2323" s="1" t="s">
        <v>7798</v>
      </c>
      <c r="C2323" s="1" t="s">
        <v>2071</v>
      </c>
      <c r="D2323" s="1" t="s">
        <v>7206</v>
      </c>
      <c r="E2323" s="1" t="s">
        <v>61</v>
      </c>
      <c r="F2323" s="1" t="s">
        <v>101</v>
      </c>
      <c r="G2323" s="1" t="s">
        <v>275</v>
      </c>
      <c r="H2323" s="1" t="s">
        <v>276</v>
      </c>
      <c r="K2323" s="1" t="s">
        <v>256</v>
      </c>
      <c r="L2323" s="1" t="s">
        <v>6281</v>
      </c>
      <c r="M2323" s="1" t="s">
        <v>296</v>
      </c>
      <c r="N2323" s="1" t="s">
        <v>1365</v>
      </c>
      <c r="O2323" s="1" t="s">
        <v>1366</v>
      </c>
      <c r="P2323" s="1" t="s">
        <v>4820</v>
      </c>
      <c r="U2323" s="1" t="s">
        <v>7799</v>
      </c>
      <c r="Z2323" s="1" t="s">
        <v>71</v>
      </c>
      <c r="AE2323" s="1" t="s">
        <v>7784</v>
      </c>
      <c r="AH2323" s="1" t="s">
        <v>73</v>
      </c>
      <c r="AK2323" s="1" t="s">
        <v>71</v>
      </c>
      <c r="AM2323" s="1" t="s">
        <v>71</v>
      </c>
      <c r="AN2323" s="1" t="s">
        <v>71</v>
      </c>
      <c r="AS2323" s="1" t="s">
        <v>71</v>
      </c>
      <c r="AX2323" s="1" t="s">
        <v>71</v>
      </c>
      <c r="AY2323" s="1" t="s">
        <v>59</v>
      </c>
      <c r="AZ2323" s="1" t="s">
        <v>74</v>
      </c>
      <c r="BH2323" s="1" t="s">
        <v>71</v>
      </c>
    </row>
    <row r="2324" customFormat="false" ht="15" hidden="false" customHeight="false" outlineLevel="0" collapsed="false">
      <c r="A2324" s="1" t="s">
        <v>7800</v>
      </c>
      <c r="B2324" s="1" t="s">
        <v>7801</v>
      </c>
      <c r="C2324" s="1" t="s">
        <v>2071</v>
      </c>
      <c r="D2324" s="1" t="s">
        <v>7206</v>
      </c>
      <c r="E2324" s="1" t="s">
        <v>61</v>
      </c>
      <c r="F2324" s="1" t="s">
        <v>101</v>
      </c>
      <c r="G2324" s="1" t="s">
        <v>275</v>
      </c>
      <c r="H2324" s="1" t="s">
        <v>276</v>
      </c>
      <c r="K2324" s="1" t="s">
        <v>256</v>
      </c>
      <c r="L2324" s="1" t="s">
        <v>6281</v>
      </c>
      <c r="M2324" s="1" t="s">
        <v>296</v>
      </c>
      <c r="N2324" s="1" t="s">
        <v>1365</v>
      </c>
      <c r="O2324" s="1" t="s">
        <v>1366</v>
      </c>
      <c r="P2324" s="1" t="s">
        <v>4820</v>
      </c>
      <c r="U2324" s="1" t="s">
        <v>7802</v>
      </c>
      <c r="Z2324" s="1" t="s">
        <v>71</v>
      </c>
      <c r="AE2324" s="1" t="s">
        <v>7784</v>
      </c>
      <c r="AH2324" s="1" t="s">
        <v>73</v>
      </c>
      <c r="AK2324" s="1" t="s">
        <v>71</v>
      </c>
      <c r="AM2324" s="1" t="s">
        <v>71</v>
      </c>
      <c r="AN2324" s="1" t="s">
        <v>71</v>
      </c>
      <c r="AS2324" s="1" t="s">
        <v>71</v>
      </c>
      <c r="AX2324" s="1" t="s">
        <v>71</v>
      </c>
      <c r="AY2324" s="1" t="s">
        <v>59</v>
      </c>
      <c r="AZ2324" s="1" t="s">
        <v>74</v>
      </c>
      <c r="BH2324" s="1" t="s">
        <v>71</v>
      </c>
    </row>
    <row r="2325" customFormat="false" ht="15" hidden="false" customHeight="false" outlineLevel="0" collapsed="false">
      <c r="A2325" s="1" t="s">
        <v>7803</v>
      </c>
      <c r="B2325" s="1" t="s">
        <v>7804</v>
      </c>
      <c r="C2325" s="1" t="s">
        <v>2175</v>
      </c>
      <c r="D2325" s="1" t="s">
        <v>7519</v>
      </c>
      <c r="E2325" s="1" t="s">
        <v>65</v>
      </c>
      <c r="F2325" s="1" t="s">
        <v>119</v>
      </c>
      <c r="G2325" s="1" t="s">
        <v>61</v>
      </c>
      <c r="H2325" s="1" t="s">
        <v>231</v>
      </c>
      <c r="K2325" s="1" t="s">
        <v>1385</v>
      </c>
      <c r="L2325" s="1" t="s">
        <v>1386</v>
      </c>
      <c r="M2325" s="1" t="s">
        <v>242</v>
      </c>
      <c r="N2325" s="1" t="s">
        <v>375</v>
      </c>
      <c r="O2325" s="1" t="s">
        <v>376</v>
      </c>
      <c r="P2325" s="1" t="s">
        <v>5536</v>
      </c>
      <c r="U2325" s="1" t="s">
        <v>7803</v>
      </c>
      <c r="Z2325" s="1" t="s">
        <v>71</v>
      </c>
      <c r="AE2325" s="1" t="s">
        <v>7805</v>
      </c>
      <c r="AH2325" s="1" t="s">
        <v>73</v>
      </c>
      <c r="AK2325" s="1" t="s">
        <v>71</v>
      </c>
      <c r="AM2325" s="1" t="s">
        <v>71</v>
      </c>
      <c r="AN2325" s="1" t="s">
        <v>71</v>
      </c>
      <c r="AS2325" s="1" t="s">
        <v>71</v>
      </c>
      <c r="AX2325" s="1" t="s">
        <v>71</v>
      </c>
      <c r="AY2325" s="1" t="s">
        <v>59</v>
      </c>
      <c r="AZ2325" s="1" t="s">
        <v>74</v>
      </c>
      <c r="BH2325" s="1" t="s">
        <v>71</v>
      </c>
    </row>
    <row r="2326" customFormat="false" ht="15" hidden="false" customHeight="false" outlineLevel="0" collapsed="false">
      <c r="A2326" s="1" t="s">
        <v>7806</v>
      </c>
      <c r="B2326" s="1" t="s">
        <v>7807</v>
      </c>
      <c r="C2326" s="1" t="s">
        <v>2271</v>
      </c>
      <c r="D2326" s="1" t="s">
        <v>7808</v>
      </c>
      <c r="E2326" s="1" t="s">
        <v>88</v>
      </c>
      <c r="F2326" s="1" t="s">
        <v>432</v>
      </c>
      <c r="G2326" s="1" t="s">
        <v>435</v>
      </c>
      <c r="H2326" s="1" t="s">
        <v>7809</v>
      </c>
      <c r="K2326" s="1" t="s">
        <v>59</v>
      </c>
      <c r="L2326" s="1" t="s">
        <v>7810</v>
      </c>
      <c r="M2326" s="1" t="s">
        <v>496</v>
      </c>
      <c r="N2326" s="1" t="s">
        <v>7811</v>
      </c>
      <c r="O2326" s="1" t="s">
        <v>7812</v>
      </c>
      <c r="P2326" s="1" t="s">
        <v>7813</v>
      </c>
      <c r="U2326" s="1" t="s">
        <v>7806</v>
      </c>
      <c r="Z2326" s="1" t="s">
        <v>71</v>
      </c>
      <c r="AE2326" s="1" t="s">
        <v>7814</v>
      </c>
      <c r="AH2326" s="1" t="s">
        <v>73</v>
      </c>
      <c r="AK2326" s="1" t="s">
        <v>71</v>
      </c>
      <c r="AM2326" s="1" t="s">
        <v>71</v>
      </c>
      <c r="AN2326" s="1" t="s">
        <v>71</v>
      </c>
      <c r="AS2326" s="1" t="s">
        <v>71</v>
      </c>
      <c r="AX2326" s="1" t="s">
        <v>71</v>
      </c>
      <c r="BH2326" s="1" t="s">
        <v>71</v>
      </c>
    </row>
    <row r="2327" customFormat="false" ht="15" hidden="false" customHeight="false" outlineLevel="0" collapsed="false">
      <c r="A2327" s="1" t="s">
        <v>7815</v>
      </c>
      <c r="B2327" s="1" t="s">
        <v>7816</v>
      </c>
      <c r="C2327" s="1" t="s">
        <v>2141</v>
      </c>
      <c r="D2327" s="1" t="s">
        <v>7438</v>
      </c>
      <c r="E2327" s="1" t="s">
        <v>82</v>
      </c>
      <c r="F2327" s="1" t="s">
        <v>391</v>
      </c>
      <c r="G2327" s="1" t="s">
        <v>97</v>
      </c>
      <c r="H2327" s="1" t="s">
        <v>406</v>
      </c>
      <c r="K2327" s="1" t="s">
        <v>2144</v>
      </c>
      <c r="L2327" s="1" t="s">
        <v>2145</v>
      </c>
      <c r="M2327" s="1" t="s">
        <v>496</v>
      </c>
      <c r="N2327" s="1" t="s">
        <v>7817</v>
      </c>
      <c r="O2327" s="1" t="s">
        <v>1778</v>
      </c>
      <c r="P2327" s="1" t="s">
        <v>7818</v>
      </c>
      <c r="U2327" s="1" t="s">
        <v>7815</v>
      </c>
      <c r="Z2327" s="1" t="s">
        <v>71</v>
      </c>
      <c r="AE2327" s="1" t="s">
        <v>7814</v>
      </c>
      <c r="AH2327" s="1" t="s">
        <v>73</v>
      </c>
      <c r="AK2327" s="1" t="s">
        <v>71</v>
      </c>
      <c r="AM2327" s="1" t="s">
        <v>71</v>
      </c>
      <c r="AN2327" s="1" t="s">
        <v>71</v>
      </c>
      <c r="AS2327" s="1" t="s">
        <v>71</v>
      </c>
      <c r="AX2327" s="1" t="s">
        <v>71</v>
      </c>
      <c r="BH2327" s="1" t="s">
        <v>71</v>
      </c>
    </row>
    <row r="2328" customFormat="false" ht="15" hidden="false" customHeight="false" outlineLevel="0" collapsed="false">
      <c r="A2328" s="1" t="s">
        <v>7819</v>
      </c>
      <c r="B2328" s="1" t="s">
        <v>7820</v>
      </c>
      <c r="C2328" s="1" t="s">
        <v>7821</v>
      </c>
      <c r="D2328" s="1" t="s">
        <v>7822</v>
      </c>
      <c r="E2328" s="1" t="s">
        <v>82</v>
      </c>
      <c r="F2328" s="1" t="s">
        <v>391</v>
      </c>
      <c r="G2328" s="1" t="s">
        <v>443</v>
      </c>
      <c r="H2328" s="1" t="s">
        <v>444</v>
      </c>
      <c r="K2328" s="1" t="s">
        <v>61</v>
      </c>
      <c r="L2328" s="1" t="s">
        <v>445</v>
      </c>
      <c r="M2328" s="1" t="s">
        <v>496</v>
      </c>
      <c r="N2328" s="1" t="s">
        <v>7823</v>
      </c>
      <c r="O2328" s="1" t="s">
        <v>400</v>
      </c>
      <c r="P2328" s="1" t="s">
        <v>7824</v>
      </c>
      <c r="U2328" s="1" t="s">
        <v>7819</v>
      </c>
      <c r="Z2328" s="1" t="s">
        <v>71</v>
      </c>
      <c r="AE2328" s="1" t="s">
        <v>7814</v>
      </c>
      <c r="AH2328" s="1" t="s">
        <v>73</v>
      </c>
      <c r="AK2328" s="1" t="s">
        <v>71</v>
      </c>
      <c r="AM2328" s="1" t="s">
        <v>71</v>
      </c>
      <c r="AN2328" s="1" t="s">
        <v>71</v>
      </c>
      <c r="AS2328" s="1" t="s">
        <v>71</v>
      </c>
      <c r="AX2328" s="1" t="s">
        <v>71</v>
      </c>
      <c r="BH2328" s="1" t="s">
        <v>71</v>
      </c>
    </row>
    <row r="2329" customFormat="false" ht="15" hidden="false" customHeight="false" outlineLevel="0" collapsed="false">
      <c r="A2329" s="1" t="s">
        <v>7825</v>
      </c>
      <c r="B2329" s="1" t="s">
        <v>7826</v>
      </c>
      <c r="C2329" s="1" t="s">
        <v>7575</v>
      </c>
      <c r="D2329" s="1" t="s">
        <v>7576</v>
      </c>
      <c r="E2329" s="1" t="s">
        <v>65</v>
      </c>
      <c r="F2329" s="1" t="s">
        <v>119</v>
      </c>
      <c r="G2329" s="1" t="s">
        <v>136</v>
      </c>
      <c r="H2329" s="1" t="s">
        <v>7577</v>
      </c>
      <c r="K2329" s="1" t="s">
        <v>59</v>
      </c>
      <c r="L2329" s="1" t="s">
        <v>7578</v>
      </c>
      <c r="M2329" s="1" t="s">
        <v>258</v>
      </c>
      <c r="N2329" s="1" t="s">
        <v>7827</v>
      </c>
      <c r="O2329" s="1" t="s">
        <v>7828</v>
      </c>
      <c r="P2329" s="1" t="s">
        <v>7829</v>
      </c>
      <c r="U2329" s="1" t="s">
        <v>7825</v>
      </c>
      <c r="Z2329" s="1" t="s">
        <v>71</v>
      </c>
      <c r="AE2329" s="1" t="s">
        <v>7830</v>
      </c>
      <c r="AH2329" s="1" t="s">
        <v>73</v>
      </c>
      <c r="AK2329" s="1" t="s">
        <v>71</v>
      </c>
      <c r="AM2329" s="1" t="s">
        <v>71</v>
      </c>
      <c r="AN2329" s="1" t="s">
        <v>71</v>
      </c>
      <c r="AS2329" s="1" t="s">
        <v>71</v>
      </c>
      <c r="AX2329" s="1" t="s">
        <v>71</v>
      </c>
      <c r="AY2329" s="1" t="s">
        <v>59</v>
      </c>
      <c r="AZ2329" s="1" t="s">
        <v>74</v>
      </c>
      <c r="BH2329" s="1" t="s">
        <v>71</v>
      </c>
    </row>
    <row r="2330" customFormat="false" ht="15" hidden="false" customHeight="false" outlineLevel="0" collapsed="false">
      <c r="A2330" s="1" t="s">
        <v>7831</v>
      </c>
      <c r="B2330" s="1" t="s">
        <v>7832</v>
      </c>
      <c r="C2330" s="1" t="s">
        <v>1158</v>
      </c>
      <c r="D2330" s="1" t="s">
        <v>4456</v>
      </c>
      <c r="E2330" s="1" t="s">
        <v>82</v>
      </c>
      <c r="F2330" s="1" t="s">
        <v>391</v>
      </c>
      <c r="G2330" s="1" t="s">
        <v>213</v>
      </c>
      <c r="H2330" s="1" t="s">
        <v>477</v>
      </c>
      <c r="K2330" s="1" t="s">
        <v>478</v>
      </c>
      <c r="L2330" s="1" t="s">
        <v>479</v>
      </c>
      <c r="M2330" s="1" t="s">
        <v>496</v>
      </c>
      <c r="N2330" s="1" t="s">
        <v>1777</v>
      </c>
      <c r="O2330" s="1" t="s">
        <v>1778</v>
      </c>
      <c r="P2330" s="1" t="s">
        <v>5025</v>
      </c>
      <c r="U2330" s="1" t="s">
        <v>7831</v>
      </c>
      <c r="Z2330" s="1" t="s">
        <v>71</v>
      </c>
      <c r="AE2330" s="1" t="s">
        <v>7830</v>
      </c>
      <c r="AH2330" s="1" t="s">
        <v>73</v>
      </c>
      <c r="AK2330" s="1" t="s">
        <v>71</v>
      </c>
      <c r="AM2330" s="1" t="s">
        <v>71</v>
      </c>
      <c r="AN2330" s="1" t="s">
        <v>71</v>
      </c>
      <c r="AS2330" s="1" t="s">
        <v>71</v>
      </c>
      <c r="AX2330" s="1" t="s">
        <v>71</v>
      </c>
      <c r="BH2330" s="1" t="s">
        <v>71</v>
      </c>
    </row>
    <row r="2331" customFormat="false" ht="15" hidden="false" customHeight="false" outlineLevel="0" collapsed="false">
      <c r="A2331" s="1" t="s">
        <v>7833</v>
      </c>
      <c r="B2331" s="1" t="s">
        <v>7834</v>
      </c>
      <c r="C2331" s="1" t="s">
        <v>7575</v>
      </c>
      <c r="D2331" s="1" t="s">
        <v>7576</v>
      </c>
      <c r="E2331" s="1" t="s">
        <v>65</v>
      </c>
      <c r="F2331" s="1" t="s">
        <v>119</v>
      </c>
      <c r="G2331" s="1" t="s">
        <v>136</v>
      </c>
      <c r="H2331" s="1" t="s">
        <v>7577</v>
      </c>
      <c r="K2331" s="1" t="s">
        <v>59</v>
      </c>
      <c r="L2331" s="1" t="s">
        <v>7578</v>
      </c>
      <c r="M2331" s="1" t="s">
        <v>1387</v>
      </c>
      <c r="N2331" s="1" t="s">
        <v>7592</v>
      </c>
      <c r="O2331" s="1" t="s">
        <v>7593</v>
      </c>
      <c r="P2331" s="1" t="s">
        <v>7594</v>
      </c>
      <c r="U2331" s="1" t="s">
        <v>7835</v>
      </c>
      <c r="Z2331" s="1" t="s">
        <v>71</v>
      </c>
      <c r="AE2331" s="1" t="s">
        <v>7830</v>
      </c>
      <c r="AH2331" s="1" t="s">
        <v>73</v>
      </c>
      <c r="AK2331" s="1" t="s">
        <v>71</v>
      </c>
      <c r="AM2331" s="1" t="s">
        <v>71</v>
      </c>
      <c r="AN2331" s="1" t="s">
        <v>71</v>
      </c>
      <c r="AS2331" s="1" t="s">
        <v>71</v>
      </c>
      <c r="AX2331" s="1" t="s">
        <v>71</v>
      </c>
      <c r="AY2331" s="1" t="s">
        <v>59</v>
      </c>
      <c r="AZ2331" s="1" t="s">
        <v>74</v>
      </c>
      <c r="BH2331" s="1" t="s">
        <v>71</v>
      </c>
    </row>
    <row r="2332" customFormat="false" ht="15" hidden="false" customHeight="false" outlineLevel="0" collapsed="false">
      <c r="A2332" s="1" t="s">
        <v>7836</v>
      </c>
      <c r="B2332" s="1" t="s">
        <v>7837</v>
      </c>
      <c r="C2332" s="1" t="s">
        <v>1158</v>
      </c>
      <c r="D2332" s="1" t="s">
        <v>4456</v>
      </c>
      <c r="E2332" s="1" t="s">
        <v>82</v>
      </c>
      <c r="F2332" s="1" t="s">
        <v>391</v>
      </c>
      <c r="G2332" s="1" t="s">
        <v>213</v>
      </c>
      <c r="H2332" s="1" t="s">
        <v>477</v>
      </c>
      <c r="K2332" s="1" t="s">
        <v>478</v>
      </c>
      <c r="L2332" s="1" t="s">
        <v>479</v>
      </c>
      <c r="M2332" s="1" t="s">
        <v>496</v>
      </c>
      <c r="N2332" s="1" t="s">
        <v>1777</v>
      </c>
      <c r="O2332" s="1" t="s">
        <v>1778</v>
      </c>
      <c r="P2332" s="1" t="s">
        <v>5025</v>
      </c>
      <c r="U2332" s="1" t="s">
        <v>7836</v>
      </c>
      <c r="Z2332" s="1" t="s">
        <v>71</v>
      </c>
      <c r="AE2332" s="1" t="s">
        <v>7830</v>
      </c>
      <c r="AH2332" s="1" t="s">
        <v>73</v>
      </c>
      <c r="AK2332" s="1" t="s">
        <v>71</v>
      </c>
      <c r="AM2332" s="1" t="s">
        <v>71</v>
      </c>
      <c r="AN2332" s="1" t="s">
        <v>71</v>
      </c>
      <c r="AS2332" s="1" t="s">
        <v>71</v>
      </c>
      <c r="AX2332" s="1" t="s">
        <v>71</v>
      </c>
      <c r="BH2332" s="1" t="s">
        <v>71</v>
      </c>
    </row>
    <row r="2333" customFormat="false" ht="15" hidden="false" customHeight="false" outlineLevel="0" collapsed="false">
      <c r="A2333" s="1" t="s">
        <v>7838</v>
      </c>
      <c r="B2333" s="1" t="s">
        <v>7839</v>
      </c>
      <c r="C2333" s="1" t="s">
        <v>7575</v>
      </c>
      <c r="D2333" s="1" t="s">
        <v>7576</v>
      </c>
      <c r="E2333" s="1" t="s">
        <v>65</v>
      </c>
      <c r="F2333" s="1" t="s">
        <v>119</v>
      </c>
      <c r="G2333" s="1" t="s">
        <v>136</v>
      </c>
      <c r="H2333" s="1" t="s">
        <v>7577</v>
      </c>
      <c r="K2333" s="1" t="s">
        <v>59</v>
      </c>
      <c r="L2333" s="1" t="s">
        <v>7578</v>
      </c>
      <c r="M2333" s="1" t="s">
        <v>6711</v>
      </c>
      <c r="N2333" s="1" t="s">
        <v>7592</v>
      </c>
      <c r="O2333" s="1" t="s">
        <v>7593</v>
      </c>
      <c r="P2333" s="1" t="s">
        <v>7594</v>
      </c>
      <c r="U2333" s="1" t="s">
        <v>7840</v>
      </c>
      <c r="Z2333" s="1" t="s">
        <v>71</v>
      </c>
      <c r="AE2333" s="1" t="s">
        <v>7830</v>
      </c>
      <c r="AH2333" s="1" t="s">
        <v>73</v>
      </c>
      <c r="AK2333" s="1" t="s">
        <v>71</v>
      </c>
      <c r="AM2333" s="1" t="s">
        <v>71</v>
      </c>
      <c r="AN2333" s="1" t="s">
        <v>71</v>
      </c>
      <c r="AS2333" s="1" t="s">
        <v>71</v>
      </c>
      <c r="AX2333" s="1" t="s">
        <v>71</v>
      </c>
      <c r="AY2333" s="1" t="s">
        <v>59</v>
      </c>
      <c r="AZ2333" s="1" t="s">
        <v>74</v>
      </c>
      <c r="BH2333" s="1" t="s">
        <v>71</v>
      </c>
    </row>
    <row r="2334" customFormat="false" ht="15" hidden="false" customHeight="false" outlineLevel="0" collapsed="false">
      <c r="A2334" s="1" t="s">
        <v>7841</v>
      </c>
      <c r="B2334" s="1" t="s">
        <v>7842</v>
      </c>
      <c r="C2334" s="1" t="s">
        <v>2275</v>
      </c>
      <c r="D2334" s="1" t="s">
        <v>7843</v>
      </c>
      <c r="E2334" s="1" t="s">
        <v>61</v>
      </c>
      <c r="F2334" s="1" t="s">
        <v>101</v>
      </c>
      <c r="G2334" s="1" t="s">
        <v>93</v>
      </c>
      <c r="H2334" s="1" t="s">
        <v>64</v>
      </c>
      <c r="K2334" s="1" t="s">
        <v>163</v>
      </c>
      <c r="L2334" s="1" t="s">
        <v>164</v>
      </c>
      <c r="M2334" s="1" t="s">
        <v>104</v>
      </c>
      <c r="N2334" s="1" t="s">
        <v>166</v>
      </c>
      <c r="O2334" s="1" t="s">
        <v>167</v>
      </c>
      <c r="P2334" s="1" t="s">
        <v>4462</v>
      </c>
      <c r="S2334" s="1" t="s">
        <v>229</v>
      </c>
      <c r="U2334" s="1" t="s">
        <v>7844</v>
      </c>
      <c r="Z2334" s="1" t="s">
        <v>71</v>
      </c>
      <c r="AE2334" s="1" t="s">
        <v>7845</v>
      </c>
      <c r="AH2334" s="1" t="s">
        <v>73</v>
      </c>
      <c r="AK2334" s="1" t="s">
        <v>71</v>
      </c>
      <c r="AM2334" s="1" t="s">
        <v>71</v>
      </c>
      <c r="AN2334" s="1" t="s">
        <v>71</v>
      </c>
      <c r="AS2334" s="1" t="s">
        <v>71</v>
      </c>
      <c r="AX2334" s="1" t="s">
        <v>71</v>
      </c>
      <c r="AY2334" s="1" t="s">
        <v>59</v>
      </c>
      <c r="AZ2334" s="1" t="s">
        <v>74</v>
      </c>
      <c r="BH2334" s="1" t="s">
        <v>71</v>
      </c>
    </row>
    <row r="2335" customFormat="false" ht="15" hidden="false" customHeight="false" outlineLevel="0" collapsed="false">
      <c r="A2335" s="1" t="s">
        <v>7846</v>
      </c>
      <c r="B2335" s="1" t="s">
        <v>7847</v>
      </c>
      <c r="C2335" s="1" t="s">
        <v>2275</v>
      </c>
      <c r="D2335" s="1" t="s">
        <v>7843</v>
      </c>
      <c r="E2335" s="1" t="s">
        <v>61</v>
      </c>
      <c r="F2335" s="1" t="s">
        <v>101</v>
      </c>
      <c r="G2335" s="1" t="s">
        <v>93</v>
      </c>
      <c r="H2335" s="1" t="s">
        <v>64</v>
      </c>
      <c r="K2335" s="1" t="s">
        <v>150</v>
      </c>
      <c r="L2335" s="1" t="s">
        <v>4630</v>
      </c>
      <c r="M2335" s="1" t="s">
        <v>104</v>
      </c>
      <c r="N2335" s="1" t="s">
        <v>166</v>
      </c>
      <c r="O2335" s="1" t="s">
        <v>167</v>
      </c>
      <c r="P2335" s="1" t="s">
        <v>4462</v>
      </c>
      <c r="S2335" s="1" t="s">
        <v>229</v>
      </c>
      <c r="U2335" s="1" t="s">
        <v>7848</v>
      </c>
      <c r="Z2335" s="1" t="s">
        <v>71</v>
      </c>
      <c r="AE2335" s="1" t="s">
        <v>7845</v>
      </c>
      <c r="AH2335" s="1" t="s">
        <v>73</v>
      </c>
      <c r="AK2335" s="1" t="s">
        <v>71</v>
      </c>
      <c r="AM2335" s="1" t="s">
        <v>71</v>
      </c>
      <c r="AN2335" s="1" t="s">
        <v>71</v>
      </c>
      <c r="AS2335" s="1" t="s">
        <v>71</v>
      </c>
      <c r="AX2335" s="1" t="s">
        <v>71</v>
      </c>
      <c r="AY2335" s="1" t="s">
        <v>59</v>
      </c>
      <c r="AZ2335" s="1" t="s">
        <v>74</v>
      </c>
      <c r="BH2335" s="1" t="s">
        <v>71</v>
      </c>
    </row>
    <row r="2336" customFormat="false" ht="15" hidden="false" customHeight="false" outlineLevel="0" collapsed="false">
      <c r="A2336" s="1" t="s">
        <v>7849</v>
      </c>
      <c r="B2336" s="1" t="s">
        <v>7850</v>
      </c>
      <c r="C2336" s="1" t="s">
        <v>2296</v>
      </c>
      <c r="D2336" s="1" t="s">
        <v>7851</v>
      </c>
      <c r="E2336" s="1" t="s">
        <v>88</v>
      </c>
      <c r="F2336" s="1" t="s">
        <v>432</v>
      </c>
      <c r="G2336" s="1" t="s">
        <v>433</v>
      </c>
      <c r="H2336" s="1" t="s">
        <v>434</v>
      </c>
      <c r="K2336" s="1" t="s">
        <v>144</v>
      </c>
      <c r="L2336" s="1" t="s">
        <v>7852</v>
      </c>
      <c r="M2336" s="1" t="s">
        <v>496</v>
      </c>
      <c r="N2336" s="1" t="s">
        <v>7853</v>
      </c>
      <c r="O2336" s="1" t="s">
        <v>7854</v>
      </c>
      <c r="P2336" s="1" t="s">
        <v>7855</v>
      </c>
      <c r="U2336" s="1" t="s">
        <v>7849</v>
      </c>
      <c r="Z2336" s="1" t="s">
        <v>71</v>
      </c>
      <c r="AE2336" s="1" t="s">
        <v>7856</v>
      </c>
      <c r="AH2336" s="1" t="s">
        <v>73</v>
      </c>
      <c r="AK2336" s="1" t="s">
        <v>71</v>
      </c>
      <c r="AM2336" s="1" t="s">
        <v>71</v>
      </c>
      <c r="AN2336" s="1" t="s">
        <v>71</v>
      </c>
      <c r="AS2336" s="1" t="s">
        <v>71</v>
      </c>
      <c r="AX2336" s="1" t="s">
        <v>71</v>
      </c>
      <c r="BH2336" s="1" t="s">
        <v>71</v>
      </c>
    </row>
    <row r="2337" customFormat="false" ht="15" hidden="false" customHeight="false" outlineLevel="0" collapsed="false">
      <c r="A2337" s="1" t="s">
        <v>7857</v>
      </c>
      <c r="B2337" s="1" t="s">
        <v>7858</v>
      </c>
      <c r="C2337" s="1" t="s">
        <v>2216</v>
      </c>
      <c r="D2337" s="1" t="s">
        <v>7612</v>
      </c>
      <c r="E2337" s="1" t="s">
        <v>61</v>
      </c>
      <c r="F2337" s="1" t="s">
        <v>101</v>
      </c>
      <c r="G2337" s="1" t="s">
        <v>1479</v>
      </c>
      <c r="H2337" s="1" t="s">
        <v>5583</v>
      </c>
      <c r="K2337" s="1" t="s">
        <v>275</v>
      </c>
      <c r="L2337" s="1" t="s">
        <v>5584</v>
      </c>
      <c r="M2337" s="1" t="s">
        <v>278</v>
      </c>
      <c r="N2337" s="1" t="s">
        <v>4854</v>
      </c>
      <c r="O2337" s="1" t="s">
        <v>4855</v>
      </c>
      <c r="P2337" s="1" t="s">
        <v>4856</v>
      </c>
      <c r="U2337" s="1" t="s">
        <v>7859</v>
      </c>
      <c r="Z2337" s="1" t="s">
        <v>71</v>
      </c>
      <c r="AE2337" s="1" t="s">
        <v>7860</v>
      </c>
      <c r="AH2337" s="1" t="s">
        <v>73</v>
      </c>
      <c r="AK2337" s="1" t="s">
        <v>71</v>
      </c>
      <c r="AM2337" s="1" t="s">
        <v>71</v>
      </c>
      <c r="AN2337" s="1" t="s">
        <v>71</v>
      </c>
      <c r="AS2337" s="1" t="s">
        <v>71</v>
      </c>
      <c r="AX2337" s="1" t="s">
        <v>71</v>
      </c>
      <c r="AY2337" s="1" t="s">
        <v>59</v>
      </c>
      <c r="AZ2337" s="1" t="s">
        <v>74</v>
      </c>
      <c r="BH2337" s="1" t="s">
        <v>71</v>
      </c>
    </row>
    <row r="2338" customFormat="false" ht="15" hidden="false" customHeight="false" outlineLevel="0" collapsed="false">
      <c r="A2338" s="1" t="s">
        <v>7861</v>
      </c>
      <c r="B2338" s="1" t="s">
        <v>7862</v>
      </c>
      <c r="C2338" s="1" t="s">
        <v>2437</v>
      </c>
      <c r="D2338" s="1" t="s">
        <v>7612</v>
      </c>
      <c r="E2338" s="1" t="s">
        <v>61</v>
      </c>
      <c r="F2338" s="1" t="s">
        <v>101</v>
      </c>
      <c r="G2338" s="1" t="s">
        <v>1479</v>
      </c>
      <c r="H2338" s="1" t="s">
        <v>5583</v>
      </c>
      <c r="K2338" s="1" t="s">
        <v>88</v>
      </c>
      <c r="L2338" s="1" t="s">
        <v>6371</v>
      </c>
      <c r="M2338" s="1" t="s">
        <v>1589</v>
      </c>
      <c r="N2338" s="1" t="s">
        <v>6357</v>
      </c>
      <c r="O2338" s="1" t="s">
        <v>6358</v>
      </c>
      <c r="P2338" s="1" t="s">
        <v>6359</v>
      </c>
      <c r="U2338" s="1" t="s">
        <v>7863</v>
      </c>
      <c r="Z2338" s="1" t="s">
        <v>71</v>
      </c>
      <c r="AE2338" s="1" t="s">
        <v>7860</v>
      </c>
      <c r="AH2338" s="1" t="s">
        <v>73</v>
      </c>
      <c r="AK2338" s="1" t="s">
        <v>71</v>
      </c>
      <c r="AM2338" s="1" t="s">
        <v>71</v>
      </c>
      <c r="AN2338" s="1" t="s">
        <v>71</v>
      </c>
      <c r="AS2338" s="1" t="s">
        <v>71</v>
      </c>
      <c r="AX2338" s="1" t="s">
        <v>71</v>
      </c>
      <c r="AY2338" s="1" t="s">
        <v>59</v>
      </c>
      <c r="AZ2338" s="1" t="s">
        <v>74</v>
      </c>
      <c r="BH2338" s="1" t="s">
        <v>71</v>
      </c>
    </row>
    <row r="2339" customFormat="false" ht="15" hidden="false" customHeight="false" outlineLevel="0" collapsed="false">
      <c r="A2339" s="1" t="s">
        <v>7864</v>
      </c>
      <c r="B2339" s="1" t="s">
        <v>7865</v>
      </c>
      <c r="C2339" s="1" t="s">
        <v>2216</v>
      </c>
      <c r="D2339" s="1" t="s">
        <v>7612</v>
      </c>
      <c r="E2339" s="1" t="s">
        <v>61</v>
      </c>
      <c r="F2339" s="1" t="s">
        <v>101</v>
      </c>
      <c r="G2339" s="1" t="s">
        <v>1479</v>
      </c>
      <c r="H2339" s="1" t="s">
        <v>5583</v>
      </c>
      <c r="K2339" s="1" t="s">
        <v>275</v>
      </c>
      <c r="L2339" s="1" t="s">
        <v>5584</v>
      </c>
      <c r="M2339" s="1" t="s">
        <v>278</v>
      </c>
      <c r="N2339" s="1" t="s">
        <v>4854</v>
      </c>
      <c r="O2339" s="1" t="s">
        <v>4855</v>
      </c>
      <c r="P2339" s="1" t="s">
        <v>4856</v>
      </c>
      <c r="U2339" s="1" t="s">
        <v>7866</v>
      </c>
      <c r="Z2339" s="1" t="s">
        <v>71</v>
      </c>
      <c r="AE2339" s="1" t="s">
        <v>7860</v>
      </c>
      <c r="AH2339" s="1" t="s">
        <v>73</v>
      </c>
      <c r="AK2339" s="1" t="s">
        <v>71</v>
      </c>
      <c r="AM2339" s="1" t="s">
        <v>71</v>
      </c>
      <c r="AN2339" s="1" t="s">
        <v>71</v>
      </c>
      <c r="AS2339" s="1" t="s">
        <v>71</v>
      </c>
      <c r="AX2339" s="1" t="s">
        <v>71</v>
      </c>
      <c r="AY2339" s="1" t="s">
        <v>59</v>
      </c>
      <c r="AZ2339" s="1" t="s">
        <v>74</v>
      </c>
      <c r="BH2339" s="1" t="s">
        <v>71</v>
      </c>
    </row>
    <row r="2340" customFormat="false" ht="15" hidden="false" customHeight="false" outlineLevel="0" collapsed="false">
      <c r="A2340" s="1" t="s">
        <v>7867</v>
      </c>
      <c r="B2340" s="1" t="s">
        <v>7868</v>
      </c>
      <c r="C2340" s="1" t="s">
        <v>222</v>
      </c>
      <c r="D2340" s="1" t="s">
        <v>223</v>
      </c>
      <c r="E2340" s="1" t="s">
        <v>61</v>
      </c>
      <c r="F2340" s="1" t="s">
        <v>101</v>
      </c>
      <c r="G2340" s="1" t="s">
        <v>93</v>
      </c>
      <c r="H2340" s="1" t="s">
        <v>64</v>
      </c>
      <c r="K2340" s="1" t="s">
        <v>224</v>
      </c>
      <c r="L2340" s="1" t="s">
        <v>225</v>
      </c>
      <c r="M2340" s="1" t="s">
        <v>828</v>
      </c>
      <c r="N2340" s="1" t="s">
        <v>123</v>
      </c>
      <c r="O2340" s="1" t="s">
        <v>124</v>
      </c>
      <c r="P2340" s="1" t="s">
        <v>4161</v>
      </c>
      <c r="U2340" s="1" t="s">
        <v>7869</v>
      </c>
      <c r="Z2340" s="1" t="s">
        <v>71</v>
      </c>
      <c r="AE2340" s="1" t="s">
        <v>7870</v>
      </c>
      <c r="AH2340" s="1" t="s">
        <v>73</v>
      </c>
      <c r="AK2340" s="1" t="s">
        <v>71</v>
      </c>
      <c r="AM2340" s="1" t="s">
        <v>71</v>
      </c>
      <c r="AN2340" s="1" t="s">
        <v>71</v>
      </c>
      <c r="AS2340" s="1" t="s">
        <v>71</v>
      </c>
      <c r="AX2340" s="1" t="s">
        <v>71</v>
      </c>
      <c r="AY2340" s="1" t="s">
        <v>59</v>
      </c>
      <c r="AZ2340" s="1" t="s">
        <v>74</v>
      </c>
      <c r="BH2340" s="1" t="s">
        <v>71</v>
      </c>
    </row>
    <row r="2341" customFormat="false" ht="15" hidden="false" customHeight="false" outlineLevel="0" collapsed="false">
      <c r="A2341" s="1" t="s">
        <v>7871</v>
      </c>
      <c r="B2341" s="1" t="s">
        <v>7872</v>
      </c>
      <c r="C2341" s="1" t="s">
        <v>222</v>
      </c>
      <c r="D2341" s="1" t="s">
        <v>223</v>
      </c>
      <c r="E2341" s="1" t="s">
        <v>61</v>
      </c>
      <c r="F2341" s="1" t="s">
        <v>101</v>
      </c>
      <c r="G2341" s="1" t="s">
        <v>93</v>
      </c>
      <c r="H2341" s="1" t="s">
        <v>64</v>
      </c>
      <c r="K2341" s="1" t="s">
        <v>126</v>
      </c>
      <c r="L2341" s="1" t="s">
        <v>335</v>
      </c>
      <c r="M2341" s="1" t="s">
        <v>828</v>
      </c>
      <c r="N2341" s="1" t="s">
        <v>105</v>
      </c>
      <c r="O2341" s="1" t="s">
        <v>106</v>
      </c>
      <c r="P2341" s="1" t="s">
        <v>3539</v>
      </c>
      <c r="U2341" s="1" t="s">
        <v>7873</v>
      </c>
      <c r="Z2341" s="1" t="s">
        <v>71</v>
      </c>
      <c r="AE2341" s="1" t="s">
        <v>7870</v>
      </c>
      <c r="AH2341" s="1" t="s">
        <v>73</v>
      </c>
      <c r="AK2341" s="1" t="s">
        <v>71</v>
      </c>
      <c r="AM2341" s="1" t="s">
        <v>71</v>
      </c>
      <c r="AN2341" s="1" t="s">
        <v>71</v>
      </c>
      <c r="AS2341" s="1" t="s">
        <v>71</v>
      </c>
      <c r="AX2341" s="1" t="s">
        <v>71</v>
      </c>
      <c r="AY2341" s="1" t="s">
        <v>59</v>
      </c>
      <c r="AZ2341" s="1" t="s">
        <v>74</v>
      </c>
      <c r="BH2341" s="1" t="s">
        <v>71</v>
      </c>
    </row>
    <row r="2342" customFormat="false" ht="15" hidden="false" customHeight="false" outlineLevel="0" collapsed="false">
      <c r="A2342" s="1" t="s">
        <v>7874</v>
      </c>
      <c r="B2342" s="1" t="s">
        <v>7875</v>
      </c>
      <c r="C2342" s="1" t="s">
        <v>161</v>
      </c>
      <c r="D2342" s="1" t="s">
        <v>162</v>
      </c>
      <c r="E2342" s="1" t="s">
        <v>61</v>
      </c>
      <c r="F2342" s="1" t="s">
        <v>101</v>
      </c>
      <c r="G2342" s="1" t="s">
        <v>93</v>
      </c>
      <c r="H2342" s="1" t="s">
        <v>64</v>
      </c>
      <c r="K2342" s="1" t="s">
        <v>251</v>
      </c>
      <c r="L2342" s="1" t="s">
        <v>1084</v>
      </c>
      <c r="M2342" s="1" t="s">
        <v>104</v>
      </c>
      <c r="N2342" s="1" t="s">
        <v>105</v>
      </c>
      <c r="O2342" s="1" t="s">
        <v>106</v>
      </c>
      <c r="P2342" s="1" t="s">
        <v>3539</v>
      </c>
      <c r="U2342" s="1" t="s">
        <v>7876</v>
      </c>
      <c r="Z2342" s="1" t="s">
        <v>71</v>
      </c>
      <c r="AE2342" s="1" t="s">
        <v>7877</v>
      </c>
      <c r="AH2342" s="1" t="s">
        <v>73</v>
      </c>
      <c r="AK2342" s="1" t="s">
        <v>71</v>
      </c>
      <c r="AM2342" s="1" t="s">
        <v>71</v>
      </c>
      <c r="AN2342" s="1" t="s">
        <v>71</v>
      </c>
      <c r="AS2342" s="1" t="s">
        <v>71</v>
      </c>
      <c r="AX2342" s="1" t="s">
        <v>71</v>
      </c>
      <c r="AY2342" s="1" t="s">
        <v>59</v>
      </c>
      <c r="AZ2342" s="1" t="s">
        <v>74</v>
      </c>
      <c r="BH2342" s="1" t="s">
        <v>71</v>
      </c>
    </row>
    <row r="2343" customFormat="false" ht="15" hidden="false" customHeight="false" outlineLevel="0" collapsed="false">
      <c r="A2343" s="1" t="s">
        <v>7878</v>
      </c>
      <c r="B2343" s="1" t="s">
        <v>7879</v>
      </c>
      <c r="C2343" s="1" t="s">
        <v>110</v>
      </c>
      <c r="D2343" s="1" t="s">
        <v>111</v>
      </c>
      <c r="E2343" s="1" t="s">
        <v>61</v>
      </c>
      <c r="F2343" s="1" t="s">
        <v>101</v>
      </c>
      <c r="G2343" s="1" t="s">
        <v>93</v>
      </c>
      <c r="H2343" s="1" t="s">
        <v>64</v>
      </c>
      <c r="K2343" s="1" t="s">
        <v>1092</v>
      </c>
      <c r="L2343" s="1" t="s">
        <v>1093</v>
      </c>
      <c r="M2343" s="1" t="s">
        <v>165</v>
      </c>
      <c r="N2343" s="1" t="s">
        <v>123</v>
      </c>
      <c r="O2343" s="1" t="s">
        <v>124</v>
      </c>
      <c r="P2343" s="1" t="s">
        <v>4161</v>
      </c>
      <c r="U2343" s="1" t="s">
        <v>7878</v>
      </c>
      <c r="Z2343" s="1" t="s">
        <v>71</v>
      </c>
      <c r="AE2343" s="1" t="s">
        <v>7880</v>
      </c>
      <c r="AH2343" s="1" t="s">
        <v>73</v>
      </c>
      <c r="AK2343" s="1" t="s">
        <v>71</v>
      </c>
      <c r="AM2343" s="1" t="s">
        <v>71</v>
      </c>
      <c r="AN2343" s="1" t="s">
        <v>71</v>
      </c>
      <c r="AS2343" s="1" t="s">
        <v>71</v>
      </c>
      <c r="AX2343" s="1" t="s">
        <v>71</v>
      </c>
      <c r="AY2343" s="1" t="s">
        <v>59</v>
      </c>
      <c r="AZ2343" s="1" t="s">
        <v>74</v>
      </c>
      <c r="BH2343" s="1" t="s">
        <v>71</v>
      </c>
    </row>
    <row r="2344" customFormat="false" ht="15" hidden="false" customHeight="false" outlineLevel="0" collapsed="false">
      <c r="A2344" s="1" t="s">
        <v>7881</v>
      </c>
      <c r="B2344" s="1" t="s">
        <v>7882</v>
      </c>
      <c r="C2344" s="1" t="s">
        <v>110</v>
      </c>
      <c r="D2344" s="1" t="s">
        <v>111</v>
      </c>
      <c r="E2344" s="1" t="s">
        <v>61</v>
      </c>
      <c r="F2344" s="1" t="s">
        <v>101</v>
      </c>
      <c r="G2344" s="1" t="s">
        <v>93</v>
      </c>
      <c r="H2344" s="1" t="s">
        <v>64</v>
      </c>
      <c r="K2344" s="1" t="s">
        <v>1092</v>
      </c>
      <c r="L2344" s="1" t="s">
        <v>1093</v>
      </c>
      <c r="M2344" s="1" t="s">
        <v>165</v>
      </c>
      <c r="N2344" s="1" t="s">
        <v>123</v>
      </c>
      <c r="O2344" s="1" t="s">
        <v>124</v>
      </c>
      <c r="P2344" s="1" t="s">
        <v>4161</v>
      </c>
      <c r="U2344" s="1" t="s">
        <v>5346</v>
      </c>
      <c r="Z2344" s="1" t="s">
        <v>71</v>
      </c>
      <c r="AE2344" s="1" t="s">
        <v>7880</v>
      </c>
      <c r="AH2344" s="1" t="s">
        <v>73</v>
      </c>
      <c r="AK2344" s="1" t="s">
        <v>71</v>
      </c>
      <c r="AM2344" s="1" t="s">
        <v>71</v>
      </c>
      <c r="AN2344" s="1" t="s">
        <v>71</v>
      </c>
      <c r="AS2344" s="1" t="s">
        <v>71</v>
      </c>
      <c r="AX2344" s="1" t="s">
        <v>71</v>
      </c>
      <c r="AY2344" s="1" t="s">
        <v>59</v>
      </c>
      <c r="AZ2344" s="1" t="s">
        <v>74</v>
      </c>
      <c r="BH2344" s="1" t="s">
        <v>71</v>
      </c>
    </row>
    <row r="2345" customFormat="false" ht="15" hidden="false" customHeight="false" outlineLevel="0" collapsed="false">
      <c r="A2345" s="1" t="s">
        <v>7883</v>
      </c>
      <c r="B2345" s="1" t="s">
        <v>7884</v>
      </c>
      <c r="C2345" s="1" t="s">
        <v>110</v>
      </c>
      <c r="D2345" s="1" t="s">
        <v>111</v>
      </c>
      <c r="E2345" s="1" t="s">
        <v>65</v>
      </c>
      <c r="F2345" s="1" t="s">
        <v>119</v>
      </c>
      <c r="G2345" s="1" t="s">
        <v>65</v>
      </c>
      <c r="H2345" s="1" t="s">
        <v>64</v>
      </c>
      <c r="K2345" s="1" t="s">
        <v>229</v>
      </c>
      <c r="L2345" s="1" t="s">
        <v>6461</v>
      </c>
      <c r="M2345" s="1" t="s">
        <v>104</v>
      </c>
      <c r="N2345" s="1" t="s">
        <v>123</v>
      </c>
      <c r="O2345" s="1" t="s">
        <v>124</v>
      </c>
      <c r="P2345" s="1" t="s">
        <v>4161</v>
      </c>
      <c r="U2345" s="1" t="s">
        <v>7883</v>
      </c>
      <c r="Z2345" s="1" t="s">
        <v>71</v>
      </c>
      <c r="AE2345" s="1" t="s">
        <v>7885</v>
      </c>
      <c r="AH2345" s="1" t="s">
        <v>73</v>
      </c>
      <c r="AK2345" s="1" t="s">
        <v>71</v>
      </c>
      <c r="AM2345" s="1" t="s">
        <v>71</v>
      </c>
      <c r="AN2345" s="1" t="s">
        <v>71</v>
      </c>
      <c r="AS2345" s="1" t="s">
        <v>71</v>
      </c>
      <c r="AX2345" s="1" t="s">
        <v>71</v>
      </c>
      <c r="AY2345" s="1" t="s">
        <v>59</v>
      </c>
      <c r="AZ2345" s="1" t="s">
        <v>74</v>
      </c>
      <c r="BH2345" s="1" t="s">
        <v>71</v>
      </c>
    </row>
    <row r="2346" customFormat="false" ht="15" hidden="false" customHeight="false" outlineLevel="0" collapsed="false">
      <c r="A2346" s="1" t="s">
        <v>7886</v>
      </c>
      <c r="B2346" s="1" t="s">
        <v>7887</v>
      </c>
      <c r="C2346" s="1" t="s">
        <v>110</v>
      </c>
      <c r="D2346" s="1" t="s">
        <v>111</v>
      </c>
      <c r="E2346" s="1" t="s">
        <v>61</v>
      </c>
      <c r="F2346" s="1" t="s">
        <v>101</v>
      </c>
      <c r="G2346" s="1" t="s">
        <v>93</v>
      </c>
      <c r="H2346" s="1" t="s">
        <v>64</v>
      </c>
      <c r="K2346" s="1" t="s">
        <v>544</v>
      </c>
      <c r="L2346" s="1" t="s">
        <v>1578</v>
      </c>
      <c r="M2346" s="1" t="s">
        <v>310</v>
      </c>
      <c r="N2346" s="1" t="s">
        <v>105</v>
      </c>
      <c r="O2346" s="1" t="s">
        <v>106</v>
      </c>
      <c r="P2346" s="1" t="s">
        <v>3539</v>
      </c>
      <c r="U2346" s="1" t="s">
        <v>7888</v>
      </c>
      <c r="Z2346" s="1" t="s">
        <v>71</v>
      </c>
      <c r="AE2346" s="1" t="s">
        <v>7885</v>
      </c>
      <c r="AH2346" s="1" t="s">
        <v>73</v>
      </c>
      <c r="AK2346" s="1" t="s">
        <v>71</v>
      </c>
      <c r="AM2346" s="1" t="s">
        <v>71</v>
      </c>
      <c r="AN2346" s="1" t="s">
        <v>71</v>
      </c>
      <c r="AS2346" s="1" t="s">
        <v>71</v>
      </c>
      <c r="AX2346" s="1" t="s">
        <v>71</v>
      </c>
      <c r="AY2346" s="1" t="s">
        <v>59</v>
      </c>
      <c r="AZ2346" s="1" t="s">
        <v>74</v>
      </c>
      <c r="BH2346" s="1" t="s">
        <v>71</v>
      </c>
    </row>
    <row r="2347" customFormat="false" ht="15" hidden="false" customHeight="false" outlineLevel="0" collapsed="false">
      <c r="A2347" s="1" t="s">
        <v>7889</v>
      </c>
      <c r="B2347" s="1" t="s">
        <v>7890</v>
      </c>
      <c r="C2347" s="1" t="s">
        <v>2071</v>
      </c>
      <c r="D2347" s="1" t="s">
        <v>7206</v>
      </c>
      <c r="E2347" s="1" t="s">
        <v>61</v>
      </c>
      <c r="F2347" s="1" t="s">
        <v>101</v>
      </c>
      <c r="G2347" s="1" t="s">
        <v>275</v>
      </c>
      <c r="H2347" s="1" t="s">
        <v>276</v>
      </c>
      <c r="K2347" s="1" t="s">
        <v>256</v>
      </c>
      <c r="L2347" s="1" t="s">
        <v>6281</v>
      </c>
      <c r="M2347" s="1" t="s">
        <v>296</v>
      </c>
      <c r="N2347" s="1" t="s">
        <v>1365</v>
      </c>
      <c r="O2347" s="1" t="s">
        <v>1366</v>
      </c>
      <c r="P2347" s="1" t="s">
        <v>4820</v>
      </c>
      <c r="U2347" s="1" t="s">
        <v>7889</v>
      </c>
      <c r="V2347" s="1" t="s">
        <v>7891</v>
      </c>
      <c r="Z2347" s="1" t="s">
        <v>71</v>
      </c>
      <c r="AE2347" s="1" t="s">
        <v>7885</v>
      </c>
      <c r="AH2347" s="1" t="s">
        <v>73</v>
      </c>
      <c r="AK2347" s="1" t="s">
        <v>71</v>
      </c>
      <c r="AM2347" s="1" t="s">
        <v>71</v>
      </c>
      <c r="AN2347" s="1" t="s">
        <v>71</v>
      </c>
      <c r="AS2347" s="1" t="s">
        <v>71</v>
      </c>
      <c r="AX2347" s="1" t="s">
        <v>71</v>
      </c>
      <c r="AY2347" s="1" t="s">
        <v>59</v>
      </c>
      <c r="AZ2347" s="1" t="s">
        <v>74</v>
      </c>
      <c r="BH2347" s="1" t="s">
        <v>71</v>
      </c>
    </row>
    <row r="2348" customFormat="false" ht="15" hidden="false" customHeight="false" outlineLevel="0" collapsed="false">
      <c r="A2348" s="1" t="s">
        <v>7892</v>
      </c>
      <c r="B2348" s="1" t="s">
        <v>7893</v>
      </c>
      <c r="C2348" s="1" t="s">
        <v>2071</v>
      </c>
      <c r="D2348" s="1" t="s">
        <v>7206</v>
      </c>
      <c r="E2348" s="1" t="s">
        <v>61</v>
      </c>
      <c r="F2348" s="1" t="s">
        <v>101</v>
      </c>
      <c r="G2348" s="1" t="s">
        <v>275</v>
      </c>
      <c r="H2348" s="1" t="s">
        <v>276</v>
      </c>
      <c r="K2348" s="1" t="s">
        <v>526</v>
      </c>
      <c r="L2348" s="1" t="s">
        <v>5362</v>
      </c>
      <c r="M2348" s="1" t="s">
        <v>296</v>
      </c>
      <c r="N2348" s="1" t="s">
        <v>5189</v>
      </c>
      <c r="O2348" s="1" t="s">
        <v>5190</v>
      </c>
      <c r="P2348" s="1" t="s">
        <v>5191</v>
      </c>
      <c r="U2348" s="1" t="s">
        <v>7892</v>
      </c>
      <c r="V2348" s="1" t="s">
        <v>7894</v>
      </c>
      <c r="Z2348" s="1" t="s">
        <v>71</v>
      </c>
      <c r="AE2348" s="1" t="s">
        <v>7895</v>
      </c>
      <c r="AH2348" s="1" t="s">
        <v>73</v>
      </c>
      <c r="AK2348" s="1" t="s">
        <v>71</v>
      </c>
      <c r="AM2348" s="1" t="s">
        <v>71</v>
      </c>
      <c r="AN2348" s="1" t="s">
        <v>71</v>
      </c>
      <c r="AS2348" s="1" t="s">
        <v>71</v>
      </c>
      <c r="AX2348" s="1" t="s">
        <v>71</v>
      </c>
      <c r="AY2348" s="1" t="s">
        <v>59</v>
      </c>
      <c r="AZ2348" s="1" t="s">
        <v>74</v>
      </c>
      <c r="BH2348" s="1" t="s">
        <v>71</v>
      </c>
    </row>
    <row r="2349" customFormat="false" ht="15" hidden="false" customHeight="false" outlineLevel="0" collapsed="false">
      <c r="A2349" s="1" t="s">
        <v>7888</v>
      </c>
      <c r="B2349" s="1" t="s">
        <v>7896</v>
      </c>
      <c r="C2349" s="1" t="s">
        <v>110</v>
      </c>
      <c r="D2349" s="1" t="s">
        <v>111</v>
      </c>
      <c r="E2349" s="1" t="s">
        <v>61</v>
      </c>
      <c r="F2349" s="1" t="s">
        <v>101</v>
      </c>
      <c r="G2349" s="1" t="s">
        <v>93</v>
      </c>
      <c r="H2349" s="1" t="s">
        <v>64</v>
      </c>
      <c r="K2349" s="1" t="s">
        <v>249</v>
      </c>
      <c r="L2349" s="1" t="s">
        <v>250</v>
      </c>
      <c r="M2349" s="1" t="s">
        <v>122</v>
      </c>
      <c r="N2349" s="1" t="s">
        <v>105</v>
      </c>
      <c r="O2349" s="1" t="s">
        <v>106</v>
      </c>
      <c r="P2349" s="1" t="s">
        <v>3539</v>
      </c>
      <c r="U2349" s="1" t="s">
        <v>7897</v>
      </c>
      <c r="Z2349" s="1" t="s">
        <v>71</v>
      </c>
      <c r="AE2349" s="1" t="s">
        <v>7898</v>
      </c>
      <c r="AH2349" s="1" t="s">
        <v>73</v>
      </c>
      <c r="AK2349" s="1" t="s">
        <v>71</v>
      </c>
      <c r="AM2349" s="1" t="s">
        <v>71</v>
      </c>
      <c r="AN2349" s="1" t="s">
        <v>71</v>
      </c>
      <c r="AS2349" s="1" t="s">
        <v>71</v>
      </c>
      <c r="AX2349" s="1" t="s">
        <v>71</v>
      </c>
      <c r="AY2349" s="1" t="s">
        <v>59</v>
      </c>
      <c r="AZ2349" s="1" t="s">
        <v>74</v>
      </c>
      <c r="BH2349" s="1" t="s">
        <v>71</v>
      </c>
    </row>
    <row r="2350" customFormat="false" ht="15" hidden="false" customHeight="false" outlineLevel="0" collapsed="false">
      <c r="A2350" s="1" t="s">
        <v>7899</v>
      </c>
      <c r="B2350" s="1" t="s">
        <v>7900</v>
      </c>
      <c r="C2350" s="1" t="s">
        <v>110</v>
      </c>
      <c r="D2350" s="1" t="s">
        <v>111</v>
      </c>
      <c r="E2350" s="1" t="s">
        <v>61</v>
      </c>
      <c r="F2350" s="1" t="s">
        <v>101</v>
      </c>
      <c r="G2350" s="1" t="s">
        <v>93</v>
      </c>
      <c r="H2350" s="1" t="s">
        <v>64</v>
      </c>
      <c r="K2350" s="1" t="s">
        <v>108</v>
      </c>
      <c r="L2350" s="1" t="s">
        <v>2547</v>
      </c>
      <c r="M2350" s="1" t="s">
        <v>310</v>
      </c>
      <c r="N2350" s="1" t="s">
        <v>105</v>
      </c>
      <c r="O2350" s="1" t="s">
        <v>106</v>
      </c>
      <c r="P2350" s="1" t="s">
        <v>3539</v>
      </c>
      <c r="U2350" s="1" t="s">
        <v>7899</v>
      </c>
      <c r="Z2350" s="1" t="s">
        <v>71</v>
      </c>
      <c r="AE2350" s="1" t="s">
        <v>7898</v>
      </c>
      <c r="AH2350" s="1" t="s">
        <v>73</v>
      </c>
      <c r="AK2350" s="1" t="s">
        <v>71</v>
      </c>
      <c r="AM2350" s="1" t="s">
        <v>71</v>
      </c>
      <c r="AN2350" s="1" t="s">
        <v>71</v>
      </c>
      <c r="AS2350" s="1" t="s">
        <v>71</v>
      </c>
      <c r="AX2350" s="1" t="s">
        <v>71</v>
      </c>
      <c r="AY2350" s="1" t="s">
        <v>59</v>
      </c>
      <c r="AZ2350" s="1" t="s">
        <v>74</v>
      </c>
      <c r="BH2350" s="1" t="s">
        <v>71</v>
      </c>
    </row>
    <row r="2351" customFormat="false" ht="15" hidden="false" customHeight="false" outlineLevel="0" collapsed="false">
      <c r="A2351" s="1" t="s">
        <v>7901</v>
      </c>
      <c r="B2351" s="1" t="s">
        <v>7902</v>
      </c>
      <c r="C2351" s="1" t="s">
        <v>2223</v>
      </c>
      <c r="D2351" s="1" t="s">
        <v>7636</v>
      </c>
      <c r="E2351" s="1" t="s">
        <v>93</v>
      </c>
      <c r="F2351" s="1" t="s">
        <v>6348</v>
      </c>
      <c r="G2351" s="1" t="s">
        <v>144</v>
      </c>
      <c r="H2351" s="1" t="s">
        <v>7646</v>
      </c>
      <c r="K2351" s="1" t="s">
        <v>65</v>
      </c>
      <c r="L2351" s="1" t="s">
        <v>7903</v>
      </c>
      <c r="M2351" s="1" t="s">
        <v>7904</v>
      </c>
      <c r="N2351" s="1" t="s">
        <v>7653</v>
      </c>
      <c r="O2351" s="1" t="s">
        <v>7654</v>
      </c>
      <c r="P2351" s="1" t="s">
        <v>7655</v>
      </c>
      <c r="U2351" s="1" t="s">
        <v>7905</v>
      </c>
      <c r="Z2351" s="1" t="s">
        <v>71</v>
      </c>
      <c r="AE2351" s="1" t="s">
        <v>7906</v>
      </c>
      <c r="AH2351" s="1" t="s">
        <v>73</v>
      </c>
      <c r="AK2351" s="1" t="s">
        <v>71</v>
      </c>
      <c r="AM2351" s="1" t="s">
        <v>71</v>
      </c>
      <c r="AN2351" s="1" t="s">
        <v>71</v>
      </c>
      <c r="AS2351" s="1" t="s">
        <v>71</v>
      </c>
      <c r="AX2351" s="1" t="s">
        <v>71</v>
      </c>
      <c r="AY2351" s="1" t="s">
        <v>59</v>
      </c>
      <c r="AZ2351" s="1" t="s">
        <v>74</v>
      </c>
      <c r="BH2351" s="1" t="s">
        <v>71</v>
      </c>
    </row>
    <row r="2352" customFormat="false" ht="15" hidden="false" customHeight="false" outlineLevel="0" collapsed="false">
      <c r="A2352" s="1" t="s">
        <v>7907</v>
      </c>
      <c r="B2352" s="1" t="s">
        <v>7908</v>
      </c>
      <c r="C2352" s="1" t="s">
        <v>2223</v>
      </c>
      <c r="D2352" s="1" t="s">
        <v>7636</v>
      </c>
      <c r="E2352" s="1" t="s">
        <v>93</v>
      </c>
      <c r="F2352" s="1" t="s">
        <v>6348</v>
      </c>
      <c r="G2352" s="1" t="s">
        <v>144</v>
      </c>
      <c r="H2352" s="1" t="s">
        <v>7646</v>
      </c>
      <c r="K2352" s="1" t="s">
        <v>65</v>
      </c>
      <c r="L2352" s="1" t="s">
        <v>7903</v>
      </c>
      <c r="M2352" s="1" t="s">
        <v>7909</v>
      </c>
      <c r="N2352" s="1" t="s">
        <v>7653</v>
      </c>
      <c r="O2352" s="1" t="s">
        <v>7654</v>
      </c>
      <c r="P2352" s="1" t="s">
        <v>7655</v>
      </c>
      <c r="U2352" s="1" t="s">
        <v>7910</v>
      </c>
      <c r="Z2352" s="1" t="s">
        <v>71</v>
      </c>
      <c r="AE2352" s="1" t="s">
        <v>7906</v>
      </c>
      <c r="AH2352" s="1" t="s">
        <v>73</v>
      </c>
      <c r="AK2352" s="1" t="s">
        <v>71</v>
      </c>
      <c r="AM2352" s="1" t="s">
        <v>71</v>
      </c>
      <c r="AN2352" s="1" t="s">
        <v>71</v>
      </c>
      <c r="AS2352" s="1" t="s">
        <v>71</v>
      </c>
      <c r="AX2352" s="1" t="s">
        <v>71</v>
      </c>
      <c r="AY2352" s="1" t="s">
        <v>59</v>
      </c>
      <c r="AZ2352" s="1" t="s">
        <v>74</v>
      </c>
      <c r="BH2352" s="1" t="s">
        <v>71</v>
      </c>
    </row>
    <row r="2353" customFormat="false" ht="15" hidden="false" customHeight="false" outlineLevel="0" collapsed="false">
      <c r="A2353" s="1" t="s">
        <v>7911</v>
      </c>
      <c r="B2353" s="1" t="s">
        <v>7912</v>
      </c>
      <c r="C2353" s="1" t="s">
        <v>2223</v>
      </c>
      <c r="D2353" s="1" t="s">
        <v>7636</v>
      </c>
      <c r="E2353" s="1" t="s">
        <v>93</v>
      </c>
      <c r="F2353" s="1" t="s">
        <v>6348</v>
      </c>
      <c r="G2353" s="1" t="s">
        <v>144</v>
      </c>
      <c r="H2353" s="1" t="s">
        <v>7646</v>
      </c>
      <c r="K2353" s="1" t="s">
        <v>61</v>
      </c>
      <c r="L2353" s="1" t="s">
        <v>7913</v>
      </c>
      <c r="M2353" s="1" t="s">
        <v>7909</v>
      </c>
      <c r="N2353" s="1" t="s">
        <v>7653</v>
      </c>
      <c r="O2353" s="1" t="s">
        <v>7654</v>
      </c>
      <c r="P2353" s="1" t="s">
        <v>7655</v>
      </c>
      <c r="U2353" s="1" t="s">
        <v>7914</v>
      </c>
      <c r="V2353" s="1" t="s">
        <v>7643</v>
      </c>
      <c r="Z2353" s="1" t="s">
        <v>71</v>
      </c>
      <c r="AE2353" s="1" t="s">
        <v>7906</v>
      </c>
      <c r="AH2353" s="1" t="s">
        <v>73</v>
      </c>
      <c r="AK2353" s="1" t="s">
        <v>71</v>
      </c>
      <c r="AM2353" s="1" t="s">
        <v>71</v>
      </c>
      <c r="AN2353" s="1" t="s">
        <v>71</v>
      </c>
      <c r="AS2353" s="1" t="s">
        <v>71</v>
      </c>
      <c r="AX2353" s="1" t="s">
        <v>71</v>
      </c>
      <c r="AY2353" s="1" t="s">
        <v>59</v>
      </c>
      <c r="AZ2353" s="1" t="s">
        <v>74</v>
      </c>
      <c r="BH2353" s="1" t="s">
        <v>71</v>
      </c>
    </row>
    <row r="2354" customFormat="false" ht="15" hidden="false" customHeight="false" outlineLevel="0" collapsed="false">
      <c r="A2354" s="1" t="s">
        <v>7915</v>
      </c>
      <c r="B2354" s="1" t="s">
        <v>7916</v>
      </c>
      <c r="C2354" s="1" t="s">
        <v>2223</v>
      </c>
      <c r="D2354" s="1" t="s">
        <v>7636</v>
      </c>
      <c r="E2354" s="1" t="s">
        <v>93</v>
      </c>
      <c r="F2354" s="1" t="s">
        <v>6348</v>
      </c>
      <c r="G2354" s="1" t="s">
        <v>144</v>
      </c>
      <c r="H2354" s="1" t="s">
        <v>7646</v>
      </c>
      <c r="K2354" s="1" t="s">
        <v>61</v>
      </c>
      <c r="L2354" s="1" t="s">
        <v>7913</v>
      </c>
      <c r="M2354" s="1" t="s">
        <v>7909</v>
      </c>
      <c r="N2354" s="1" t="s">
        <v>7653</v>
      </c>
      <c r="O2354" s="1" t="s">
        <v>7654</v>
      </c>
      <c r="P2354" s="1" t="s">
        <v>7655</v>
      </c>
      <c r="U2354" s="1" t="s">
        <v>7917</v>
      </c>
      <c r="V2354" s="1" t="s">
        <v>7643</v>
      </c>
      <c r="Z2354" s="1" t="s">
        <v>71</v>
      </c>
      <c r="AE2354" s="1" t="s">
        <v>7906</v>
      </c>
      <c r="AH2354" s="1" t="s">
        <v>73</v>
      </c>
      <c r="AK2354" s="1" t="s">
        <v>71</v>
      </c>
      <c r="AM2354" s="1" t="s">
        <v>71</v>
      </c>
      <c r="AN2354" s="1" t="s">
        <v>71</v>
      </c>
      <c r="AS2354" s="1" t="s">
        <v>71</v>
      </c>
      <c r="AX2354" s="1" t="s">
        <v>71</v>
      </c>
      <c r="AY2354" s="1" t="s">
        <v>59</v>
      </c>
      <c r="AZ2354" s="1" t="s">
        <v>74</v>
      </c>
      <c r="BH2354" s="1" t="s">
        <v>71</v>
      </c>
    </row>
    <row r="2355" customFormat="false" ht="15" hidden="false" customHeight="false" outlineLevel="0" collapsed="false">
      <c r="A2355" s="1" t="s">
        <v>7918</v>
      </c>
      <c r="B2355" s="1" t="s">
        <v>7919</v>
      </c>
      <c r="C2355" s="1" t="s">
        <v>2223</v>
      </c>
      <c r="D2355" s="1" t="s">
        <v>7636</v>
      </c>
      <c r="E2355" s="1" t="s">
        <v>93</v>
      </c>
      <c r="F2355" s="1" t="s">
        <v>6348</v>
      </c>
      <c r="G2355" s="1" t="s">
        <v>144</v>
      </c>
      <c r="H2355" s="1" t="s">
        <v>7646</v>
      </c>
      <c r="K2355" s="1" t="s">
        <v>61</v>
      </c>
      <c r="L2355" s="1" t="s">
        <v>7913</v>
      </c>
      <c r="M2355" s="1" t="s">
        <v>7909</v>
      </c>
      <c r="N2355" s="1" t="s">
        <v>7653</v>
      </c>
      <c r="O2355" s="1" t="s">
        <v>7654</v>
      </c>
      <c r="P2355" s="1" t="s">
        <v>7655</v>
      </c>
      <c r="U2355" s="1" t="s">
        <v>7918</v>
      </c>
      <c r="V2355" s="1" t="s">
        <v>7643</v>
      </c>
      <c r="Z2355" s="1" t="s">
        <v>71</v>
      </c>
      <c r="AE2355" s="1" t="s">
        <v>7906</v>
      </c>
      <c r="AH2355" s="1" t="s">
        <v>73</v>
      </c>
      <c r="AK2355" s="1" t="s">
        <v>71</v>
      </c>
      <c r="AM2355" s="1" t="s">
        <v>71</v>
      </c>
      <c r="AN2355" s="1" t="s">
        <v>71</v>
      </c>
      <c r="AS2355" s="1" t="s">
        <v>71</v>
      </c>
      <c r="AX2355" s="1" t="s">
        <v>71</v>
      </c>
      <c r="AY2355" s="1" t="s">
        <v>59</v>
      </c>
      <c r="AZ2355" s="1" t="s">
        <v>74</v>
      </c>
      <c r="BH2355" s="1" t="s">
        <v>71</v>
      </c>
    </row>
    <row r="2356" customFormat="false" ht="15" hidden="false" customHeight="false" outlineLevel="0" collapsed="false">
      <c r="A2356" s="1" t="s">
        <v>7920</v>
      </c>
      <c r="B2356" s="1" t="s">
        <v>7921</v>
      </c>
      <c r="C2356" s="1" t="s">
        <v>2223</v>
      </c>
      <c r="D2356" s="1" t="s">
        <v>7636</v>
      </c>
      <c r="E2356" s="1" t="s">
        <v>93</v>
      </c>
      <c r="F2356" s="1" t="s">
        <v>6348</v>
      </c>
      <c r="G2356" s="1" t="s">
        <v>144</v>
      </c>
      <c r="H2356" s="1" t="s">
        <v>7646</v>
      </c>
      <c r="K2356" s="1" t="s">
        <v>61</v>
      </c>
      <c r="L2356" s="1" t="s">
        <v>7913</v>
      </c>
      <c r="M2356" s="1" t="s">
        <v>7909</v>
      </c>
      <c r="N2356" s="1" t="s">
        <v>7653</v>
      </c>
      <c r="O2356" s="1" t="s">
        <v>7654</v>
      </c>
      <c r="P2356" s="1" t="s">
        <v>7655</v>
      </c>
      <c r="U2356" s="1" t="s">
        <v>7920</v>
      </c>
      <c r="V2356" s="1" t="s">
        <v>7643</v>
      </c>
      <c r="Z2356" s="1" t="s">
        <v>71</v>
      </c>
      <c r="AE2356" s="1" t="s">
        <v>7906</v>
      </c>
      <c r="AH2356" s="1" t="s">
        <v>73</v>
      </c>
      <c r="AK2356" s="1" t="s">
        <v>71</v>
      </c>
      <c r="AM2356" s="1" t="s">
        <v>71</v>
      </c>
      <c r="AN2356" s="1" t="s">
        <v>71</v>
      </c>
      <c r="AS2356" s="1" t="s">
        <v>71</v>
      </c>
      <c r="AX2356" s="1" t="s">
        <v>71</v>
      </c>
      <c r="AY2356" s="1" t="s">
        <v>59</v>
      </c>
      <c r="AZ2356" s="1" t="s">
        <v>74</v>
      </c>
      <c r="BH2356" s="1" t="s">
        <v>71</v>
      </c>
    </row>
    <row r="2357" customFormat="false" ht="15" hidden="false" customHeight="false" outlineLevel="0" collapsed="false">
      <c r="A2357" s="1" t="s">
        <v>7922</v>
      </c>
      <c r="B2357" s="1" t="s">
        <v>7923</v>
      </c>
      <c r="C2357" s="1" t="s">
        <v>2141</v>
      </c>
      <c r="D2357" s="1" t="s">
        <v>7438</v>
      </c>
      <c r="E2357" s="1" t="s">
        <v>82</v>
      </c>
      <c r="F2357" s="1" t="s">
        <v>391</v>
      </c>
      <c r="G2357" s="1" t="s">
        <v>97</v>
      </c>
      <c r="H2357" s="1" t="s">
        <v>406</v>
      </c>
      <c r="K2357" s="1" t="s">
        <v>2144</v>
      </c>
      <c r="L2357" s="1" t="s">
        <v>2145</v>
      </c>
      <c r="M2357" s="1" t="s">
        <v>3124</v>
      </c>
      <c r="N2357" s="1" t="s">
        <v>7924</v>
      </c>
      <c r="O2357" s="1" t="s">
        <v>7925</v>
      </c>
      <c r="P2357" s="1" t="s">
        <v>7926</v>
      </c>
      <c r="U2357" s="1" t="s">
        <v>7922</v>
      </c>
      <c r="Z2357" s="1" t="s">
        <v>71</v>
      </c>
      <c r="AE2357" s="1" t="s">
        <v>7927</v>
      </c>
      <c r="AH2357" s="1" t="s">
        <v>73</v>
      </c>
      <c r="AK2357" s="1" t="s">
        <v>71</v>
      </c>
      <c r="AM2357" s="1" t="s">
        <v>71</v>
      </c>
      <c r="AN2357" s="1" t="s">
        <v>71</v>
      </c>
      <c r="AS2357" s="1" t="s">
        <v>71</v>
      </c>
      <c r="AX2357" s="1" t="s">
        <v>71</v>
      </c>
      <c r="BH2357" s="1" t="s">
        <v>71</v>
      </c>
    </row>
    <row r="2358" customFormat="false" ht="15" hidden="false" customHeight="false" outlineLevel="0" collapsed="false">
      <c r="A2358" s="1" t="s">
        <v>7928</v>
      </c>
      <c r="B2358" s="1" t="s">
        <v>7929</v>
      </c>
      <c r="C2358" s="1" t="s">
        <v>2090</v>
      </c>
      <c r="D2358" s="1" t="s">
        <v>7238</v>
      </c>
      <c r="E2358" s="1" t="s">
        <v>61</v>
      </c>
      <c r="F2358" s="1" t="s">
        <v>101</v>
      </c>
      <c r="G2358" s="1" t="s">
        <v>93</v>
      </c>
      <c r="H2358" s="1" t="s">
        <v>64</v>
      </c>
      <c r="K2358" s="1" t="s">
        <v>217</v>
      </c>
      <c r="L2358" s="1" t="s">
        <v>218</v>
      </c>
      <c r="M2358" s="1" t="s">
        <v>828</v>
      </c>
      <c r="N2358" s="1" t="s">
        <v>105</v>
      </c>
      <c r="O2358" s="1" t="s">
        <v>106</v>
      </c>
      <c r="P2358" s="1" t="s">
        <v>3539</v>
      </c>
      <c r="U2358" s="1" t="s">
        <v>7930</v>
      </c>
      <c r="Z2358" s="1" t="s">
        <v>71</v>
      </c>
      <c r="AE2358" s="1" t="s">
        <v>7931</v>
      </c>
      <c r="AH2358" s="1" t="s">
        <v>73</v>
      </c>
      <c r="AK2358" s="1" t="s">
        <v>71</v>
      </c>
      <c r="AM2358" s="1" t="s">
        <v>71</v>
      </c>
      <c r="AN2358" s="1" t="s">
        <v>71</v>
      </c>
      <c r="AS2358" s="1" t="s">
        <v>71</v>
      </c>
      <c r="AX2358" s="1" t="s">
        <v>71</v>
      </c>
      <c r="AY2358" s="1" t="s">
        <v>59</v>
      </c>
      <c r="AZ2358" s="1" t="s">
        <v>74</v>
      </c>
      <c r="BH2358" s="1" t="s">
        <v>71</v>
      </c>
    </row>
    <row r="2359" customFormat="false" ht="15" hidden="false" customHeight="false" outlineLevel="0" collapsed="false">
      <c r="A2359" s="1" t="s">
        <v>7932</v>
      </c>
      <c r="B2359" s="1" t="s">
        <v>7933</v>
      </c>
      <c r="C2359" s="1" t="s">
        <v>2090</v>
      </c>
      <c r="D2359" s="1" t="s">
        <v>7238</v>
      </c>
      <c r="E2359" s="1" t="s">
        <v>61</v>
      </c>
      <c r="F2359" s="1" t="s">
        <v>101</v>
      </c>
      <c r="G2359" s="1" t="s">
        <v>115</v>
      </c>
      <c r="H2359" s="1" t="s">
        <v>5689</v>
      </c>
      <c r="K2359" s="1" t="s">
        <v>65</v>
      </c>
      <c r="L2359" s="1" t="s">
        <v>4731</v>
      </c>
      <c r="M2359" s="1" t="s">
        <v>1387</v>
      </c>
      <c r="N2359" s="1" t="s">
        <v>6195</v>
      </c>
      <c r="O2359" s="1" t="s">
        <v>6196</v>
      </c>
      <c r="P2359" s="1" t="s">
        <v>6197</v>
      </c>
      <c r="U2359" s="1" t="s">
        <v>7932</v>
      </c>
      <c r="Z2359" s="1" t="s">
        <v>71</v>
      </c>
      <c r="AE2359" s="1" t="s">
        <v>7931</v>
      </c>
      <c r="AH2359" s="1" t="s">
        <v>73</v>
      </c>
      <c r="AK2359" s="1" t="s">
        <v>71</v>
      </c>
      <c r="AM2359" s="1" t="s">
        <v>71</v>
      </c>
      <c r="AN2359" s="1" t="s">
        <v>71</v>
      </c>
      <c r="AS2359" s="1" t="s">
        <v>71</v>
      </c>
      <c r="AX2359" s="1" t="s">
        <v>71</v>
      </c>
      <c r="AY2359" s="1" t="s">
        <v>59</v>
      </c>
      <c r="AZ2359" s="1" t="s">
        <v>74</v>
      </c>
      <c r="BH2359" s="1" t="s">
        <v>71</v>
      </c>
    </row>
    <row r="2360" customFormat="false" ht="15" hidden="false" customHeight="false" outlineLevel="0" collapsed="false">
      <c r="A2360" s="1" t="s">
        <v>7934</v>
      </c>
      <c r="B2360" s="1" t="s">
        <v>7935</v>
      </c>
      <c r="C2360" s="1" t="s">
        <v>2331</v>
      </c>
      <c r="D2360" s="1" t="s">
        <v>7936</v>
      </c>
      <c r="E2360" s="1" t="s">
        <v>61</v>
      </c>
      <c r="F2360" s="1" t="s">
        <v>101</v>
      </c>
      <c r="G2360" s="1" t="s">
        <v>148</v>
      </c>
      <c r="H2360" s="1" t="s">
        <v>231</v>
      </c>
      <c r="K2360" s="1" t="s">
        <v>195</v>
      </c>
      <c r="L2360" s="1" t="s">
        <v>3502</v>
      </c>
      <c r="M2360" s="1" t="s">
        <v>242</v>
      </c>
      <c r="N2360" s="1" t="s">
        <v>243</v>
      </c>
      <c r="O2360" s="1" t="s">
        <v>244</v>
      </c>
      <c r="P2360" s="1" t="s">
        <v>3503</v>
      </c>
      <c r="U2360" s="1" t="s">
        <v>7937</v>
      </c>
      <c r="Z2360" s="1" t="s">
        <v>71</v>
      </c>
      <c r="AE2360" s="1" t="s">
        <v>7931</v>
      </c>
      <c r="AH2360" s="1" t="s">
        <v>73</v>
      </c>
      <c r="AK2360" s="1" t="s">
        <v>71</v>
      </c>
      <c r="AM2360" s="1" t="s">
        <v>71</v>
      </c>
      <c r="AN2360" s="1" t="s">
        <v>71</v>
      </c>
      <c r="AS2360" s="1" t="s">
        <v>71</v>
      </c>
      <c r="AX2360" s="1" t="s">
        <v>71</v>
      </c>
      <c r="AY2360" s="1" t="s">
        <v>59</v>
      </c>
      <c r="AZ2360" s="1" t="s">
        <v>74</v>
      </c>
      <c r="BH2360" s="1" t="s">
        <v>71</v>
      </c>
    </row>
    <row r="2361" customFormat="false" ht="15" hidden="false" customHeight="false" outlineLevel="0" collapsed="false">
      <c r="A2361" s="1" t="s">
        <v>7938</v>
      </c>
      <c r="B2361" s="1" t="s">
        <v>7939</v>
      </c>
      <c r="C2361" s="1" t="s">
        <v>2331</v>
      </c>
      <c r="D2361" s="1" t="s">
        <v>7936</v>
      </c>
      <c r="E2361" s="1" t="s">
        <v>61</v>
      </c>
      <c r="F2361" s="1" t="s">
        <v>101</v>
      </c>
      <c r="G2361" s="1" t="s">
        <v>177</v>
      </c>
      <c r="H2361" s="1" t="s">
        <v>255</v>
      </c>
      <c r="K2361" s="1" t="s">
        <v>173</v>
      </c>
      <c r="L2361" s="1" t="s">
        <v>299</v>
      </c>
      <c r="M2361" s="1" t="s">
        <v>296</v>
      </c>
      <c r="N2361" s="1" t="s">
        <v>259</v>
      </c>
      <c r="O2361" s="1" t="s">
        <v>260</v>
      </c>
      <c r="P2361" s="1" t="s">
        <v>3768</v>
      </c>
      <c r="U2361" s="1" t="s">
        <v>7940</v>
      </c>
      <c r="Z2361" s="1" t="s">
        <v>71</v>
      </c>
      <c r="AE2361" s="1" t="s">
        <v>7931</v>
      </c>
      <c r="AH2361" s="1" t="s">
        <v>73</v>
      </c>
      <c r="AK2361" s="1" t="s">
        <v>71</v>
      </c>
      <c r="AM2361" s="1" t="s">
        <v>71</v>
      </c>
      <c r="AN2361" s="1" t="s">
        <v>71</v>
      </c>
      <c r="AS2361" s="1" t="s">
        <v>71</v>
      </c>
      <c r="AX2361" s="1" t="s">
        <v>71</v>
      </c>
      <c r="AY2361" s="1" t="s">
        <v>59</v>
      </c>
      <c r="AZ2361" s="1" t="s">
        <v>74</v>
      </c>
      <c r="BH2361" s="1" t="s">
        <v>71</v>
      </c>
    </row>
    <row r="2362" customFormat="false" ht="15" hidden="false" customHeight="false" outlineLevel="0" collapsed="false">
      <c r="A2362" s="1" t="s">
        <v>7941</v>
      </c>
      <c r="B2362" s="1" t="s">
        <v>7942</v>
      </c>
      <c r="C2362" s="1" t="s">
        <v>222</v>
      </c>
      <c r="D2362" s="1" t="s">
        <v>223</v>
      </c>
      <c r="E2362" s="1" t="s">
        <v>61</v>
      </c>
      <c r="F2362" s="1" t="s">
        <v>101</v>
      </c>
      <c r="G2362" s="1" t="s">
        <v>93</v>
      </c>
      <c r="H2362" s="1" t="s">
        <v>64</v>
      </c>
      <c r="K2362" s="1" t="s">
        <v>206</v>
      </c>
      <c r="L2362" s="1" t="s">
        <v>1558</v>
      </c>
      <c r="M2362" s="1" t="s">
        <v>104</v>
      </c>
      <c r="N2362" s="1" t="s">
        <v>105</v>
      </c>
      <c r="O2362" s="1" t="s">
        <v>106</v>
      </c>
      <c r="P2362" s="1" t="s">
        <v>3539</v>
      </c>
      <c r="U2362" s="1" t="s">
        <v>7941</v>
      </c>
      <c r="Z2362" s="1" t="s">
        <v>71</v>
      </c>
      <c r="AE2362" s="1" t="s">
        <v>7943</v>
      </c>
      <c r="AH2362" s="1" t="s">
        <v>73</v>
      </c>
      <c r="AK2362" s="1" t="s">
        <v>71</v>
      </c>
      <c r="AM2362" s="1" t="s">
        <v>71</v>
      </c>
      <c r="AN2362" s="1" t="s">
        <v>71</v>
      </c>
      <c r="AS2362" s="1" t="s">
        <v>71</v>
      </c>
      <c r="AX2362" s="1" t="s">
        <v>71</v>
      </c>
      <c r="AY2362" s="1" t="s">
        <v>59</v>
      </c>
      <c r="AZ2362" s="1" t="s">
        <v>74</v>
      </c>
      <c r="BH2362" s="1" t="s">
        <v>71</v>
      </c>
    </row>
    <row r="2363" customFormat="false" ht="15" hidden="false" customHeight="false" outlineLevel="0" collapsed="false">
      <c r="A2363" s="1" t="s">
        <v>7944</v>
      </c>
      <c r="B2363" s="1" t="s">
        <v>7945</v>
      </c>
      <c r="C2363" s="1" t="s">
        <v>222</v>
      </c>
      <c r="D2363" s="1" t="s">
        <v>223</v>
      </c>
      <c r="E2363" s="1" t="s">
        <v>61</v>
      </c>
      <c r="F2363" s="1" t="s">
        <v>101</v>
      </c>
      <c r="G2363" s="1" t="s">
        <v>93</v>
      </c>
      <c r="H2363" s="1" t="s">
        <v>64</v>
      </c>
      <c r="K2363" s="1" t="s">
        <v>211</v>
      </c>
      <c r="L2363" s="1" t="s">
        <v>1661</v>
      </c>
      <c r="M2363" s="1" t="s">
        <v>104</v>
      </c>
      <c r="N2363" s="1" t="s">
        <v>105</v>
      </c>
      <c r="O2363" s="1" t="s">
        <v>106</v>
      </c>
      <c r="P2363" s="1" t="s">
        <v>3539</v>
      </c>
      <c r="U2363" s="1" t="s">
        <v>7944</v>
      </c>
      <c r="Z2363" s="1" t="s">
        <v>71</v>
      </c>
      <c r="AE2363" s="1" t="s">
        <v>7943</v>
      </c>
      <c r="AH2363" s="1" t="s">
        <v>73</v>
      </c>
      <c r="AK2363" s="1" t="s">
        <v>71</v>
      </c>
      <c r="AM2363" s="1" t="s">
        <v>71</v>
      </c>
      <c r="AN2363" s="1" t="s">
        <v>71</v>
      </c>
      <c r="AS2363" s="1" t="s">
        <v>71</v>
      </c>
      <c r="AX2363" s="1" t="s">
        <v>71</v>
      </c>
      <c r="AY2363" s="1" t="s">
        <v>59</v>
      </c>
      <c r="AZ2363" s="1" t="s">
        <v>74</v>
      </c>
      <c r="BH2363" s="1" t="s">
        <v>71</v>
      </c>
    </row>
    <row r="2364" customFormat="false" ht="15" hidden="false" customHeight="false" outlineLevel="0" collapsed="false">
      <c r="A2364" s="1" t="s">
        <v>7946</v>
      </c>
      <c r="B2364" s="1" t="s">
        <v>7947</v>
      </c>
      <c r="C2364" s="1" t="s">
        <v>182</v>
      </c>
      <c r="D2364" s="1" t="s">
        <v>239</v>
      </c>
      <c r="E2364" s="1" t="s">
        <v>61</v>
      </c>
      <c r="F2364" s="1" t="s">
        <v>101</v>
      </c>
      <c r="G2364" s="1" t="s">
        <v>275</v>
      </c>
      <c r="H2364" s="1" t="s">
        <v>276</v>
      </c>
      <c r="K2364" s="1" t="s">
        <v>256</v>
      </c>
      <c r="L2364" s="1" t="s">
        <v>6281</v>
      </c>
      <c r="M2364" s="1" t="s">
        <v>1604</v>
      </c>
      <c r="N2364" s="1" t="s">
        <v>5904</v>
      </c>
      <c r="O2364" s="1" t="s">
        <v>5905</v>
      </c>
      <c r="P2364" s="1" t="s">
        <v>5906</v>
      </c>
      <c r="U2364" s="1" t="s">
        <v>245</v>
      </c>
      <c r="Z2364" s="1" t="s">
        <v>71</v>
      </c>
      <c r="AE2364" s="1" t="s">
        <v>7948</v>
      </c>
      <c r="AH2364" s="1" t="s">
        <v>73</v>
      </c>
      <c r="AK2364" s="1" t="s">
        <v>71</v>
      </c>
      <c r="AM2364" s="1" t="s">
        <v>71</v>
      </c>
      <c r="AN2364" s="1" t="s">
        <v>71</v>
      </c>
      <c r="AS2364" s="1" t="s">
        <v>71</v>
      </c>
      <c r="AX2364" s="1" t="s">
        <v>71</v>
      </c>
      <c r="AY2364" s="1" t="s">
        <v>59</v>
      </c>
      <c r="AZ2364" s="1" t="s">
        <v>74</v>
      </c>
      <c r="BH2364" s="1" t="s">
        <v>71</v>
      </c>
    </row>
    <row r="2365" customFormat="false" ht="15" hidden="false" customHeight="false" outlineLevel="0" collapsed="false">
      <c r="A2365" s="1" t="s">
        <v>7949</v>
      </c>
      <c r="B2365" s="1" t="s">
        <v>7950</v>
      </c>
      <c r="C2365" s="1" t="s">
        <v>7951</v>
      </c>
      <c r="D2365" s="1" t="s">
        <v>7952</v>
      </c>
      <c r="E2365" s="1" t="s">
        <v>82</v>
      </c>
      <c r="F2365" s="1" t="s">
        <v>391</v>
      </c>
      <c r="G2365" s="1" t="s">
        <v>97</v>
      </c>
      <c r="H2365" s="1" t="s">
        <v>406</v>
      </c>
      <c r="K2365" s="1" t="s">
        <v>65</v>
      </c>
      <c r="L2365" s="1" t="s">
        <v>860</v>
      </c>
      <c r="M2365" s="1" t="s">
        <v>496</v>
      </c>
      <c r="N2365" s="1" t="s">
        <v>7953</v>
      </c>
      <c r="O2365" s="1" t="s">
        <v>7954</v>
      </c>
      <c r="P2365" s="1" t="s">
        <v>7955</v>
      </c>
      <c r="U2365" s="1" t="s">
        <v>7949</v>
      </c>
      <c r="Z2365" s="1" t="s">
        <v>71</v>
      </c>
      <c r="AE2365" s="1" t="s">
        <v>7948</v>
      </c>
      <c r="AH2365" s="1" t="s">
        <v>73</v>
      </c>
      <c r="AK2365" s="1" t="s">
        <v>71</v>
      </c>
      <c r="AM2365" s="1" t="s">
        <v>71</v>
      </c>
      <c r="AN2365" s="1" t="s">
        <v>71</v>
      </c>
      <c r="AS2365" s="1" t="s">
        <v>71</v>
      </c>
      <c r="AX2365" s="1" t="s">
        <v>71</v>
      </c>
      <c r="BH2365" s="1" t="s">
        <v>71</v>
      </c>
    </row>
    <row r="2366" customFormat="false" ht="15" hidden="false" customHeight="false" outlineLevel="0" collapsed="false">
      <c r="A2366" s="1" t="s">
        <v>7956</v>
      </c>
      <c r="B2366" s="1" t="s">
        <v>7957</v>
      </c>
      <c r="C2366" s="1" t="s">
        <v>1875</v>
      </c>
      <c r="D2366" s="1" t="s">
        <v>6722</v>
      </c>
      <c r="E2366" s="1" t="s">
        <v>61</v>
      </c>
      <c r="F2366" s="1" t="s">
        <v>101</v>
      </c>
      <c r="G2366" s="1" t="s">
        <v>93</v>
      </c>
      <c r="H2366" s="1" t="s">
        <v>64</v>
      </c>
      <c r="K2366" s="1" t="s">
        <v>2190</v>
      </c>
      <c r="L2366" s="1" t="s">
        <v>5590</v>
      </c>
      <c r="M2366" s="1" t="s">
        <v>7958</v>
      </c>
      <c r="N2366" s="1" t="s">
        <v>5592</v>
      </c>
      <c r="O2366" s="1" t="s">
        <v>5593</v>
      </c>
      <c r="P2366" s="1" t="s">
        <v>5594</v>
      </c>
      <c r="S2366" s="1" t="s">
        <v>97</v>
      </c>
      <c r="U2366" s="1" t="s">
        <v>7959</v>
      </c>
      <c r="Z2366" s="1" t="s">
        <v>71</v>
      </c>
      <c r="AE2366" s="1" t="s">
        <v>7960</v>
      </c>
      <c r="AH2366" s="1" t="s">
        <v>73</v>
      </c>
      <c r="AK2366" s="1" t="s">
        <v>71</v>
      </c>
      <c r="AM2366" s="1" t="s">
        <v>71</v>
      </c>
      <c r="AN2366" s="1" t="s">
        <v>71</v>
      </c>
      <c r="AS2366" s="1" t="s">
        <v>71</v>
      </c>
      <c r="AX2366" s="1" t="s">
        <v>71</v>
      </c>
      <c r="AY2366" s="1" t="s">
        <v>59</v>
      </c>
      <c r="AZ2366" s="1" t="s">
        <v>74</v>
      </c>
      <c r="BH2366" s="1" t="s">
        <v>71</v>
      </c>
    </row>
    <row r="2367" customFormat="false" ht="15" hidden="false" customHeight="false" outlineLevel="0" collapsed="false">
      <c r="A2367" s="1" t="s">
        <v>7961</v>
      </c>
      <c r="B2367" s="1" t="s">
        <v>7962</v>
      </c>
      <c r="C2367" s="1" t="s">
        <v>1875</v>
      </c>
      <c r="D2367" s="1" t="s">
        <v>6722</v>
      </c>
      <c r="E2367" s="1" t="s">
        <v>61</v>
      </c>
      <c r="F2367" s="1" t="s">
        <v>101</v>
      </c>
      <c r="G2367" s="1" t="s">
        <v>93</v>
      </c>
      <c r="H2367" s="1" t="s">
        <v>64</v>
      </c>
      <c r="K2367" s="1" t="s">
        <v>2190</v>
      </c>
      <c r="L2367" s="1" t="s">
        <v>5590</v>
      </c>
      <c r="M2367" s="1" t="s">
        <v>7958</v>
      </c>
      <c r="N2367" s="1" t="s">
        <v>5592</v>
      </c>
      <c r="O2367" s="1" t="s">
        <v>5593</v>
      </c>
      <c r="P2367" s="1" t="s">
        <v>5594</v>
      </c>
      <c r="U2367" s="1" t="s">
        <v>7963</v>
      </c>
      <c r="Z2367" s="1" t="s">
        <v>71</v>
      </c>
      <c r="AE2367" s="1" t="s">
        <v>7960</v>
      </c>
      <c r="AH2367" s="1" t="s">
        <v>73</v>
      </c>
      <c r="AK2367" s="1" t="s">
        <v>71</v>
      </c>
      <c r="AM2367" s="1" t="s">
        <v>71</v>
      </c>
      <c r="AN2367" s="1" t="s">
        <v>71</v>
      </c>
      <c r="AS2367" s="1" t="s">
        <v>71</v>
      </c>
      <c r="AX2367" s="1" t="s">
        <v>71</v>
      </c>
      <c r="AY2367" s="1" t="s">
        <v>59</v>
      </c>
      <c r="AZ2367" s="1" t="s">
        <v>74</v>
      </c>
      <c r="BH2367" s="1" t="s">
        <v>71</v>
      </c>
    </row>
    <row r="2368" customFormat="false" ht="15" hidden="false" customHeight="false" outlineLevel="0" collapsed="false">
      <c r="A2368" s="1" t="s">
        <v>7964</v>
      </c>
      <c r="B2368" s="1" t="s">
        <v>7965</v>
      </c>
      <c r="C2368" s="1" t="s">
        <v>1742</v>
      </c>
      <c r="D2368" s="1" t="s">
        <v>6399</v>
      </c>
      <c r="E2368" s="1" t="s">
        <v>61</v>
      </c>
      <c r="F2368" s="1" t="s">
        <v>101</v>
      </c>
      <c r="G2368" s="1" t="s">
        <v>93</v>
      </c>
      <c r="H2368" s="1" t="s">
        <v>64</v>
      </c>
      <c r="K2368" s="1" t="s">
        <v>126</v>
      </c>
      <c r="L2368" s="1" t="s">
        <v>335</v>
      </c>
      <c r="M2368" s="1" t="s">
        <v>5580</v>
      </c>
      <c r="N2368" s="1" t="s">
        <v>105</v>
      </c>
      <c r="O2368" s="1" t="s">
        <v>106</v>
      </c>
      <c r="P2368" s="1" t="s">
        <v>3539</v>
      </c>
      <c r="U2368" s="1" t="s">
        <v>7964</v>
      </c>
      <c r="Z2368" s="1" t="s">
        <v>71</v>
      </c>
      <c r="AE2368" s="1" t="s">
        <v>7966</v>
      </c>
      <c r="AH2368" s="1" t="s">
        <v>73</v>
      </c>
      <c r="AK2368" s="1" t="s">
        <v>71</v>
      </c>
      <c r="AM2368" s="1" t="s">
        <v>71</v>
      </c>
      <c r="AN2368" s="1" t="s">
        <v>71</v>
      </c>
      <c r="AS2368" s="1" t="s">
        <v>71</v>
      </c>
      <c r="AX2368" s="1" t="s">
        <v>71</v>
      </c>
      <c r="AY2368" s="1" t="s">
        <v>59</v>
      </c>
      <c r="AZ2368" s="1" t="s">
        <v>74</v>
      </c>
      <c r="BH2368" s="1" t="s">
        <v>71</v>
      </c>
    </row>
    <row r="2369" customFormat="false" ht="15" hidden="false" customHeight="false" outlineLevel="0" collapsed="false">
      <c r="A2369" s="1" t="s">
        <v>7967</v>
      </c>
      <c r="B2369" s="1" t="s">
        <v>2456</v>
      </c>
      <c r="C2369" s="1" t="s">
        <v>142</v>
      </c>
      <c r="D2369" s="1" t="s">
        <v>1102</v>
      </c>
      <c r="E2369" s="1" t="s">
        <v>82</v>
      </c>
      <c r="F2369" s="1" t="s">
        <v>391</v>
      </c>
      <c r="G2369" s="1" t="s">
        <v>1356</v>
      </c>
      <c r="H2369" s="1" t="s">
        <v>1825</v>
      </c>
      <c r="K2369" s="1" t="s">
        <v>1849</v>
      </c>
      <c r="L2369" s="1" t="s">
        <v>2456</v>
      </c>
      <c r="M2369" s="1" t="s">
        <v>496</v>
      </c>
      <c r="N2369" s="1" t="s">
        <v>3429</v>
      </c>
      <c r="O2369" s="1" t="s">
        <v>447</v>
      </c>
      <c r="P2369" s="1" t="s">
        <v>3684</v>
      </c>
      <c r="U2369" s="1" t="s">
        <v>7967</v>
      </c>
      <c r="Z2369" s="1" t="s">
        <v>71</v>
      </c>
      <c r="AE2369" s="1" t="s">
        <v>7968</v>
      </c>
      <c r="AH2369" s="1" t="s">
        <v>73</v>
      </c>
      <c r="AK2369" s="1" t="s">
        <v>71</v>
      </c>
      <c r="AM2369" s="1" t="s">
        <v>71</v>
      </c>
      <c r="AN2369" s="1" t="s">
        <v>71</v>
      </c>
      <c r="AS2369" s="1" t="s">
        <v>71</v>
      </c>
      <c r="AX2369" s="1" t="s">
        <v>71</v>
      </c>
      <c r="BH2369" s="1" t="s">
        <v>71</v>
      </c>
    </row>
    <row r="2370" customFormat="false" ht="15" hidden="false" customHeight="false" outlineLevel="0" collapsed="false">
      <c r="A2370" s="1" t="s">
        <v>7969</v>
      </c>
      <c r="B2370" s="1" t="s">
        <v>7970</v>
      </c>
      <c r="C2370" s="1" t="s">
        <v>2175</v>
      </c>
      <c r="D2370" s="1" t="s">
        <v>7519</v>
      </c>
      <c r="E2370" s="1" t="s">
        <v>61</v>
      </c>
      <c r="F2370" s="1" t="s">
        <v>101</v>
      </c>
      <c r="G2370" s="1" t="s">
        <v>93</v>
      </c>
      <c r="H2370" s="1" t="s">
        <v>64</v>
      </c>
      <c r="K2370" s="1" t="s">
        <v>5548</v>
      </c>
      <c r="L2370" s="1" t="s">
        <v>5549</v>
      </c>
      <c r="M2370" s="1" t="s">
        <v>1589</v>
      </c>
      <c r="N2370" s="1" t="s">
        <v>5592</v>
      </c>
      <c r="O2370" s="1" t="s">
        <v>5593</v>
      </c>
      <c r="P2370" s="1" t="s">
        <v>5594</v>
      </c>
      <c r="U2370" s="1" t="s">
        <v>7971</v>
      </c>
      <c r="Z2370" s="1" t="s">
        <v>71</v>
      </c>
      <c r="AE2370" s="1" t="s">
        <v>7972</v>
      </c>
      <c r="AH2370" s="1" t="s">
        <v>73</v>
      </c>
      <c r="AK2370" s="1" t="s">
        <v>71</v>
      </c>
      <c r="AM2370" s="1" t="s">
        <v>71</v>
      </c>
      <c r="AN2370" s="1" t="s">
        <v>71</v>
      </c>
      <c r="AS2370" s="1" t="s">
        <v>71</v>
      </c>
      <c r="AX2370" s="1" t="s">
        <v>71</v>
      </c>
      <c r="AY2370" s="1" t="s">
        <v>59</v>
      </c>
      <c r="AZ2370" s="1" t="s">
        <v>74</v>
      </c>
      <c r="BH2370" s="1" t="s">
        <v>71</v>
      </c>
    </row>
    <row r="2371" customFormat="false" ht="15" hidden="false" customHeight="false" outlineLevel="0" collapsed="false">
      <c r="A2371" s="1" t="s">
        <v>7973</v>
      </c>
      <c r="B2371" s="1" t="s">
        <v>7974</v>
      </c>
      <c r="C2371" s="1" t="s">
        <v>2175</v>
      </c>
      <c r="D2371" s="1" t="s">
        <v>7519</v>
      </c>
      <c r="E2371" s="1" t="s">
        <v>61</v>
      </c>
      <c r="F2371" s="1" t="s">
        <v>101</v>
      </c>
      <c r="G2371" s="1" t="s">
        <v>93</v>
      </c>
      <c r="H2371" s="1" t="s">
        <v>64</v>
      </c>
      <c r="K2371" s="1" t="s">
        <v>5548</v>
      </c>
      <c r="L2371" s="1" t="s">
        <v>5549</v>
      </c>
      <c r="M2371" s="1" t="s">
        <v>242</v>
      </c>
      <c r="N2371" s="1" t="s">
        <v>5592</v>
      </c>
      <c r="O2371" s="1" t="s">
        <v>5593</v>
      </c>
      <c r="P2371" s="1" t="s">
        <v>5594</v>
      </c>
      <c r="U2371" s="1" t="s">
        <v>7973</v>
      </c>
      <c r="V2371" s="1" t="s">
        <v>7520</v>
      </c>
      <c r="Z2371" s="1" t="s">
        <v>71</v>
      </c>
      <c r="AE2371" s="1" t="s">
        <v>7972</v>
      </c>
      <c r="AH2371" s="1" t="s">
        <v>73</v>
      </c>
      <c r="AK2371" s="1" t="s">
        <v>71</v>
      </c>
      <c r="AM2371" s="1" t="s">
        <v>71</v>
      </c>
      <c r="AN2371" s="1" t="s">
        <v>71</v>
      </c>
      <c r="AS2371" s="1" t="s">
        <v>71</v>
      </c>
      <c r="AX2371" s="1" t="s">
        <v>71</v>
      </c>
      <c r="AY2371" s="1" t="s">
        <v>59</v>
      </c>
      <c r="AZ2371" s="1" t="s">
        <v>74</v>
      </c>
      <c r="BH2371" s="1" t="s">
        <v>71</v>
      </c>
    </row>
    <row r="2372" customFormat="false" ht="15" hidden="false" customHeight="false" outlineLevel="0" collapsed="false">
      <c r="A2372" s="1" t="s">
        <v>7975</v>
      </c>
      <c r="B2372" s="1" t="s">
        <v>7976</v>
      </c>
      <c r="C2372" s="1" t="s">
        <v>1556</v>
      </c>
      <c r="D2372" s="1" t="s">
        <v>5530</v>
      </c>
      <c r="E2372" s="1" t="s">
        <v>61</v>
      </c>
      <c r="F2372" s="1" t="s">
        <v>101</v>
      </c>
      <c r="G2372" s="1" t="s">
        <v>148</v>
      </c>
      <c r="H2372" s="1" t="s">
        <v>231</v>
      </c>
      <c r="K2372" s="1" t="s">
        <v>232</v>
      </c>
      <c r="L2372" s="1" t="s">
        <v>233</v>
      </c>
      <c r="M2372" s="1" t="s">
        <v>828</v>
      </c>
      <c r="N2372" s="1" t="s">
        <v>243</v>
      </c>
      <c r="O2372" s="1" t="s">
        <v>244</v>
      </c>
      <c r="P2372" s="1" t="s">
        <v>3503</v>
      </c>
      <c r="U2372" s="1" t="s">
        <v>7977</v>
      </c>
      <c r="Z2372" s="1" t="s">
        <v>71</v>
      </c>
      <c r="AE2372" s="1" t="s">
        <v>7972</v>
      </c>
      <c r="AH2372" s="1" t="s">
        <v>73</v>
      </c>
      <c r="AK2372" s="1" t="s">
        <v>71</v>
      </c>
      <c r="AM2372" s="1" t="s">
        <v>71</v>
      </c>
      <c r="AN2372" s="1" t="s">
        <v>71</v>
      </c>
      <c r="AS2372" s="1" t="s">
        <v>71</v>
      </c>
      <c r="AX2372" s="1" t="s">
        <v>71</v>
      </c>
      <c r="AY2372" s="1" t="s">
        <v>59</v>
      </c>
      <c r="AZ2372" s="1" t="s">
        <v>74</v>
      </c>
      <c r="BH2372" s="1" t="s">
        <v>71</v>
      </c>
    </row>
    <row r="2373" customFormat="false" ht="15" hidden="false" customHeight="false" outlineLevel="0" collapsed="false">
      <c r="A2373" s="1" t="s">
        <v>7978</v>
      </c>
      <c r="B2373" s="1" t="s">
        <v>7979</v>
      </c>
      <c r="C2373" s="1" t="s">
        <v>1556</v>
      </c>
      <c r="D2373" s="1" t="s">
        <v>5530</v>
      </c>
      <c r="E2373" s="1" t="s">
        <v>61</v>
      </c>
      <c r="F2373" s="1" t="s">
        <v>101</v>
      </c>
      <c r="G2373" s="1" t="s">
        <v>148</v>
      </c>
      <c r="H2373" s="1" t="s">
        <v>231</v>
      </c>
      <c r="K2373" s="1" t="s">
        <v>372</v>
      </c>
      <c r="L2373" s="1" t="s">
        <v>5702</v>
      </c>
      <c r="M2373" s="1" t="s">
        <v>1387</v>
      </c>
      <c r="N2373" s="1" t="s">
        <v>243</v>
      </c>
      <c r="O2373" s="1" t="s">
        <v>244</v>
      </c>
      <c r="P2373" s="1" t="s">
        <v>3503</v>
      </c>
      <c r="U2373" s="1" t="s">
        <v>7980</v>
      </c>
      <c r="Z2373" s="1" t="s">
        <v>71</v>
      </c>
      <c r="AE2373" s="1" t="s">
        <v>7972</v>
      </c>
      <c r="AH2373" s="1" t="s">
        <v>73</v>
      </c>
      <c r="AK2373" s="1" t="s">
        <v>71</v>
      </c>
      <c r="AM2373" s="1" t="s">
        <v>71</v>
      </c>
      <c r="AN2373" s="1" t="s">
        <v>71</v>
      </c>
      <c r="AS2373" s="1" t="s">
        <v>71</v>
      </c>
      <c r="AX2373" s="1" t="s">
        <v>71</v>
      </c>
      <c r="AY2373" s="1" t="s">
        <v>59</v>
      </c>
      <c r="AZ2373" s="1" t="s">
        <v>74</v>
      </c>
      <c r="BH2373" s="1" t="s">
        <v>71</v>
      </c>
    </row>
    <row r="2374" customFormat="false" ht="15" hidden="false" customHeight="false" outlineLevel="0" collapsed="false">
      <c r="A2374" s="1" t="s">
        <v>7981</v>
      </c>
      <c r="B2374" s="1" t="s">
        <v>7982</v>
      </c>
      <c r="C2374" s="1" t="s">
        <v>1556</v>
      </c>
      <c r="D2374" s="1" t="s">
        <v>5530</v>
      </c>
      <c r="E2374" s="1" t="s">
        <v>61</v>
      </c>
      <c r="F2374" s="1" t="s">
        <v>101</v>
      </c>
      <c r="G2374" s="1" t="s">
        <v>148</v>
      </c>
      <c r="H2374" s="1" t="s">
        <v>231</v>
      </c>
      <c r="K2374" s="1" t="s">
        <v>1419</v>
      </c>
      <c r="L2374" s="1" t="s">
        <v>1420</v>
      </c>
      <c r="M2374" s="1" t="s">
        <v>1387</v>
      </c>
      <c r="N2374" s="1" t="s">
        <v>243</v>
      </c>
      <c r="O2374" s="1" t="s">
        <v>244</v>
      </c>
      <c r="P2374" s="1" t="s">
        <v>3503</v>
      </c>
      <c r="U2374" s="1" t="s">
        <v>7983</v>
      </c>
      <c r="Z2374" s="1" t="s">
        <v>71</v>
      </c>
      <c r="AE2374" s="1" t="s">
        <v>7972</v>
      </c>
      <c r="AH2374" s="1" t="s">
        <v>73</v>
      </c>
      <c r="AK2374" s="1" t="s">
        <v>71</v>
      </c>
      <c r="AM2374" s="1" t="s">
        <v>71</v>
      </c>
      <c r="AN2374" s="1" t="s">
        <v>71</v>
      </c>
      <c r="AS2374" s="1" t="s">
        <v>71</v>
      </c>
      <c r="AX2374" s="1" t="s">
        <v>71</v>
      </c>
      <c r="AY2374" s="1" t="s">
        <v>59</v>
      </c>
      <c r="AZ2374" s="1" t="s">
        <v>74</v>
      </c>
      <c r="BH2374" s="1" t="s">
        <v>71</v>
      </c>
    </row>
    <row r="2375" customFormat="false" ht="15" hidden="false" customHeight="false" outlineLevel="0" collapsed="false">
      <c r="A2375" s="1" t="s">
        <v>7984</v>
      </c>
      <c r="B2375" s="1" t="s">
        <v>7985</v>
      </c>
      <c r="C2375" s="1" t="s">
        <v>1556</v>
      </c>
      <c r="D2375" s="1" t="s">
        <v>5530</v>
      </c>
      <c r="E2375" s="1" t="s">
        <v>61</v>
      </c>
      <c r="F2375" s="1" t="s">
        <v>101</v>
      </c>
      <c r="G2375" s="1" t="s">
        <v>148</v>
      </c>
      <c r="H2375" s="1" t="s">
        <v>231</v>
      </c>
      <c r="K2375" s="1" t="s">
        <v>1419</v>
      </c>
      <c r="L2375" s="1" t="s">
        <v>1420</v>
      </c>
      <c r="M2375" s="1" t="s">
        <v>6711</v>
      </c>
      <c r="N2375" s="1" t="s">
        <v>243</v>
      </c>
      <c r="O2375" s="1" t="s">
        <v>244</v>
      </c>
      <c r="P2375" s="1" t="s">
        <v>3503</v>
      </c>
      <c r="U2375" s="1" t="s">
        <v>7986</v>
      </c>
      <c r="Z2375" s="1" t="s">
        <v>71</v>
      </c>
      <c r="AE2375" s="1" t="s">
        <v>7972</v>
      </c>
      <c r="AH2375" s="1" t="s">
        <v>73</v>
      </c>
      <c r="AK2375" s="1" t="s">
        <v>71</v>
      </c>
      <c r="AM2375" s="1" t="s">
        <v>71</v>
      </c>
      <c r="AN2375" s="1" t="s">
        <v>71</v>
      </c>
      <c r="AS2375" s="1" t="s">
        <v>71</v>
      </c>
      <c r="AX2375" s="1" t="s">
        <v>71</v>
      </c>
      <c r="AY2375" s="1" t="s">
        <v>59</v>
      </c>
      <c r="AZ2375" s="1" t="s">
        <v>74</v>
      </c>
      <c r="BH2375" s="1" t="s">
        <v>71</v>
      </c>
    </row>
    <row r="2376" customFormat="false" ht="15" hidden="false" customHeight="false" outlineLevel="0" collapsed="false">
      <c r="A2376" s="1" t="s">
        <v>7987</v>
      </c>
      <c r="B2376" s="1" t="s">
        <v>7988</v>
      </c>
      <c r="C2376" s="1" t="s">
        <v>2146</v>
      </c>
      <c r="D2376" s="1" t="s">
        <v>7457</v>
      </c>
      <c r="E2376" s="1" t="s">
        <v>61</v>
      </c>
      <c r="F2376" s="1" t="s">
        <v>101</v>
      </c>
      <c r="G2376" s="1" t="s">
        <v>93</v>
      </c>
      <c r="H2376" s="1" t="s">
        <v>64</v>
      </c>
      <c r="K2376" s="1" t="s">
        <v>1784</v>
      </c>
      <c r="L2376" s="1" t="s">
        <v>1785</v>
      </c>
      <c r="M2376" s="1" t="s">
        <v>592</v>
      </c>
      <c r="N2376" s="1" t="s">
        <v>105</v>
      </c>
      <c r="O2376" s="1" t="s">
        <v>106</v>
      </c>
      <c r="P2376" s="1" t="s">
        <v>3539</v>
      </c>
      <c r="U2376" s="1" t="s">
        <v>7987</v>
      </c>
      <c r="Z2376" s="1" t="s">
        <v>71</v>
      </c>
      <c r="AE2376" s="1" t="s">
        <v>7989</v>
      </c>
      <c r="AH2376" s="1" t="s">
        <v>73</v>
      </c>
      <c r="AK2376" s="1" t="s">
        <v>71</v>
      </c>
      <c r="AM2376" s="1" t="s">
        <v>71</v>
      </c>
      <c r="AN2376" s="1" t="s">
        <v>71</v>
      </c>
      <c r="AS2376" s="1" t="s">
        <v>71</v>
      </c>
      <c r="AX2376" s="1" t="s">
        <v>71</v>
      </c>
      <c r="AY2376" s="1" t="s">
        <v>59</v>
      </c>
      <c r="AZ2376" s="1" t="s">
        <v>74</v>
      </c>
      <c r="BH2376" s="1" t="s">
        <v>71</v>
      </c>
    </row>
    <row r="2377" customFormat="false" ht="15" hidden="false" customHeight="false" outlineLevel="0" collapsed="false">
      <c r="A2377" s="1" t="s">
        <v>7990</v>
      </c>
      <c r="B2377" s="1" t="s">
        <v>7991</v>
      </c>
      <c r="C2377" s="1" t="s">
        <v>2146</v>
      </c>
      <c r="D2377" s="1" t="s">
        <v>7457</v>
      </c>
      <c r="E2377" s="1" t="s">
        <v>61</v>
      </c>
      <c r="F2377" s="1" t="s">
        <v>101</v>
      </c>
      <c r="G2377" s="1" t="s">
        <v>93</v>
      </c>
      <c r="H2377" s="1" t="s">
        <v>64</v>
      </c>
      <c r="K2377" s="1" t="s">
        <v>184</v>
      </c>
      <c r="L2377" s="1" t="s">
        <v>194</v>
      </c>
      <c r="M2377" s="1" t="s">
        <v>104</v>
      </c>
      <c r="N2377" s="1" t="s">
        <v>105</v>
      </c>
      <c r="O2377" s="1" t="s">
        <v>106</v>
      </c>
      <c r="P2377" s="1" t="s">
        <v>3539</v>
      </c>
      <c r="U2377" s="1" t="s">
        <v>7990</v>
      </c>
      <c r="Z2377" s="1" t="s">
        <v>71</v>
      </c>
      <c r="AE2377" s="1" t="s">
        <v>7989</v>
      </c>
      <c r="AH2377" s="1" t="s">
        <v>73</v>
      </c>
      <c r="AK2377" s="1" t="s">
        <v>71</v>
      </c>
      <c r="AM2377" s="1" t="s">
        <v>71</v>
      </c>
      <c r="AN2377" s="1" t="s">
        <v>71</v>
      </c>
      <c r="AS2377" s="1" t="s">
        <v>71</v>
      </c>
      <c r="AX2377" s="1" t="s">
        <v>71</v>
      </c>
      <c r="AY2377" s="1" t="s">
        <v>59</v>
      </c>
      <c r="AZ2377" s="1" t="s">
        <v>74</v>
      </c>
      <c r="BH2377" s="1" t="s">
        <v>71</v>
      </c>
    </row>
    <row r="2378" customFormat="false" ht="15" hidden="false" customHeight="false" outlineLevel="0" collapsed="false">
      <c r="A2378" s="1" t="s">
        <v>7992</v>
      </c>
      <c r="B2378" s="1" t="s">
        <v>7993</v>
      </c>
      <c r="C2378" s="1" t="s">
        <v>99</v>
      </c>
      <c r="D2378" s="1" t="s">
        <v>100</v>
      </c>
      <c r="E2378" s="1" t="s">
        <v>61</v>
      </c>
      <c r="F2378" s="1" t="s">
        <v>101</v>
      </c>
      <c r="G2378" s="1" t="s">
        <v>93</v>
      </c>
      <c r="H2378" s="1" t="s">
        <v>64</v>
      </c>
      <c r="K2378" s="1" t="s">
        <v>302</v>
      </c>
      <c r="L2378" s="1" t="s">
        <v>303</v>
      </c>
      <c r="M2378" s="1" t="s">
        <v>104</v>
      </c>
      <c r="N2378" s="1" t="s">
        <v>105</v>
      </c>
      <c r="O2378" s="1" t="s">
        <v>106</v>
      </c>
      <c r="P2378" s="1" t="s">
        <v>3539</v>
      </c>
      <c r="U2378" s="1" t="s">
        <v>7992</v>
      </c>
      <c r="Z2378" s="1" t="s">
        <v>71</v>
      </c>
      <c r="AE2378" s="1" t="s">
        <v>7994</v>
      </c>
      <c r="AH2378" s="1" t="s">
        <v>73</v>
      </c>
      <c r="AK2378" s="1" t="s">
        <v>71</v>
      </c>
      <c r="AM2378" s="1" t="s">
        <v>71</v>
      </c>
      <c r="AN2378" s="1" t="s">
        <v>71</v>
      </c>
      <c r="AS2378" s="1" t="s">
        <v>71</v>
      </c>
      <c r="AX2378" s="1" t="s">
        <v>71</v>
      </c>
      <c r="AY2378" s="1" t="s">
        <v>59</v>
      </c>
      <c r="AZ2378" s="1" t="s">
        <v>74</v>
      </c>
      <c r="BH2378" s="1" t="s">
        <v>71</v>
      </c>
    </row>
    <row r="2379" customFormat="false" ht="15" hidden="false" customHeight="false" outlineLevel="0" collapsed="false">
      <c r="A2379" s="1" t="s">
        <v>7995</v>
      </c>
      <c r="B2379" s="1" t="s">
        <v>7996</v>
      </c>
      <c r="C2379" s="1" t="s">
        <v>157</v>
      </c>
      <c r="D2379" s="1" t="s">
        <v>511</v>
      </c>
      <c r="E2379" s="1" t="s">
        <v>88</v>
      </c>
      <c r="F2379" s="1" t="s">
        <v>432</v>
      </c>
      <c r="G2379" s="1" t="s">
        <v>283</v>
      </c>
      <c r="H2379" s="1" t="s">
        <v>2652</v>
      </c>
      <c r="K2379" s="1" t="s">
        <v>182</v>
      </c>
      <c r="L2379" s="1" t="s">
        <v>6187</v>
      </c>
      <c r="M2379" s="1" t="s">
        <v>496</v>
      </c>
      <c r="N2379" s="1" t="s">
        <v>437</v>
      </c>
      <c r="O2379" s="1" t="s">
        <v>438</v>
      </c>
      <c r="P2379" s="1" t="s">
        <v>5449</v>
      </c>
      <c r="U2379" s="1" t="s">
        <v>7995</v>
      </c>
      <c r="Z2379" s="1" t="s">
        <v>71</v>
      </c>
      <c r="AE2379" s="1" t="s">
        <v>7997</v>
      </c>
      <c r="AH2379" s="1" t="s">
        <v>73</v>
      </c>
      <c r="AK2379" s="1" t="s">
        <v>71</v>
      </c>
      <c r="AM2379" s="1" t="s">
        <v>71</v>
      </c>
      <c r="AN2379" s="1" t="s">
        <v>71</v>
      </c>
      <c r="AS2379" s="1" t="s">
        <v>71</v>
      </c>
      <c r="AX2379" s="1" t="s">
        <v>71</v>
      </c>
      <c r="BH2379" s="1" t="s">
        <v>71</v>
      </c>
    </row>
    <row r="2380" customFormat="false" ht="15" hidden="false" customHeight="false" outlineLevel="0" collapsed="false">
      <c r="A2380" s="1" t="s">
        <v>7998</v>
      </c>
      <c r="B2380" s="1" t="s">
        <v>7999</v>
      </c>
      <c r="C2380" s="1" t="s">
        <v>5543</v>
      </c>
      <c r="D2380" s="1" t="s">
        <v>5544</v>
      </c>
      <c r="E2380" s="1" t="s">
        <v>61</v>
      </c>
      <c r="F2380" s="1" t="s">
        <v>101</v>
      </c>
      <c r="G2380" s="1" t="s">
        <v>93</v>
      </c>
      <c r="H2380" s="1" t="s">
        <v>64</v>
      </c>
      <c r="K2380" s="1" t="s">
        <v>224</v>
      </c>
      <c r="L2380" s="1" t="s">
        <v>225</v>
      </c>
      <c r="M2380" s="1" t="s">
        <v>1555</v>
      </c>
      <c r="N2380" s="1" t="s">
        <v>105</v>
      </c>
      <c r="O2380" s="1" t="s">
        <v>106</v>
      </c>
      <c r="P2380" s="1" t="s">
        <v>3539</v>
      </c>
      <c r="U2380" s="1" t="s">
        <v>8000</v>
      </c>
      <c r="Z2380" s="1" t="s">
        <v>71</v>
      </c>
      <c r="AE2380" s="1" t="s">
        <v>7997</v>
      </c>
      <c r="AH2380" s="1" t="s">
        <v>73</v>
      </c>
      <c r="AK2380" s="1" t="s">
        <v>71</v>
      </c>
      <c r="AM2380" s="1" t="s">
        <v>71</v>
      </c>
      <c r="AN2380" s="1" t="s">
        <v>71</v>
      </c>
      <c r="AS2380" s="1" t="s">
        <v>71</v>
      </c>
      <c r="AX2380" s="1" t="s">
        <v>71</v>
      </c>
      <c r="AY2380" s="1" t="s">
        <v>59</v>
      </c>
      <c r="AZ2380" s="1" t="s">
        <v>74</v>
      </c>
      <c r="BH2380" s="1" t="s">
        <v>71</v>
      </c>
    </row>
    <row r="2381" customFormat="false" ht="15" hidden="false" customHeight="false" outlineLevel="0" collapsed="false">
      <c r="A2381" s="1" t="s">
        <v>8001</v>
      </c>
      <c r="B2381" s="1" t="s">
        <v>8002</v>
      </c>
      <c r="C2381" s="1" t="s">
        <v>99</v>
      </c>
      <c r="D2381" s="1" t="s">
        <v>100</v>
      </c>
      <c r="E2381" s="1" t="s">
        <v>61</v>
      </c>
      <c r="F2381" s="1" t="s">
        <v>101</v>
      </c>
      <c r="G2381" s="1" t="s">
        <v>93</v>
      </c>
      <c r="H2381" s="1" t="s">
        <v>64</v>
      </c>
      <c r="K2381" s="1" t="s">
        <v>201</v>
      </c>
      <c r="L2381" s="1" t="s">
        <v>4102</v>
      </c>
      <c r="M2381" s="1" t="s">
        <v>104</v>
      </c>
      <c r="N2381" s="1" t="s">
        <v>105</v>
      </c>
      <c r="O2381" s="1" t="s">
        <v>106</v>
      </c>
      <c r="P2381" s="1" t="s">
        <v>3539</v>
      </c>
      <c r="U2381" s="1" t="s">
        <v>8003</v>
      </c>
      <c r="Z2381" s="1" t="s">
        <v>71</v>
      </c>
      <c r="AE2381" s="1" t="s">
        <v>8004</v>
      </c>
      <c r="AH2381" s="1" t="s">
        <v>73</v>
      </c>
      <c r="AK2381" s="1" t="s">
        <v>71</v>
      </c>
      <c r="AM2381" s="1" t="s">
        <v>71</v>
      </c>
      <c r="AN2381" s="1" t="s">
        <v>71</v>
      </c>
      <c r="AS2381" s="1" t="s">
        <v>71</v>
      </c>
      <c r="AX2381" s="1" t="s">
        <v>71</v>
      </c>
      <c r="AY2381" s="1" t="s">
        <v>59</v>
      </c>
      <c r="AZ2381" s="1" t="s">
        <v>74</v>
      </c>
      <c r="BH2381" s="1" t="s">
        <v>71</v>
      </c>
    </row>
    <row r="2382" customFormat="false" ht="15" hidden="false" customHeight="false" outlineLevel="0" collapsed="false">
      <c r="A2382" s="1" t="s">
        <v>8005</v>
      </c>
      <c r="B2382" s="1" t="s">
        <v>8006</v>
      </c>
      <c r="C2382" s="1" t="s">
        <v>1736</v>
      </c>
      <c r="D2382" s="1" t="s">
        <v>4953</v>
      </c>
      <c r="E2382" s="1" t="s">
        <v>61</v>
      </c>
      <c r="F2382" s="1" t="s">
        <v>101</v>
      </c>
      <c r="G2382" s="1" t="s">
        <v>93</v>
      </c>
      <c r="H2382" s="1" t="s">
        <v>64</v>
      </c>
      <c r="K2382" s="1" t="s">
        <v>224</v>
      </c>
      <c r="L2382" s="1" t="s">
        <v>225</v>
      </c>
      <c r="M2382" s="1" t="s">
        <v>1555</v>
      </c>
      <c r="N2382" s="1" t="s">
        <v>105</v>
      </c>
      <c r="O2382" s="1" t="s">
        <v>106</v>
      </c>
      <c r="P2382" s="1" t="s">
        <v>3539</v>
      </c>
      <c r="U2382" s="1" t="s">
        <v>8007</v>
      </c>
      <c r="Z2382" s="1" t="s">
        <v>71</v>
      </c>
      <c r="AE2382" s="1" t="s">
        <v>8008</v>
      </c>
      <c r="AH2382" s="1" t="s">
        <v>73</v>
      </c>
      <c r="AK2382" s="1" t="s">
        <v>71</v>
      </c>
      <c r="AM2382" s="1" t="s">
        <v>71</v>
      </c>
      <c r="AN2382" s="1" t="s">
        <v>71</v>
      </c>
      <c r="AS2382" s="1" t="s">
        <v>71</v>
      </c>
      <c r="AX2382" s="1" t="s">
        <v>71</v>
      </c>
      <c r="AY2382" s="1" t="s">
        <v>59</v>
      </c>
      <c r="AZ2382" s="1" t="s">
        <v>74</v>
      </c>
      <c r="BH2382" s="1" t="s">
        <v>71</v>
      </c>
    </row>
    <row r="2383" customFormat="false" ht="15" hidden="false" customHeight="false" outlineLevel="0" collapsed="false">
      <c r="A2383" s="1" t="s">
        <v>8009</v>
      </c>
      <c r="B2383" s="1" t="s">
        <v>8010</v>
      </c>
      <c r="C2383" s="1" t="s">
        <v>1487</v>
      </c>
      <c r="D2383" s="1" t="s">
        <v>1488</v>
      </c>
      <c r="E2383" s="1" t="s">
        <v>61</v>
      </c>
      <c r="F2383" s="1" t="s">
        <v>101</v>
      </c>
      <c r="G2383" s="1" t="s">
        <v>275</v>
      </c>
      <c r="H2383" s="1" t="s">
        <v>276</v>
      </c>
      <c r="K2383" s="1" t="s">
        <v>1118</v>
      </c>
      <c r="L2383" s="1" t="s">
        <v>3151</v>
      </c>
      <c r="M2383" s="1" t="s">
        <v>278</v>
      </c>
      <c r="N2383" s="1" t="s">
        <v>5064</v>
      </c>
      <c r="O2383" s="1" t="s">
        <v>5065</v>
      </c>
      <c r="P2383" s="1" t="s">
        <v>5066</v>
      </c>
      <c r="U2383" s="1" t="s">
        <v>8009</v>
      </c>
      <c r="Z2383" s="1" t="s">
        <v>71</v>
      </c>
      <c r="AE2383" s="1" t="s">
        <v>8011</v>
      </c>
      <c r="AH2383" s="1" t="s">
        <v>73</v>
      </c>
      <c r="AK2383" s="1" t="s">
        <v>71</v>
      </c>
      <c r="AM2383" s="1" t="s">
        <v>71</v>
      </c>
      <c r="AN2383" s="1" t="s">
        <v>71</v>
      </c>
      <c r="AS2383" s="1" t="s">
        <v>71</v>
      </c>
      <c r="AX2383" s="1" t="s">
        <v>71</v>
      </c>
      <c r="AY2383" s="1" t="s">
        <v>59</v>
      </c>
      <c r="AZ2383" s="1" t="s">
        <v>74</v>
      </c>
      <c r="BH2383" s="1" t="s">
        <v>71</v>
      </c>
    </row>
    <row r="2384" customFormat="false" ht="15" hidden="false" customHeight="false" outlineLevel="0" collapsed="false">
      <c r="A2384" s="1" t="s">
        <v>8012</v>
      </c>
      <c r="B2384" s="1" t="s">
        <v>8013</v>
      </c>
      <c r="C2384" s="1" t="s">
        <v>1487</v>
      </c>
      <c r="D2384" s="1" t="s">
        <v>1488</v>
      </c>
      <c r="E2384" s="1" t="s">
        <v>61</v>
      </c>
      <c r="F2384" s="1" t="s">
        <v>101</v>
      </c>
      <c r="G2384" s="1" t="s">
        <v>275</v>
      </c>
      <c r="H2384" s="1" t="s">
        <v>276</v>
      </c>
      <c r="K2384" s="1" t="s">
        <v>142</v>
      </c>
      <c r="L2384" s="1" t="s">
        <v>295</v>
      </c>
      <c r="M2384" s="1" t="s">
        <v>296</v>
      </c>
      <c r="N2384" s="1" t="s">
        <v>5904</v>
      </c>
      <c r="O2384" s="1" t="s">
        <v>5905</v>
      </c>
      <c r="P2384" s="1" t="s">
        <v>5906</v>
      </c>
      <c r="U2384" s="1" t="s">
        <v>8012</v>
      </c>
      <c r="Z2384" s="1" t="s">
        <v>71</v>
      </c>
      <c r="AE2384" s="1" t="s">
        <v>8011</v>
      </c>
      <c r="AH2384" s="1" t="s">
        <v>73</v>
      </c>
      <c r="AK2384" s="1" t="s">
        <v>71</v>
      </c>
      <c r="AM2384" s="1" t="s">
        <v>71</v>
      </c>
      <c r="AN2384" s="1" t="s">
        <v>71</v>
      </c>
      <c r="AS2384" s="1" t="s">
        <v>71</v>
      </c>
      <c r="AX2384" s="1" t="s">
        <v>71</v>
      </c>
      <c r="AY2384" s="1" t="s">
        <v>59</v>
      </c>
      <c r="AZ2384" s="1" t="s">
        <v>74</v>
      </c>
      <c r="BH2384" s="1" t="s">
        <v>71</v>
      </c>
    </row>
    <row r="2385" customFormat="false" ht="15" hidden="false" customHeight="false" outlineLevel="0" collapsed="false">
      <c r="A2385" s="1" t="s">
        <v>8014</v>
      </c>
      <c r="B2385" s="1" t="s">
        <v>8015</v>
      </c>
      <c r="C2385" s="1" t="s">
        <v>2605</v>
      </c>
      <c r="D2385" s="1" t="s">
        <v>6807</v>
      </c>
      <c r="E2385" s="1" t="s">
        <v>61</v>
      </c>
      <c r="F2385" s="1" t="s">
        <v>101</v>
      </c>
      <c r="G2385" s="1" t="s">
        <v>275</v>
      </c>
      <c r="H2385" s="1" t="s">
        <v>276</v>
      </c>
      <c r="K2385" s="1" t="s">
        <v>1479</v>
      </c>
      <c r="L2385" s="1" t="s">
        <v>1480</v>
      </c>
      <c r="M2385" s="1" t="s">
        <v>296</v>
      </c>
      <c r="N2385" s="1" t="s">
        <v>1365</v>
      </c>
      <c r="O2385" s="1" t="s">
        <v>1366</v>
      </c>
      <c r="P2385" s="1" t="s">
        <v>4820</v>
      </c>
      <c r="U2385" s="1" t="s">
        <v>8014</v>
      </c>
      <c r="Z2385" s="1" t="s">
        <v>71</v>
      </c>
      <c r="AE2385" s="1" t="s">
        <v>8011</v>
      </c>
      <c r="AH2385" s="1" t="s">
        <v>73</v>
      </c>
      <c r="AK2385" s="1" t="s">
        <v>71</v>
      </c>
      <c r="AM2385" s="1" t="s">
        <v>71</v>
      </c>
      <c r="AN2385" s="1" t="s">
        <v>71</v>
      </c>
      <c r="AS2385" s="1" t="s">
        <v>71</v>
      </c>
      <c r="AX2385" s="1" t="s">
        <v>71</v>
      </c>
      <c r="AY2385" s="1" t="s">
        <v>59</v>
      </c>
      <c r="AZ2385" s="1" t="s">
        <v>74</v>
      </c>
      <c r="BH2385" s="1" t="s">
        <v>71</v>
      </c>
    </row>
    <row r="2386" customFormat="false" ht="15" hidden="false" customHeight="false" outlineLevel="0" collapsed="false">
      <c r="A2386" s="1" t="s">
        <v>8016</v>
      </c>
      <c r="B2386" s="1" t="s">
        <v>8017</v>
      </c>
      <c r="C2386" s="1" t="s">
        <v>99</v>
      </c>
      <c r="D2386" s="1" t="s">
        <v>100</v>
      </c>
      <c r="E2386" s="1" t="s">
        <v>61</v>
      </c>
      <c r="F2386" s="1" t="s">
        <v>101</v>
      </c>
      <c r="G2386" s="1" t="s">
        <v>93</v>
      </c>
      <c r="H2386" s="1" t="s">
        <v>64</v>
      </c>
      <c r="K2386" s="1" t="s">
        <v>224</v>
      </c>
      <c r="L2386" s="1" t="s">
        <v>225</v>
      </c>
      <c r="M2386" s="1" t="s">
        <v>165</v>
      </c>
      <c r="N2386" s="1" t="s">
        <v>105</v>
      </c>
      <c r="O2386" s="1" t="s">
        <v>106</v>
      </c>
      <c r="P2386" s="1" t="s">
        <v>3539</v>
      </c>
      <c r="U2386" s="1" t="s">
        <v>8016</v>
      </c>
      <c r="Z2386" s="1" t="s">
        <v>71</v>
      </c>
      <c r="AE2386" s="1" t="s">
        <v>8011</v>
      </c>
      <c r="AH2386" s="1" t="s">
        <v>73</v>
      </c>
      <c r="AK2386" s="1" t="s">
        <v>71</v>
      </c>
      <c r="AM2386" s="1" t="s">
        <v>71</v>
      </c>
      <c r="AN2386" s="1" t="s">
        <v>71</v>
      </c>
      <c r="AS2386" s="1" t="s">
        <v>71</v>
      </c>
      <c r="AX2386" s="1" t="s">
        <v>71</v>
      </c>
      <c r="AY2386" s="1" t="s">
        <v>59</v>
      </c>
      <c r="AZ2386" s="1" t="s">
        <v>74</v>
      </c>
      <c r="BH2386" s="1" t="s">
        <v>71</v>
      </c>
    </row>
    <row r="2387" customFormat="false" ht="15" hidden="false" customHeight="false" outlineLevel="0" collapsed="false">
      <c r="A2387" s="1" t="s">
        <v>8018</v>
      </c>
      <c r="B2387" s="1" t="s">
        <v>8019</v>
      </c>
      <c r="C2387" s="1" t="s">
        <v>222</v>
      </c>
      <c r="D2387" s="1" t="s">
        <v>223</v>
      </c>
      <c r="E2387" s="1" t="s">
        <v>61</v>
      </c>
      <c r="F2387" s="1" t="s">
        <v>101</v>
      </c>
      <c r="G2387" s="1" t="s">
        <v>93</v>
      </c>
      <c r="H2387" s="1" t="s">
        <v>64</v>
      </c>
      <c r="K2387" s="1" t="s">
        <v>582</v>
      </c>
      <c r="L2387" s="1" t="s">
        <v>4731</v>
      </c>
      <c r="M2387" s="1" t="s">
        <v>314</v>
      </c>
      <c r="N2387" s="1" t="s">
        <v>1177</v>
      </c>
      <c r="O2387" s="1" t="s">
        <v>1178</v>
      </c>
      <c r="P2387" s="1" t="s">
        <v>4732</v>
      </c>
      <c r="U2387" s="1" t="s">
        <v>8018</v>
      </c>
      <c r="Z2387" s="1" t="s">
        <v>71</v>
      </c>
      <c r="AE2387" s="1" t="s">
        <v>8011</v>
      </c>
      <c r="AH2387" s="1" t="s">
        <v>73</v>
      </c>
      <c r="AK2387" s="1" t="s">
        <v>71</v>
      </c>
      <c r="AM2387" s="1" t="s">
        <v>71</v>
      </c>
      <c r="AN2387" s="1" t="s">
        <v>71</v>
      </c>
      <c r="AS2387" s="1" t="s">
        <v>71</v>
      </c>
      <c r="AX2387" s="1" t="s">
        <v>71</v>
      </c>
      <c r="AY2387" s="1" t="s">
        <v>59</v>
      </c>
      <c r="AZ2387" s="1" t="s">
        <v>74</v>
      </c>
      <c r="BH2387" s="1" t="s">
        <v>71</v>
      </c>
    </row>
    <row r="2388" customFormat="false" ht="15" hidden="false" customHeight="false" outlineLevel="0" collapsed="false">
      <c r="A2388" s="1" t="s">
        <v>8020</v>
      </c>
      <c r="B2388" s="1" t="s">
        <v>8021</v>
      </c>
      <c r="C2388" s="1" t="s">
        <v>222</v>
      </c>
      <c r="D2388" s="1" t="s">
        <v>223</v>
      </c>
      <c r="E2388" s="1" t="s">
        <v>61</v>
      </c>
      <c r="F2388" s="1" t="s">
        <v>101</v>
      </c>
      <c r="G2388" s="1" t="s">
        <v>93</v>
      </c>
      <c r="H2388" s="1" t="s">
        <v>64</v>
      </c>
      <c r="K2388" s="1" t="s">
        <v>1018</v>
      </c>
      <c r="L2388" s="1" t="s">
        <v>1019</v>
      </c>
      <c r="M2388" s="1" t="s">
        <v>1555</v>
      </c>
      <c r="N2388" s="1" t="s">
        <v>105</v>
      </c>
      <c r="O2388" s="1" t="s">
        <v>106</v>
      </c>
      <c r="P2388" s="1" t="s">
        <v>3539</v>
      </c>
      <c r="U2388" s="1" t="s">
        <v>8020</v>
      </c>
      <c r="Z2388" s="1" t="s">
        <v>71</v>
      </c>
      <c r="AE2388" s="1" t="s">
        <v>8011</v>
      </c>
      <c r="AH2388" s="1" t="s">
        <v>73</v>
      </c>
      <c r="AK2388" s="1" t="s">
        <v>71</v>
      </c>
      <c r="AM2388" s="1" t="s">
        <v>71</v>
      </c>
      <c r="AN2388" s="1" t="s">
        <v>71</v>
      </c>
      <c r="AS2388" s="1" t="s">
        <v>71</v>
      </c>
      <c r="AX2388" s="1" t="s">
        <v>71</v>
      </c>
      <c r="AY2388" s="1" t="s">
        <v>59</v>
      </c>
      <c r="AZ2388" s="1" t="s">
        <v>74</v>
      </c>
      <c r="BH2388" s="1" t="s">
        <v>71</v>
      </c>
    </row>
    <row r="2389" customFormat="false" ht="15" hidden="false" customHeight="false" outlineLevel="0" collapsed="false">
      <c r="A2389" s="1" t="s">
        <v>8022</v>
      </c>
      <c r="B2389" s="1" t="s">
        <v>8023</v>
      </c>
      <c r="C2389" s="1" t="s">
        <v>222</v>
      </c>
      <c r="D2389" s="1" t="s">
        <v>223</v>
      </c>
      <c r="E2389" s="1" t="s">
        <v>61</v>
      </c>
      <c r="F2389" s="1" t="s">
        <v>101</v>
      </c>
      <c r="G2389" s="1" t="s">
        <v>93</v>
      </c>
      <c r="H2389" s="1" t="s">
        <v>64</v>
      </c>
      <c r="K2389" s="1" t="s">
        <v>2219</v>
      </c>
      <c r="L2389" s="1" t="s">
        <v>7251</v>
      </c>
      <c r="M2389" s="1" t="s">
        <v>5580</v>
      </c>
      <c r="N2389" s="1" t="s">
        <v>105</v>
      </c>
      <c r="O2389" s="1" t="s">
        <v>106</v>
      </c>
      <c r="P2389" s="1" t="s">
        <v>3539</v>
      </c>
      <c r="U2389" s="1" t="s">
        <v>8022</v>
      </c>
      <c r="Z2389" s="1" t="s">
        <v>71</v>
      </c>
      <c r="AE2389" s="1" t="s">
        <v>8011</v>
      </c>
      <c r="AH2389" s="1" t="s">
        <v>73</v>
      </c>
      <c r="AK2389" s="1" t="s">
        <v>71</v>
      </c>
      <c r="AM2389" s="1" t="s">
        <v>71</v>
      </c>
      <c r="AN2389" s="1" t="s">
        <v>71</v>
      </c>
      <c r="AS2389" s="1" t="s">
        <v>71</v>
      </c>
      <c r="AX2389" s="1" t="s">
        <v>71</v>
      </c>
      <c r="AY2389" s="1" t="s">
        <v>59</v>
      </c>
      <c r="AZ2389" s="1" t="s">
        <v>74</v>
      </c>
      <c r="BH2389" s="1" t="s">
        <v>71</v>
      </c>
    </row>
    <row r="2390" customFormat="false" ht="15" hidden="false" customHeight="false" outlineLevel="0" collapsed="false">
      <c r="A2390" s="1" t="s">
        <v>8024</v>
      </c>
      <c r="B2390" s="1" t="s">
        <v>8025</v>
      </c>
      <c r="C2390" s="1" t="s">
        <v>2146</v>
      </c>
      <c r="D2390" s="1" t="s">
        <v>7457</v>
      </c>
      <c r="E2390" s="1" t="s">
        <v>61</v>
      </c>
      <c r="F2390" s="1" t="s">
        <v>101</v>
      </c>
      <c r="G2390" s="1" t="s">
        <v>93</v>
      </c>
      <c r="H2390" s="1" t="s">
        <v>64</v>
      </c>
      <c r="K2390" s="1" t="s">
        <v>184</v>
      </c>
      <c r="L2390" s="1" t="s">
        <v>194</v>
      </c>
      <c r="M2390" s="1" t="s">
        <v>104</v>
      </c>
      <c r="N2390" s="1" t="s">
        <v>105</v>
      </c>
      <c r="O2390" s="1" t="s">
        <v>106</v>
      </c>
      <c r="P2390" s="1" t="s">
        <v>3539</v>
      </c>
      <c r="U2390" s="1" t="s">
        <v>8024</v>
      </c>
      <c r="Z2390" s="1" t="s">
        <v>71</v>
      </c>
      <c r="AE2390" s="1" t="s">
        <v>8026</v>
      </c>
      <c r="AH2390" s="1" t="s">
        <v>73</v>
      </c>
      <c r="AK2390" s="1" t="s">
        <v>71</v>
      </c>
      <c r="AM2390" s="1" t="s">
        <v>71</v>
      </c>
      <c r="AN2390" s="1" t="s">
        <v>71</v>
      </c>
      <c r="AS2390" s="1" t="s">
        <v>71</v>
      </c>
      <c r="AX2390" s="1" t="s">
        <v>71</v>
      </c>
      <c r="AY2390" s="1" t="s">
        <v>59</v>
      </c>
      <c r="AZ2390" s="1" t="s">
        <v>74</v>
      </c>
      <c r="BH2390" s="1" t="s">
        <v>71</v>
      </c>
    </row>
    <row r="2391" customFormat="false" ht="15" hidden="false" customHeight="false" outlineLevel="0" collapsed="false">
      <c r="A2391" s="1" t="s">
        <v>8027</v>
      </c>
      <c r="B2391" s="1" t="s">
        <v>8028</v>
      </c>
      <c r="C2391" s="1" t="s">
        <v>117</v>
      </c>
      <c r="D2391" s="1" t="s">
        <v>118</v>
      </c>
      <c r="E2391" s="1" t="s">
        <v>65</v>
      </c>
      <c r="F2391" s="1" t="s">
        <v>119</v>
      </c>
      <c r="G2391" s="1" t="s">
        <v>65</v>
      </c>
      <c r="H2391" s="1" t="s">
        <v>64</v>
      </c>
      <c r="K2391" s="1" t="s">
        <v>443</v>
      </c>
      <c r="L2391" s="1" t="s">
        <v>630</v>
      </c>
      <c r="M2391" s="1" t="s">
        <v>104</v>
      </c>
      <c r="N2391" s="1" t="s">
        <v>123</v>
      </c>
      <c r="O2391" s="1" t="s">
        <v>124</v>
      </c>
      <c r="P2391" s="1" t="s">
        <v>4161</v>
      </c>
      <c r="U2391" s="1" t="s">
        <v>8027</v>
      </c>
      <c r="Z2391" s="1" t="s">
        <v>71</v>
      </c>
      <c r="AE2391" s="1" t="s">
        <v>8026</v>
      </c>
      <c r="AH2391" s="1" t="s">
        <v>73</v>
      </c>
      <c r="AK2391" s="1" t="s">
        <v>71</v>
      </c>
      <c r="AM2391" s="1" t="s">
        <v>71</v>
      </c>
      <c r="AN2391" s="1" t="s">
        <v>71</v>
      </c>
      <c r="AS2391" s="1" t="s">
        <v>71</v>
      </c>
      <c r="AX2391" s="1" t="s">
        <v>71</v>
      </c>
      <c r="AY2391" s="1" t="s">
        <v>59</v>
      </c>
      <c r="AZ2391" s="1" t="s">
        <v>74</v>
      </c>
      <c r="BH2391" s="1" t="s">
        <v>71</v>
      </c>
    </row>
    <row r="2392" customFormat="false" ht="15" hidden="false" customHeight="false" outlineLevel="0" collapsed="false">
      <c r="A2392" s="1" t="s">
        <v>8029</v>
      </c>
      <c r="B2392" s="1" t="s">
        <v>8030</v>
      </c>
      <c r="C2392" s="1" t="s">
        <v>2146</v>
      </c>
      <c r="D2392" s="1" t="s">
        <v>7457</v>
      </c>
      <c r="E2392" s="1" t="s">
        <v>61</v>
      </c>
      <c r="F2392" s="1" t="s">
        <v>101</v>
      </c>
      <c r="G2392" s="1" t="s">
        <v>93</v>
      </c>
      <c r="H2392" s="1" t="s">
        <v>64</v>
      </c>
      <c r="K2392" s="1" t="s">
        <v>229</v>
      </c>
      <c r="L2392" s="1" t="s">
        <v>605</v>
      </c>
      <c r="M2392" s="1" t="s">
        <v>104</v>
      </c>
      <c r="N2392" s="1" t="s">
        <v>105</v>
      </c>
      <c r="O2392" s="1" t="s">
        <v>106</v>
      </c>
      <c r="P2392" s="1" t="s">
        <v>3539</v>
      </c>
      <c r="U2392" s="1" t="s">
        <v>8029</v>
      </c>
      <c r="Z2392" s="1" t="s">
        <v>71</v>
      </c>
      <c r="AE2392" s="1" t="s">
        <v>8026</v>
      </c>
      <c r="AH2392" s="1" t="s">
        <v>73</v>
      </c>
      <c r="AK2392" s="1" t="s">
        <v>71</v>
      </c>
      <c r="AM2392" s="1" t="s">
        <v>71</v>
      </c>
      <c r="AN2392" s="1" t="s">
        <v>71</v>
      </c>
      <c r="AS2392" s="1" t="s">
        <v>71</v>
      </c>
      <c r="AX2392" s="1" t="s">
        <v>71</v>
      </c>
      <c r="AY2392" s="1" t="s">
        <v>59</v>
      </c>
      <c r="AZ2392" s="1" t="s">
        <v>74</v>
      </c>
      <c r="BH2392" s="1" t="s">
        <v>71</v>
      </c>
    </row>
    <row r="2393" customFormat="false" ht="15" hidden="false" customHeight="false" outlineLevel="0" collapsed="false">
      <c r="A2393" s="1" t="s">
        <v>8031</v>
      </c>
      <c r="B2393" s="1" t="s">
        <v>8032</v>
      </c>
      <c r="C2393" s="1" t="s">
        <v>2146</v>
      </c>
      <c r="D2393" s="1" t="s">
        <v>7457</v>
      </c>
      <c r="E2393" s="1" t="s">
        <v>61</v>
      </c>
      <c r="F2393" s="1" t="s">
        <v>101</v>
      </c>
      <c r="G2393" s="1" t="s">
        <v>93</v>
      </c>
      <c r="H2393" s="1" t="s">
        <v>64</v>
      </c>
      <c r="K2393" s="1" t="s">
        <v>102</v>
      </c>
      <c r="L2393" s="1" t="s">
        <v>103</v>
      </c>
      <c r="M2393" s="1" t="s">
        <v>104</v>
      </c>
      <c r="N2393" s="1" t="s">
        <v>105</v>
      </c>
      <c r="O2393" s="1" t="s">
        <v>106</v>
      </c>
      <c r="P2393" s="1" t="s">
        <v>3539</v>
      </c>
      <c r="U2393" s="1" t="s">
        <v>8031</v>
      </c>
      <c r="Z2393" s="1" t="s">
        <v>71</v>
      </c>
      <c r="AE2393" s="1" t="s">
        <v>8026</v>
      </c>
      <c r="AH2393" s="1" t="s">
        <v>73</v>
      </c>
      <c r="AK2393" s="1" t="s">
        <v>71</v>
      </c>
      <c r="AM2393" s="1" t="s">
        <v>71</v>
      </c>
      <c r="AN2393" s="1" t="s">
        <v>71</v>
      </c>
      <c r="AS2393" s="1" t="s">
        <v>71</v>
      </c>
      <c r="AX2393" s="1" t="s">
        <v>71</v>
      </c>
      <c r="AY2393" s="1" t="s">
        <v>59</v>
      </c>
      <c r="AZ2393" s="1" t="s">
        <v>74</v>
      </c>
      <c r="BH2393" s="1" t="s">
        <v>71</v>
      </c>
    </row>
    <row r="2394" customFormat="false" ht="15" hidden="false" customHeight="false" outlineLevel="0" collapsed="false">
      <c r="A2394" s="1" t="s">
        <v>8033</v>
      </c>
      <c r="B2394" s="1" t="s">
        <v>8034</v>
      </c>
      <c r="C2394" s="1" t="s">
        <v>2152</v>
      </c>
      <c r="D2394" s="1" t="s">
        <v>7486</v>
      </c>
      <c r="E2394" s="1" t="s">
        <v>61</v>
      </c>
      <c r="F2394" s="1" t="s">
        <v>101</v>
      </c>
      <c r="G2394" s="1" t="s">
        <v>93</v>
      </c>
      <c r="H2394" s="1" t="s">
        <v>64</v>
      </c>
      <c r="K2394" s="1" t="s">
        <v>5548</v>
      </c>
      <c r="L2394" s="1" t="s">
        <v>5549</v>
      </c>
      <c r="M2394" s="1" t="s">
        <v>242</v>
      </c>
      <c r="N2394" s="1" t="s">
        <v>105</v>
      </c>
      <c r="O2394" s="1" t="s">
        <v>106</v>
      </c>
      <c r="P2394" s="1" t="s">
        <v>3539</v>
      </c>
      <c r="U2394" s="1" t="s">
        <v>8033</v>
      </c>
      <c r="V2394" s="1" t="s">
        <v>7487</v>
      </c>
      <c r="Z2394" s="1" t="s">
        <v>71</v>
      </c>
      <c r="AE2394" s="1" t="s">
        <v>8035</v>
      </c>
      <c r="AH2394" s="1" t="s">
        <v>73</v>
      </c>
      <c r="AK2394" s="1" t="s">
        <v>71</v>
      </c>
      <c r="AM2394" s="1" t="s">
        <v>71</v>
      </c>
      <c r="AN2394" s="1" t="s">
        <v>71</v>
      </c>
      <c r="AS2394" s="1" t="s">
        <v>71</v>
      </c>
      <c r="AX2394" s="1" t="s">
        <v>71</v>
      </c>
      <c r="AY2394" s="1" t="s">
        <v>59</v>
      </c>
      <c r="AZ2394" s="1" t="s">
        <v>74</v>
      </c>
      <c r="BH2394" s="1" t="s">
        <v>71</v>
      </c>
    </row>
    <row r="2395" customFormat="false" ht="15" hidden="false" customHeight="false" outlineLevel="0" collapsed="false">
      <c r="A2395" s="1" t="s">
        <v>8036</v>
      </c>
      <c r="B2395" s="1" t="s">
        <v>8037</v>
      </c>
      <c r="C2395" s="1" t="s">
        <v>1795</v>
      </c>
      <c r="D2395" s="1" t="s">
        <v>6570</v>
      </c>
      <c r="E2395" s="1" t="s">
        <v>82</v>
      </c>
      <c r="F2395" s="1" t="s">
        <v>391</v>
      </c>
      <c r="G2395" s="1" t="s">
        <v>97</v>
      </c>
      <c r="H2395" s="1" t="s">
        <v>406</v>
      </c>
      <c r="K2395" s="1" t="s">
        <v>453</v>
      </c>
      <c r="L2395" s="1" t="s">
        <v>454</v>
      </c>
      <c r="M2395" s="1" t="s">
        <v>496</v>
      </c>
      <c r="N2395" s="1" t="s">
        <v>8038</v>
      </c>
      <c r="O2395" s="1" t="s">
        <v>8037</v>
      </c>
      <c r="P2395" s="1" t="s">
        <v>8039</v>
      </c>
      <c r="U2395" s="1" t="s">
        <v>8036</v>
      </c>
      <c r="Z2395" s="1" t="s">
        <v>71</v>
      </c>
      <c r="AE2395" s="1" t="s">
        <v>8040</v>
      </c>
      <c r="AH2395" s="1" t="s">
        <v>73</v>
      </c>
      <c r="AK2395" s="1" t="s">
        <v>71</v>
      </c>
      <c r="AM2395" s="1" t="s">
        <v>71</v>
      </c>
      <c r="AN2395" s="1" t="s">
        <v>71</v>
      </c>
      <c r="AS2395" s="1" t="s">
        <v>71</v>
      </c>
      <c r="AX2395" s="1" t="s">
        <v>71</v>
      </c>
      <c r="BH2395" s="1" t="s">
        <v>71</v>
      </c>
    </row>
    <row r="2396" customFormat="false" ht="15" hidden="false" customHeight="false" outlineLevel="0" collapsed="false">
      <c r="A2396" s="1" t="s">
        <v>8041</v>
      </c>
      <c r="B2396" s="1" t="s">
        <v>8042</v>
      </c>
      <c r="C2396" s="1" t="s">
        <v>324</v>
      </c>
      <c r="D2396" s="1" t="s">
        <v>325</v>
      </c>
      <c r="E2396" s="1" t="s">
        <v>61</v>
      </c>
      <c r="F2396" s="1" t="s">
        <v>101</v>
      </c>
      <c r="G2396" s="1" t="s">
        <v>177</v>
      </c>
      <c r="H2396" s="1" t="s">
        <v>255</v>
      </c>
      <c r="K2396" s="1" t="s">
        <v>134</v>
      </c>
      <c r="L2396" s="1" t="s">
        <v>268</v>
      </c>
      <c r="M2396" s="1" t="s">
        <v>242</v>
      </c>
      <c r="N2396" s="1" t="s">
        <v>259</v>
      </c>
      <c r="O2396" s="1" t="s">
        <v>260</v>
      </c>
      <c r="P2396" s="1" t="s">
        <v>3768</v>
      </c>
      <c r="U2396" s="1" t="s">
        <v>8043</v>
      </c>
      <c r="Z2396" s="1" t="s">
        <v>71</v>
      </c>
      <c r="AE2396" s="1" t="s">
        <v>8044</v>
      </c>
      <c r="AH2396" s="1" t="s">
        <v>73</v>
      </c>
      <c r="AK2396" s="1" t="s">
        <v>71</v>
      </c>
      <c r="AM2396" s="1" t="s">
        <v>71</v>
      </c>
      <c r="AN2396" s="1" t="s">
        <v>71</v>
      </c>
      <c r="AS2396" s="1" t="s">
        <v>71</v>
      </c>
      <c r="AX2396" s="1" t="s">
        <v>71</v>
      </c>
      <c r="AY2396" s="1" t="s">
        <v>59</v>
      </c>
      <c r="AZ2396" s="1" t="s">
        <v>74</v>
      </c>
      <c r="BH2396" s="1" t="s">
        <v>71</v>
      </c>
    </row>
    <row r="2397" customFormat="false" ht="15" hidden="false" customHeight="false" outlineLevel="0" collapsed="false">
      <c r="A2397" s="1" t="s">
        <v>8045</v>
      </c>
      <c r="B2397" s="1" t="s">
        <v>8046</v>
      </c>
      <c r="C2397" s="1" t="s">
        <v>1758</v>
      </c>
      <c r="D2397" s="1" t="s">
        <v>6911</v>
      </c>
      <c r="E2397" s="1" t="s">
        <v>82</v>
      </c>
      <c r="F2397" s="1" t="s">
        <v>391</v>
      </c>
      <c r="G2397" s="1" t="s">
        <v>443</v>
      </c>
      <c r="H2397" s="1" t="s">
        <v>444</v>
      </c>
      <c r="K2397" s="1" t="s">
        <v>618</v>
      </c>
      <c r="L2397" s="1" t="s">
        <v>619</v>
      </c>
      <c r="M2397" s="1" t="s">
        <v>496</v>
      </c>
      <c r="N2397" s="1" t="s">
        <v>8047</v>
      </c>
      <c r="O2397" s="1" t="s">
        <v>447</v>
      </c>
      <c r="P2397" s="1" t="s">
        <v>8048</v>
      </c>
      <c r="U2397" s="1" t="s">
        <v>8045</v>
      </c>
      <c r="Z2397" s="1" t="s">
        <v>71</v>
      </c>
      <c r="AE2397" s="1" t="s">
        <v>8049</v>
      </c>
      <c r="AH2397" s="1" t="s">
        <v>73</v>
      </c>
      <c r="AK2397" s="1" t="s">
        <v>71</v>
      </c>
      <c r="AM2397" s="1" t="s">
        <v>71</v>
      </c>
      <c r="AN2397" s="1" t="s">
        <v>71</v>
      </c>
      <c r="AS2397" s="1" t="s">
        <v>71</v>
      </c>
      <c r="AX2397" s="1" t="s">
        <v>71</v>
      </c>
      <c r="BH2397" s="1" t="s">
        <v>71</v>
      </c>
    </row>
    <row r="2398" customFormat="false" ht="15" hidden="false" customHeight="false" outlineLevel="0" collapsed="false">
      <c r="A2398" s="1" t="s">
        <v>8050</v>
      </c>
      <c r="B2398" s="1" t="s">
        <v>8051</v>
      </c>
      <c r="C2398" s="1" t="s">
        <v>1758</v>
      </c>
      <c r="D2398" s="1" t="s">
        <v>6911</v>
      </c>
      <c r="E2398" s="1" t="s">
        <v>82</v>
      </c>
      <c r="F2398" s="1" t="s">
        <v>391</v>
      </c>
      <c r="G2398" s="1" t="s">
        <v>443</v>
      </c>
      <c r="H2398" s="1" t="s">
        <v>444</v>
      </c>
      <c r="K2398" s="1" t="s">
        <v>618</v>
      </c>
      <c r="L2398" s="1" t="s">
        <v>619</v>
      </c>
      <c r="M2398" s="1" t="s">
        <v>496</v>
      </c>
      <c r="N2398" s="1" t="s">
        <v>8047</v>
      </c>
      <c r="O2398" s="1" t="s">
        <v>447</v>
      </c>
      <c r="P2398" s="1" t="s">
        <v>8048</v>
      </c>
      <c r="U2398" s="1" t="s">
        <v>8050</v>
      </c>
      <c r="Z2398" s="1" t="s">
        <v>71</v>
      </c>
      <c r="AE2398" s="1" t="s">
        <v>8049</v>
      </c>
      <c r="AH2398" s="1" t="s">
        <v>73</v>
      </c>
      <c r="AK2398" s="1" t="s">
        <v>71</v>
      </c>
      <c r="AM2398" s="1" t="s">
        <v>71</v>
      </c>
      <c r="AN2398" s="1" t="s">
        <v>71</v>
      </c>
      <c r="AS2398" s="1" t="s">
        <v>71</v>
      </c>
      <c r="AX2398" s="1" t="s">
        <v>71</v>
      </c>
      <c r="BH2398" s="1" t="s">
        <v>71</v>
      </c>
    </row>
    <row r="2399" customFormat="false" ht="15" hidden="false" customHeight="false" outlineLevel="0" collapsed="false">
      <c r="A2399" s="1" t="s">
        <v>8052</v>
      </c>
      <c r="B2399" s="1" t="s">
        <v>8053</v>
      </c>
      <c r="C2399" s="1" t="s">
        <v>1758</v>
      </c>
      <c r="D2399" s="1" t="s">
        <v>6911</v>
      </c>
      <c r="E2399" s="1" t="s">
        <v>82</v>
      </c>
      <c r="F2399" s="1" t="s">
        <v>391</v>
      </c>
      <c r="G2399" s="1" t="s">
        <v>443</v>
      </c>
      <c r="H2399" s="1" t="s">
        <v>444</v>
      </c>
      <c r="K2399" s="1" t="s">
        <v>618</v>
      </c>
      <c r="L2399" s="1" t="s">
        <v>619</v>
      </c>
      <c r="M2399" s="1" t="s">
        <v>496</v>
      </c>
      <c r="N2399" s="1" t="s">
        <v>8047</v>
      </c>
      <c r="O2399" s="1" t="s">
        <v>447</v>
      </c>
      <c r="P2399" s="1" t="s">
        <v>8048</v>
      </c>
      <c r="U2399" s="1" t="s">
        <v>8052</v>
      </c>
      <c r="Z2399" s="1" t="s">
        <v>71</v>
      </c>
      <c r="AE2399" s="1" t="s">
        <v>8049</v>
      </c>
      <c r="AH2399" s="1" t="s">
        <v>73</v>
      </c>
      <c r="AK2399" s="1" t="s">
        <v>71</v>
      </c>
      <c r="AM2399" s="1" t="s">
        <v>71</v>
      </c>
      <c r="AN2399" s="1" t="s">
        <v>71</v>
      </c>
      <c r="AS2399" s="1" t="s">
        <v>71</v>
      </c>
      <c r="AX2399" s="1" t="s">
        <v>71</v>
      </c>
      <c r="BH2399" s="1" t="s">
        <v>71</v>
      </c>
    </row>
    <row r="2400" customFormat="false" ht="15" hidden="false" customHeight="false" outlineLevel="0" collapsed="false">
      <c r="A2400" s="1" t="s">
        <v>8054</v>
      </c>
      <c r="B2400" s="1" t="s">
        <v>8055</v>
      </c>
      <c r="C2400" s="1" t="s">
        <v>2141</v>
      </c>
      <c r="D2400" s="1" t="s">
        <v>7438</v>
      </c>
      <c r="E2400" s="1" t="s">
        <v>82</v>
      </c>
      <c r="F2400" s="1" t="s">
        <v>391</v>
      </c>
      <c r="G2400" s="1" t="s">
        <v>97</v>
      </c>
      <c r="H2400" s="1" t="s">
        <v>406</v>
      </c>
      <c r="K2400" s="1" t="s">
        <v>2144</v>
      </c>
      <c r="L2400" s="1" t="s">
        <v>2145</v>
      </c>
      <c r="M2400" s="1" t="s">
        <v>496</v>
      </c>
      <c r="N2400" s="1" t="s">
        <v>870</v>
      </c>
      <c r="O2400" s="1" t="s">
        <v>871</v>
      </c>
      <c r="P2400" s="1" t="s">
        <v>8056</v>
      </c>
      <c r="U2400" s="1" t="s">
        <v>8054</v>
      </c>
      <c r="Z2400" s="1" t="s">
        <v>71</v>
      </c>
      <c r="AE2400" s="1" t="s">
        <v>8057</v>
      </c>
      <c r="AH2400" s="1" t="s">
        <v>73</v>
      </c>
      <c r="AK2400" s="1" t="s">
        <v>71</v>
      </c>
      <c r="AM2400" s="1" t="s">
        <v>71</v>
      </c>
      <c r="AN2400" s="1" t="s">
        <v>71</v>
      </c>
      <c r="AS2400" s="1" t="s">
        <v>71</v>
      </c>
      <c r="AX2400" s="1" t="s">
        <v>71</v>
      </c>
      <c r="BH2400" s="1" t="s">
        <v>71</v>
      </c>
    </row>
    <row r="2401" customFormat="false" ht="15" hidden="false" customHeight="false" outlineLevel="0" collapsed="false">
      <c r="A2401" s="1" t="s">
        <v>8058</v>
      </c>
      <c r="B2401" s="1" t="s">
        <v>8059</v>
      </c>
      <c r="C2401" s="1" t="s">
        <v>8060</v>
      </c>
      <c r="D2401" s="1" t="s">
        <v>8061</v>
      </c>
      <c r="E2401" s="1" t="s">
        <v>93</v>
      </c>
      <c r="F2401" s="1" t="s">
        <v>6348</v>
      </c>
      <c r="G2401" s="1" t="s">
        <v>1335</v>
      </c>
      <c r="H2401" s="1" t="s">
        <v>7658</v>
      </c>
      <c r="K2401" s="1" t="s">
        <v>61</v>
      </c>
      <c r="L2401" s="1" t="s">
        <v>8062</v>
      </c>
      <c r="M2401" s="1" t="s">
        <v>8063</v>
      </c>
      <c r="N2401" s="1" t="s">
        <v>8064</v>
      </c>
      <c r="O2401" s="1" t="s">
        <v>8065</v>
      </c>
      <c r="P2401" s="1" t="s">
        <v>8066</v>
      </c>
      <c r="S2401" s="1" t="s">
        <v>229</v>
      </c>
      <c r="U2401" s="1" t="s">
        <v>8058</v>
      </c>
      <c r="V2401" s="1" t="s">
        <v>8067</v>
      </c>
      <c r="Z2401" s="1" t="s">
        <v>71</v>
      </c>
      <c r="AE2401" s="1" t="s">
        <v>8068</v>
      </c>
      <c r="AH2401" s="1" t="s">
        <v>73</v>
      </c>
      <c r="AK2401" s="1" t="s">
        <v>71</v>
      </c>
      <c r="AM2401" s="1" t="s">
        <v>71</v>
      </c>
      <c r="AN2401" s="1" t="s">
        <v>71</v>
      </c>
      <c r="AS2401" s="1" t="s">
        <v>71</v>
      </c>
      <c r="AX2401" s="1" t="s">
        <v>71</v>
      </c>
      <c r="AY2401" s="1" t="s">
        <v>59</v>
      </c>
      <c r="AZ2401" s="1" t="s">
        <v>74</v>
      </c>
      <c r="BH2401" s="1" t="s">
        <v>71</v>
      </c>
    </row>
    <row r="2402" customFormat="false" ht="15" hidden="false" customHeight="false" outlineLevel="0" collapsed="false">
      <c r="A2402" s="1" t="s">
        <v>8069</v>
      </c>
      <c r="B2402" s="1" t="s">
        <v>8070</v>
      </c>
      <c r="C2402" s="1" t="s">
        <v>8060</v>
      </c>
      <c r="D2402" s="1" t="s">
        <v>8061</v>
      </c>
      <c r="E2402" s="1" t="s">
        <v>93</v>
      </c>
      <c r="F2402" s="1" t="s">
        <v>6348</v>
      </c>
      <c r="G2402" s="1" t="s">
        <v>1335</v>
      </c>
      <c r="H2402" s="1" t="s">
        <v>7658</v>
      </c>
      <c r="K2402" s="1" t="s">
        <v>82</v>
      </c>
      <c r="L2402" s="1" t="s">
        <v>8071</v>
      </c>
      <c r="M2402" s="1" t="s">
        <v>8063</v>
      </c>
      <c r="N2402" s="1" t="s">
        <v>8072</v>
      </c>
      <c r="O2402" s="1" t="s">
        <v>8073</v>
      </c>
      <c r="P2402" s="1" t="s">
        <v>8074</v>
      </c>
      <c r="S2402" s="1" t="s">
        <v>229</v>
      </c>
      <c r="U2402" s="1" t="s">
        <v>8069</v>
      </c>
      <c r="V2402" s="1" t="s">
        <v>8067</v>
      </c>
      <c r="Z2402" s="1" t="s">
        <v>71</v>
      </c>
      <c r="AE2402" s="1" t="s">
        <v>8068</v>
      </c>
      <c r="AH2402" s="1" t="s">
        <v>73</v>
      </c>
      <c r="AK2402" s="1" t="s">
        <v>71</v>
      </c>
      <c r="AM2402" s="1" t="s">
        <v>71</v>
      </c>
      <c r="AN2402" s="1" t="s">
        <v>71</v>
      </c>
      <c r="AS2402" s="1" t="s">
        <v>71</v>
      </c>
      <c r="AX2402" s="1" t="s">
        <v>71</v>
      </c>
      <c r="AY2402" s="1" t="s">
        <v>59</v>
      </c>
      <c r="AZ2402" s="1" t="s">
        <v>74</v>
      </c>
      <c r="BH2402" s="1" t="s">
        <v>71</v>
      </c>
    </row>
    <row r="2403" customFormat="false" ht="15" hidden="false" customHeight="false" outlineLevel="0" collapsed="false">
      <c r="A2403" s="1" t="s">
        <v>8075</v>
      </c>
      <c r="B2403" s="1" t="s">
        <v>8076</v>
      </c>
      <c r="C2403" s="1" t="s">
        <v>8060</v>
      </c>
      <c r="D2403" s="1" t="s">
        <v>8061</v>
      </c>
      <c r="E2403" s="1" t="s">
        <v>93</v>
      </c>
      <c r="F2403" s="1" t="s">
        <v>6348</v>
      </c>
      <c r="G2403" s="1" t="s">
        <v>1335</v>
      </c>
      <c r="H2403" s="1" t="s">
        <v>7658</v>
      </c>
      <c r="K2403" s="1" t="s">
        <v>82</v>
      </c>
      <c r="L2403" s="1" t="s">
        <v>8071</v>
      </c>
      <c r="M2403" s="1" t="s">
        <v>8063</v>
      </c>
      <c r="N2403" s="1" t="s">
        <v>8064</v>
      </c>
      <c r="O2403" s="1" t="s">
        <v>8065</v>
      </c>
      <c r="P2403" s="1" t="s">
        <v>8066</v>
      </c>
      <c r="S2403" s="1" t="s">
        <v>229</v>
      </c>
      <c r="U2403" s="1" t="s">
        <v>8075</v>
      </c>
      <c r="V2403" s="1" t="s">
        <v>8067</v>
      </c>
      <c r="Z2403" s="1" t="s">
        <v>71</v>
      </c>
      <c r="AE2403" s="1" t="s">
        <v>8068</v>
      </c>
      <c r="AH2403" s="1" t="s">
        <v>73</v>
      </c>
      <c r="AK2403" s="1" t="s">
        <v>71</v>
      </c>
      <c r="AM2403" s="1" t="s">
        <v>71</v>
      </c>
      <c r="AN2403" s="1" t="s">
        <v>71</v>
      </c>
      <c r="AS2403" s="1" t="s">
        <v>71</v>
      </c>
      <c r="AX2403" s="1" t="s">
        <v>71</v>
      </c>
      <c r="AY2403" s="1" t="s">
        <v>59</v>
      </c>
      <c r="AZ2403" s="1" t="s">
        <v>74</v>
      </c>
      <c r="BH2403" s="1" t="s">
        <v>71</v>
      </c>
    </row>
    <row r="2404" customFormat="false" ht="15" hidden="false" customHeight="false" outlineLevel="0" collapsed="false">
      <c r="A2404" s="1" t="s">
        <v>8077</v>
      </c>
      <c r="B2404" s="1" t="s">
        <v>8078</v>
      </c>
      <c r="C2404" s="1" t="s">
        <v>8060</v>
      </c>
      <c r="D2404" s="1" t="s">
        <v>8061</v>
      </c>
      <c r="E2404" s="1" t="s">
        <v>93</v>
      </c>
      <c r="F2404" s="1" t="s">
        <v>6348</v>
      </c>
      <c r="G2404" s="1" t="s">
        <v>1335</v>
      </c>
      <c r="H2404" s="1" t="s">
        <v>7658</v>
      </c>
      <c r="K2404" s="1" t="s">
        <v>88</v>
      </c>
      <c r="L2404" s="1" t="s">
        <v>8079</v>
      </c>
      <c r="M2404" s="1" t="s">
        <v>8080</v>
      </c>
      <c r="N2404" s="1" t="s">
        <v>8081</v>
      </c>
      <c r="O2404" s="1" t="s">
        <v>8082</v>
      </c>
      <c r="P2404" s="1" t="s">
        <v>8083</v>
      </c>
      <c r="S2404" s="1" t="s">
        <v>229</v>
      </c>
      <c r="U2404" s="1" t="s">
        <v>8077</v>
      </c>
      <c r="V2404" s="1" t="s">
        <v>8084</v>
      </c>
      <c r="Z2404" s="1" t="s">
        <v>71</v>
      </c>
      <c r="AE2404" s="1" t="s">
        <v>8068</v>
      </c>
      <c r="AH2404" s="1" t="s">
        <v>73</v>
      </c>
      <c r="AK2404" s="1" t="s">
        <v>71</v>
      </c>
      <c r="AM2404" s="1" t="s">
        <v>71</v>
      </c>
      <c r="AN2404" s="1" t="s">
        <v>71</v>
      </c>
      <c r="AS2404" s="1" t="s">
        <v>71</v>
      </c>
      <c r="AX2404" s="1" t="s">
        <v>71</v>
      </c>
      <c r="AY2404" s="1" t="s">
        <v>59</v>
      </c>
      <c r="AZ2404" s="1" t="s">
        <v>74</v>
      </c>
      <c r="BH2404" s="1" t="s">
        <v>71</v>
      </c>
    </row>
    <row r="2405" customFormat="false" ht="15" hidden="false" customHeight="false" outlineLevel="0" collapsed="false">
      <c r="A2405" s="1" t="s">
        <v>8085</v>
      </c>
      <c r="B2405" s="1" t="s">
        <v>8086</v>
      </c>
      <c r="C2405" s="1" t="s">
        <v>8060</v>
      </c>
      <c r="D2405" s="1" t="s">
        <v>8061</v>
      </c>
      <c r="E2405" s="1" t="s">
        <v>93</v>
      </c>
      <c r="F2405" s="1" t="s">
        <v>6348</v>
      </c>
      <c r="G2405" s="1" t="s">
        <v>1335</v>
      </c>
      <c r="H2405" s="1" t="s">
        <v>7658</v>
      </c>
      <c r="K2405" s="1" t="s">
        <v>93</v>
      </c>
      <c r="L2405" s="1" t="s">
        <v>8087</v>
      </c>
      <c r="M2405" s="1" t="s">
        <v>8080</v>
      </c>
      <c r="N2405" s="1" t="s">
        <v>8088</v>
      </c>
      <c r="O2405" s="1" t="s">
        <v>8089</v>
      </c>
      <c r="P2405" s="1" t="s">
        <v>8090</v>
      </c>
      <c r="S2405" s="1" t="s">
        <v>229</v>
      </c>
      <c r="U2405" s="1" t="s">
        <v>8085</v>
      </c>
      <c r="V2405" s="1" t="s">
        <v>8084</v>
      </c>
      <c r="Z2405" s="1" t="s">
        <v>71</v>
      </c>
      <c r="AE2405" s="1" t="s">
        <v>8068</v>
      </c>
      <c r="AH2405" s="1" t="s">
        <v>73</v>
      </c>
      <c r="AK2405" s="1" t="s">
        <v>71</v>
      </c>
      <c r="AM2405" s="1" t="s">
        <v>71</v>
      </c>
      <c r="AN2405" s="1" t="s">
        <v>71</v>
      </c>
      <c r="AS2405" s="1" t="s">
        <v>71</v>
      </c>
      <c r="AX2405" s="1" t="s">
        <v>71</v>
      </c>
      <c r="AY2405" s="1" t="s">
        <v>59</v>
      </c>
      <c r="AZ2405" s="1" t="s">
        <v>74</v>
      </c>
      <c r="BH2405" s="1" t="s">
        <v>71</v>
      </c>
    </row>
    <row r="2406" customFormat="false" ht="15" hidden="false" customHeight="false" outlineLevel="0" collapsed="false">
      <c r="A2406" s="1" t="s">
        <v>8091</v>
      </c>
      <c r="B2406" s="1" t="s">
        <v>8092</v>
      </c>
      <c r="C2406" s="1" t="s">
        <v>222</v>
      </c>
      <c r="D2406" s="1" t="s">
        <v>223</v>
      </c>
      <c r="E2406" s="1" t="s">
        <v>61</v>
      </c>
      <c r="F2406" s="1" t="s">
        <v>101</v>
      </c>
      <c r="G2406" s="1" t="s">
        <v>93</v>
      </c>
      <c r="H2406" s="1" t="s">
        <v>64</v>
      </c>
      <c r="K2406" s="1" t="s">
        <v>126</v>
      </c>
      <c r="L2406" s="1" t="s">
        <v>335</v>
      </c>
      <c r="M2406" s="1" t="s">
        <v>828</v>
      </c>
      <c r="N2406" s="1" t="s">
        <v>105</v>
      </c>
      <c r="O2406" s="1" t="s">
        <v>106</v>
      </c>
      <c r="P2406" s="1" t="s">
        <v>3539</v>
      </c>
      <c r="U2406" s="1" t="s">
        <v>8091</v>
      </c>
      <c r="Z2406" s="1" t="s">
        <v>71</v>
      </c>
      <c r="AE2406" s="1" t="s">
        <v>8068</v>
      </c>
      <c r="AH2406" s="1" t="s">
        <v>73</v>
      </c>
      <c r="AK2406" s="1" t="s">
        <v>71</v>
      </c>
      <c r="AM2406" s="1" t="s">
        <v>71</v>
      </c>
      <c r="AN2406" s="1" t="s">
        <v>71</v>
      </c>
      <c r="AS2406" s="1" t="s">
        <v>71</v>
      </c>
      <c r="AX2406" s="1" t="s">
        <v>71</v>
      </c>
      <c r="AY2406" s="1" t="s">
        <v>59</v>
      </c>
      <c r="AZ2406" s="1" t="s">
        <v>74</v>
      </c>
      <c r="BH2406" s="1" t="s">
        <v>71</v>
      </c>
    </row>
    <row r="2407" customFormat="false" ht="15" hidden="false" customHeight="false" outlineLevel="0" collapsed="false">
      <c r="A2407" s="1" t="s">
        <v>8093</v>
      </c>
      <c r="B2407" s="1" t="s">
        <v>8094</v>
      </c>
      <c r="C2407" s="1" t="s">
        <v>142</v>
      </c>
      <c r="D2407" s="1" t="s">
        <v>1102</v>
      </c>
      <c r="E2407" s="1" t="s">
        <v>82</v>
      </c>
      <c r="F2407" s="1" t="s">
        <v>391</v>
      </c>
      <c r="G2407" s="1" t="s">
        <v>97</v>
      </c>
      <c r="H2407" s="1" t="s">
        <v>406</v>
      </c>
      <c r="K2407" s="1" t="s">
        <v>65</v>
      </c>
      <c r="L2407" s="1" t="s">
        <v>860</v>
      </c>
      <c r="M2407" s="1" t="s">
        <v>496</v>
      </c>
      <c r="N2407" s="1" t="s">
        <v>1503</v>
      </c>
      <c r="O2407" s="1" t="s">
        <v>447</v>
      </c>
      <c r="P2407" s="1" t="s">
        <v>3836</v>
      </c>
      <c r="U2407" s="1" t="s">
        <v>8093</v>
      </c>
      <c r="Z2407" s="1" t="s">
        <v>71</v>
      </c>
      <c r="AE2407" s="1" t="s">
        <v>8095</v>
      </c>
      <c r="AH2407" s="1" t="s">
        <v>73</v>
      </c>
      <c r="AK2407" s="1" t="s">
        <v>71</v>
      </c>
      <c r="AM2407" s="1" t="s">
        <v>71</v>
      </c>
      <c r="AN2407" s="1" t="s">
        <v>71</v>
      </c>
      <c r="AS2407" s="1" t="s">
        <v>71</v>
      </c>
      <c r="AX2407" s="1" t="s">
        <v>71</v>
      </c>
      <c r="BH2407" s="1" t="s">
        <v>71</v>
      </c>
    </row>
    <row r="2408" customFormat="false" ht="15" hidden="false" customHeight="false" outlineLevel="0" collapsed="false">
      <c r="A2408" s="1" t="s">
        <v>8096</v>
      </c>
      <c r="B2408" s="1" t="s">
        <v>8097</v>
      </c>
      <c r="C2408" s="1" t="s">
        <v>2395</v>
      </c>
      <c r="D2408" s="1" t="s">
        <v>8098</v>
      </c>
      <c r="E2408" s="1" t="s">
        <v>82</v>
      </c>
      <c r="F2408" s="1" t="s">
        <v>391</v>
      </c>
      <c r="G2408" s="1" t="s">
        <v>97</v>
      </c>
      <c r="H2408" s="1" t="s">
        <v>406</v>
      </c>
      <c r="K2408" s="1" t="s">
        <v>2144</v>
      </c>
      <c r="L2408" s="1" t="s">
        <v>2145</v>
      </c>
      <c r="M2408" s="1" t="s">
        <v>496</v>
      </c>
      <c r="N2408" s="1" t="s">
        <v>8099</v>
      </c>
      <c r="O2408" s="1" t="s">
        <v>8100</v>
      </c>
      <c r="P2408" s="1" t="s">
        <v>8101</v>
      </c>
      <c r="U2408" s="1" t="s">
        <v>8096</v>
      </c>
      <c r="Z2408" s="1" t="s">
        <v>71</v>
      </c>
      <c r="AE2408" s="1" t="s">
        <v>8102</v>
      </c>
      <c r="AH2408" s="1" t="s">
        <v>73</v>
      </c>
      <c r="AK2408" s="1" t="s">
        <v>71</v>
      </c>
      <c r="AM2408" s="1" t="s">
        <v>71</v>
      </c>
      <c r="AN2408" s="1" t="s">
        <v>71</v>
      </c>
      <c r="AS2408" s="1" t="s">
        <v>71</v>
      </c>
      <c r="AX2408" s="1" t="s">
        <v>71</v>
      </c>
      <c r="BH2408" s="1" t="s">
        <v>71</v>
      </c>
    </row>
    <row r="2409" customFormat="false" ht="15" hidden="false" customHeight="false" outlineLevel="0" collapsed="false">
      <c r="A2409" s="1" t="s">
        <v>8103</v>
      </c>
      <c r="B2409" s="1" t="s">
        <v>8104</v>
      </c>
      <c r="C2409" s="1" t="s">
        <v>2395</v>
      </c>
      <c r="D2409" s="1" t="s">
        <v>8098</v>
      </c>
      <c r="E2409" s="1" t="s">
        <v>82</v>
      </c>
      <c r="F2409" s="1" t="s">
        <v>391</v>
      </c>
      <c r="G2409" s="1" t="s">
        <v>213</v>
      </c>
      <c r="H2409" s="1" t="s">
        <v>477</v>
      </c>
      <c r="K2409" s="1" t="s">
        <v>1772</v>
      </c>
      <c r="L2409" s="1" t="s">
        <v>1773</v>
      </c>
      <c r="M2409" s="1" t="s">
        <v>496</v>
      </c>
      <c r="N2409" s="1" t="s">
        <v>8105</v>
      </c>
      <c r="O2409" s="1" t="s">
        <v>8106</v>
      </c>
      <c r="P2409" s="1" t="s">
        <v>8107</v>
      </c>
      <c r="U2409" s="1" t="s">
        <v>8103</v>
      </c>
      <c r="Z2409" s="1" t="s">
        <v>71</v>
      </c>
      <c r="AE2409" s="1" t="s">
        <v>8102</v>
      </c>
      <c r="AH2409" s="1" t="s">
        <v>73</v>
      </c>
      <c r="AK2409" s="1" t="s">
        <v>71</v>
      </c>
      <c r="AM2409" s="1" t="s">
        <v>71</v>
      </c>
      <c r="AN2409" s="1" t="s">
        <v>71</v>
      </c>
      <c r="AS2409" s="1" t="s">
        <v>71</v>
      </c>
      <c r="AX2409" s="1" t="s">
        <v>71</v>
      </c>
      <c r="BH2409" s="1" t="s">
        <v>71</v>
      </c>
    </row>
    <row r="2410" customFormat="false" ht="15" hidden="false" customHeight="false" outlineLevel="0" collapsed="false">
      <c r="A2410" s="1" t="s">
        <v>8108</v>
      </c>
      <c r="B2410" s="1" t="s">
        <v>8109</v>
      </c>
      <c r="C2410" s="1" t="s">
        <v>2395</v>
      </c>
      <c r="D2410" s="1" t="s">
        <v>8098</v>
      </c>
      <c r="E2410" s="1" t="s">
        <v>82</v>
      </c>
      <c r="F2410" s="1" t="s">
        <v>391</v>
      </c>
      <c r="G2410" s="1" t="s">
        <v>213</v>
      </c>
      <c r="H2410" s="1" t="s">
        <v>477</v>
      </c>
      <c r="K2410" s="1" t="s">
        <v>1772</v>
      </c>
      <c r="L2410" s="1" t="s">
        <v>1773</v>
      </c>
      <c r="M2410" s="1" t="s">
        <v>496</v>
      </c>
      <c r="N2410" s="1" t="s">
        <v>8105</v>
      </c>
      <c r="O2410" s="1" t="s">
        <v>8106</v>
      </c>
      <c r="P2410" s="1" t="s">
        <v>8107</v>
      </c>
      <c r="U2410" s="1" t="s">
        <v>8108</v>
      </c>
      <c r="Z2410" s="1" t="s">
        <v>71</v>
      </c>
      <c r="AE2410" s="1" t="s">
        <v>8102</v>
      </c>
      <c r="AH2410" s="1" t="s">
        <v>73</v>
      </c>
      <c r="AK2410" s="1" t="s">
        <v>71</v>
      </c>
      <c r="AM2410" s="1" t="s">
        <v>71</v>
      </c>
      <c r="AN2410" s="1" t="s">
        <v>71</v>
      </c>
      <c r="AS2410" s="1" t="s">
        <v>71</v>
      </c>
      <c r="AX2410" s="1" t="s">
        <v>71</v>
      </c>
      <c r="BH2410" s="1" t="s">
        <v>71</v>
      </c>
    </row>
    <row r="2411" customFormat="false" ht="15" hidden="false" customHeight="false" outlineLevel="0" collapsed="false">
      <c r="A2411" s="1" t="s">
        <v>8110</v>
      </c>
      <c r="B2411" s="1" t="s">
        <v>8111</v>
      </c>
      <c r="C2411" s="1" t="s">
        <v>142</v>
      </c>
      <c r="D2411" s="1" t="s">
        <v>1102</v>
      </c>
      <c r="E2411" s="1" t="s">
        <v>82</v>
      </c>
      <c r="F2411" s="1" t="s">
        <v>391</v>
      </c>
      <c r="G2411" s="1" t="s">
        <v>97</v>
      </c>
      <c r="H2411" s="1" t="s">
        <v>406</v>
      </c>
      <c r="K2411" s="1" t="s">
        <v>407</v>
      </c>
      <c r="L2411" s="1" t="s">
        <v>408</v>
      </c>
      <c r="M2411" s="1" t="s">
        <v>496</v>
      </c>
      <c r="N2411" s="1" t="s">
        <v>2584</v>
      </c>
      <c r="O2411" s="1" t="s">
        <v>400</v>
      </c>
      <c r="P2411" s="1" t="s">
        <v>4319</v>
      </c>
      <c r="U2411" s="1" t="s">
        <v>8110</v>
      </c>
      <c r="Z2411" s="1" t="s">
        <v>71</v>
      </c>
      <c r="AE2411" s="1" t="s">
        <v>8102</v>
      </c>
      <c r="AH2411" s="1" t="s">
        <v>73</v>
      </c>
      <c r="AK2411" s="1" t="s">
        <v>71</v>
      </c>
      <c r="AM2411" s="1" t="s">
        <v>71</v>
      </c>
      <c r="AN2411" s="1" t="s">
        <v>71</v>
      </c>
      <c r="AS2411" s="1" t="s">
        <v>71</v>
      </c>
      <c r="AX2411" s="1" t="s">
        <v>71</v>
      </c>
      <c r="BH2411" s="1" t="s">
        <v>71</v>
      </c>
    </row>
    <row r="2412" customFormat="false" ht="15" hidden="false" customHeight="false" outlineLevel="0" collapsed="false">
      <c r="A2412" s="1" t="s">
        <v>8112</v>
      </c>
      <c r="B2412" s="1" t="s">
        <v>8113</v>
      </c>
      <c r="C2412" s="1" t="s">
        <v>99</v>
      </c>
      <c r="D2412" s="1" t="s">
        <v>100</v>
      </c>
      <c r="E2412" s="1" t="s">
        <v>61</v>
      </c>
      <c r="F2412" s="1" t="s">
        <v>101</v>
      </c>
      <c r="G2412" s="1" t="s">
        <v>93</v>
      </c>
      <c r="H2412" s="1" t="s">
        <v>64</v>
      </c>
      <c r="K2412" s="1" t="s">
        <v>211</v>
      </c>
      <c r="L2412" s="1" t="s">
        <v>1661</v>
      </c>
      <c r="M2412" s="1" t="s">
        <v>104</v>
      </c>
      <c r="N2412" s="1" t="s">
        <v>105</v>
      </c>
      <c r="O2412" s="1" t="s">
        <v>106</v>
      </c>
      <c r="P2412" s="1" t="s">
        <v>3539</v>
      </c>
      <c r="U2412" s="1" t="s">
        <v>8112</v>
      </c>
      <c r="Z2412" s="1" t="s">
        <v>71</v>
      </c>
      <c r="AE2412" s="1" t="s">
        <v>8114</v>
      </c>
      <c r="AH2412" s="1" t="s">
        <v>73</v>
      </c>
      <c r="AK2412" s="1" t="s">
        <v>71</v>
      </c>
      <c r="AM2412" s="1" t="s">
        <v>71</v>
      </c>
      <c r="AN2412" s="1" t="s">
        <v>71</v>
      </c>
      <c r="AS2412" s="1" t="s">
        <v>71</v>
      </c>
      <c r="AX2412" s="1" t="s">
        <v>71</v>
      </c>
      <c r="AY2412" s="1" t="s">
        <v>59</v>
      </c>
      <c r="AZ2412" s="1" t="s">
        <v>74</v>
      </c>
      <c r="BH2412" s="1" t="s">
        <v>71</v>
      </c>
    </row>
    <row r="2413" customFormat="false" ht="15" hidden="false" customHeight="false" outlineLevel="0" collapsed="false">
      <c r="A2413" s="1" t="s">
        <v>8115</v>
      </c>
      <c r="B2413" s="1" t="s">
        <v>8116</v>
      </c>
      <c r="C2413" s="1" t="s">
        <v>324</v>
      </c>
      <c r="D2413" s="1" t="s">
        <v>325</v>
      </c>
      <c r="E2413" s="1" t="s">
        <v>61</v>
      </c>
      <c r="F2413" s="1" t="s">
        <v>101</v>
      </c>
      <c r="G2413" s="1" t="s">
        <v>148</v>
      </c>
      <c r="H2413" s="1" t="s">
        <v>231</v>
      </c>
      <c r="K2413" s="1" t="s">
        <v>283</v>
      </c>
      <c r="L2413" s="1" t="s">
        <v>8117</v>
      </c>
      <c r="M2413" s="1" t="s">
        <v>6141</v>
      </c>
      <c r="N2413" s="1" t="s">
        <v>243</v>
      </c>
      <c r="O2413" s="1" t="s">
        <v>244</v>
      </c>
      <c r="P2413" s="1" t="s">
        <v>3503</v>
      </c>
      <c r="U2413" s="1" t="s">
        <v>8115</v>
      </c>
      <c r="Z2413" s="1" t="s">
        <v>71</v>
      </c>
      <c r="AE2413" s="1" t="s">
        <v>8118</v>
      </c>
      <c r="AH2413" s="1" t="s">
        <v>73</v>
      </c>
      <c r="AK2413" s="1" t="s">
        <v>71</v>
      </c>
      <c r="AM2413" s="1" t="s">
        <v>71</v>
      </c>
      <c r="AN2413" s="1" t="s">
        <v>71</v>
      </c>
      <c r="AS2413" s="1" t="s">
        <v>71</v>
      </c>
      <c r="AX2413" s="1" t="s">
        <v>71</v>
      </c>
      <c r="AY2413" s="1" t="s">
        <v>59</v>
      </c>
      <c r="AZ2413" s="1" t="s">
        <v>74</v>
      </c>
      <c r="BH2413" s="1" t="s">
        <v>71</v>
      </c>
    </row>
    <row r="2414" customFormat="false" ht="15" hidden="false" customHeight="false" outlineLevel="0" collapsed="false">
      <c r="A2414" s="1" t="s">
        <v>8119</v>
      </c>
      <c r="B2414" s="1" t="s">
        <v>8120</v>
      </c>
      <c r="C2414" s="1" t="s">
        <v>8121</v>
      </c>
      <c r="D2414" s="1" t="s">
        <v>8122</v>
      </c>
      <c r="E2414" s="1" t="s">
        <v>82</v>
      </c>
      <c r="F2414" s="1" t="s">
        <v>391</v>
      </c>
      <c r="G2414" s="1" t="s">
        <v>213</v>
      </c>
      <c r="H2414" s="1" t="s">
        <v>477</v>
      </c>
      <c r="K2414" s="1" t="s">
        <v>1772</v>
      </c>
      <c r="L2414" s="1" t="s">
        <v>1773</v>
      </c>
      <c r="M2414" s="1" t="s">
        <v>496</v>
      </c>
      <c r="N2414" s="1" t="s">
        <v>483</v>
      </c>
      <c r="O2414" s="1" t="s">
        <v>400</v>
      </c>
      <c r="P2414" s="1" t="s">
        <v>3959</v>
      </c>
      <c r="U2414" s="1" t="s">
        <v>8119</v>
      </c>
      <c r="Z2414" s="1" t="s">
        <v>71</v>
      </c>
      <c r="AE2414" s="1" t="s">
        <v>8118</v>
      </c>
      <c r="AH2414" s="1" t="s">
        <v>73</v>
      </c>
      <c r="AK2414" s="1" t="s">
        <v>71</v>
      </c>
      <c r="AM2414" s="1" t="s">
        <v>71</v>
      </c>
      <c r="AN2414" s="1" t="s">
        <v>71</v>
      </c>
      <c r="AS2414" s="1" t="s">
        <v>71</v>
      </c>
      <c r="AX2414" s="1" t="s">
        <v>71</v>
      </c>
      <c r="BH2414" s="1" t="s">
        <v>71</v>
      </c>
    </row>
    <row r="2415" customFormat="false" ht="15" hidden="false" customHeight="false" outlineLevel="0" collapsed="false">
      <c r="A2415" s="1" t="s">
        <v>8123</v>
      </c>
      <c r="B2415" s="1" t="s">
        <v>8124</v>
      </c>
      <c r="C2415" s="1" t="s">
        <v>8121</v>
      </c>
      <c r="D2415" s="1" t="s">
        <v>8122</v>
      </c>
      <c r="E2415" s="1" t="s">
        <v>82</v>
      </c>
      <c r="F2415" s="1" t="s">
        <v>391</v>
      </c>
      <c r="G2415" s="1" t="s">
        <v>213</v>
      </c>
      <c r="H2415" s="1" t="s">
        <v>477</v>
      </c>
      <c r="K2415" s="1" t="s">
        <v>1772</v>
      </c>
      <c r="L2415" s="1" t="s">
        <v>1773</v>
      </c>
      <c r="M2415" s="1" t="s">
        <v>496</v>
      </c>
      <c r="N2415" s="1" t="s">
        <v>483</v>
      </c>
      <c r="O2415" s="1" t="s">
        <v>400</v>
      </c>
      <c r="P2415" s="1" t="s">
        <v>3959</v>
      </c>
      <c r="U2415" s="1" t="s">
        <v>8123</v>
      </c>
      <c r="Z2415" s="1" t="s">
        <v>71</v>
      </c>
      <c r="AE2415" s="1" t="s">
        <v>8118</v>
      </c>
      <c r="AH2415" s="1" t="s">
        <v>73</v>
      </c>
      <c r="AK2415" s="1" t="s">
        <v>71</v>
      </c>
      <c r="AM2415" s="1" t="s">
        <v>71</v>
      </c>
      <c r="AN2415" s="1" t="s">
        <v>71</v>
      </c>
      <c r="AS2415" s="1" t="s">
        <v>71</v>
      </c>
      <c r="AX2415" s="1" t="s">
        <v>71</v>
      </c>
      <c r="BH2415" s="1" t="s">
        <v>71</v>
      </c>
    </row>
    <row r="2416" customFormat="false" ht="15" hidden="false" customHeight="false" outlineLevel="0" collapsed="false">
      <c r="A2416" s="1" t="s">
        <v>8125</v>
      </c>
      <c r="B2416" s="1" t="s">
        <v>8126</v>
      </c>
      <c r="C2416" s="1" t="s">
        <v>8121</v>
      </c>
      <c r="D2416" s="1" t="s">
        <v>8122</v>
      </c>
      <c r="E2416" s="1" t="s">
        <v>82</v>
      </c>
      <c r="F2416" s="1" t="s">
        <v>391</v>
      </c>
      <c r="G2416" s="1" t="s">
        <v>213</v>
      </c>
      <c r="H2416" s="1" t="s">
        <v>477</v>
      </c>
      <c r="K2416" s="1" t="s">
        <v>1772</v>
      </c>
      <c r="L2416" s="1" t="s">
        <v>1773</v>
      </c>
      <c r="M2416" s="1" t="s">
        <v>496</v>
      </c>
      <c r="N2416" s="1" t="s">
        <v>483</v>
      </c>
      <c r="O2416" s="1" t="s">
        <v>400</v>
      </c>
      <c r="P2416" s="1" t="s">
        <v>3959</v>
      </c>
      <c r="U2416" s="1" t="s">
        <v>8125</v>
      </c>
      <c r="Z2416" s="1" t="s">
        <v>71</v>
      </c>
      <c r="AE2416" s="1" t="s">
        <v>8118</v>
      </c>
      <c r="AH2416" s="1" t="s">
        <v>73</v>
      </c>
      <c r="AK2416" s="1" t="s">
        <v>71</v>
      </c>
      <c r="AM2416" s="1" t="s">
        <v>71</v>
      </c>
      <c r="AN2416" s="1" t="s">
        <v>71</v>
      </c>
      <c r="AS2416" s="1" t="s">
        <v>71</v>
      </c>
      <c r="AX2416" s="1" t="s">
        <v>71</v>
      </c>
      <c r="BH2416" s="1" t="s">
        <v>71</v>
      </c>
    </row>
    <row r="2417" customFormat="false" ht="15" hidden="false" customHeight="false" outlineLevel="0" collapsed="false">
      <c r="A2417" s="1" t="s">
        <v>8127</v>
      </c>
      <c r="B2417" s="1" t="s">
        <v>8128</v>
      </c>
      <c r="C2417" s="1" t="s">
        <v>8121</v>
      </c>
      <c r="D2417" s="1" t="s">
        <v>8122</v>
      </c>
      <c r="E2417" s="1" t="s">
        <v>82</v>
      </c>
      <c r="F2417" s="1" t="s">
        <v>391</v>
      </c>
      <c r="G2417" s="1" t="s">
        <v>213</v>
      </c>
      <c r="H2417" s="1" t="s">
        <v>477</v>
      </c>
      <c r="K2417" s="1" t="s">
        <v>1772</v>
      </c>
      <c r="L2417" s="1" t="s">
        <v>1773</v>
      </c>
      <c r="M2417" s="1" t="s">
        <v>496</v>
      </c>
      <c r="N2417" s="1" t="s">
        <v>483</v>
      </c>
      <c r="O2417" s="1" t="s">
        <v>400</v>
      </c>
      <c r="P2417" s="1" t="s">
        <v>3959</v>
      </c>
      <c r="U2417" s="1" t="s">
        <v>8127</v>
      </c>
      <c r="Z2417" s="1" t="s">
        <v>71</v>
      </c>
      <c r="AE2417" s="1" t="s">
        <v>8118</v>
      </c>
      <c r="AH2417" s="1" t="s">
        <v>73</v>
      </c>
      <c r="AK2417" s="1" t="s">
        <v>71</v>
      </c>
      <c r="AM2417" s="1" t="s">
        <v>71</v>
      </c>
      <c r="AN2417" s="1" t="s">
        <v>71</v>
      </c>
      <c r="AS2417" s="1" t="s">
        <v>71</v>
      </c>
      <c r="AX2417" s="1" t="s">
        <v>71</v>
      </c>
      <c r="BH2417" s="1" t="s">
        <v>71</v>
      </c>
    </row>
    <row r="2418" customFormat="false" ht="15" hidden="false" customHeight="false" outlineLevel="0" collapsed="false">
      <c r="A2418" s="1" t="s">
        <v>8129</v>
      </c>
      <c r="B2418" s="1" t="s">
        <v>8130</v>
      </c>
      <c r="C2418" s="1" t="s">
        <v>1795</v>
      </c>
      <c r="D2418" s="1" t="s">
        <v>6570</v>
      </c>
      <c r="E2418" s="1" t="s">
        <v>82</v>
      </c>
      <c r="F2418" s="1" t="s">
        <v>391</v>
      </c>
      <c r="G2418" s="1" t="s">
        <v>97</v>
      </c>
      <c r="H2418" s="1" t="s">
        <v>406</v>
      </c>
      <c r="K2418" s="1" t="s">
        <v>407</v>
      </c>
      <c r="L2418" s="1" t="s">
        <v>408</v>
      </c>
      <c r="M2418" s="1" t="s">
        <v>496</v>
      </c>
      <c r="N2418" s="1" t="s">
        <v>8131</v>
      </c>
      <c r="O2418" s="1" t="s">
        <v>8132</v>
      </c>
      <c r="P2418" s="1" t="s">
        <v>8133</v>
      </c>
      <c r="U2418" s="1" t="s">
        <v>8129</v>
      </c>
      <c r="Z2418" s="1" t="s">
        <v>71</v>
      </c>
      <c r="AE2418" s="1" t="s">
        <v>8118</v>
      </c>
      <c r="AH2418" s="1" t="s">
        <v>73</v>
      </c>
      <c r="AK2418" s="1" t="s">
        <v>71</v>
      </c>
      <c r="AM2418" s="1" t="s">
        <v>71</v>
      </c>
      <c r="AN2418" s="1" t="s">
        <v>71</v>
      </c>
      <c r="AS2418" s="1" t="s">
        <v>71</v>
      </c>
      <c r="AX2418" s="1" t="s">
        <v>71</v>
      </c>
      <c r="BH2418" s="1" t="s">
        <v>71</v>
      </c>
    </row>
    <row r="2419" customFormat="false" ht="15" hidden="false" customHeight="false" outlineLevel="0" collapsed="false">
      <c r="A2419" s="1" t="s">
        <v>8134</v>
      </c>
      <c r="B2419" s="1" t="s">
        <v>8135</v>
      </c>
      <c r="C2419" s="1" t="s">
        <v>1158</v>
      </c>
      <c r="D2419" s="1" t="s">
        <v>4456</v>
      </c>
      <c r="E2419" s="1" t="s">
        <v>82</v>
      </c>
      <c r="F2419" s="1" t="s">
        <v>391</v>
      </c>
      <c r="G2419" s="1" t="s">
        <v>213</v>
      </c>
      <c r="H2419" s="1" t="s">
        <v>477</v>
      </c>
      <c r="K2419" s="1" t="s">
        <v>1904</v>
      </c>
      <c r="L2419" s="1" t="s">
        <v>1905</v>
      </c>
      <c r="M2419" s="1" t="s">
        <v>496</v>
      </c>
      <c r="N2419" s="1" t="s">
        <v>740</v>
      </c>
      <c r="O2419" s="1" t="s">
        <v>741</v>
      </c>
      <c r="P2419" s="1" t="s">
        <v>3775</v>
      </c>
      <c r="U2419" s="1" t="s">
        <v>8134</v>
      </c>
      <c r="Z2419" s="1" t="s">
        <v>71</v>
      </c>
      <c r="AE2419" s="1" t="s">
        <v>8118</v>
      </c>
      <c r="AH2419" s="1" t="s">
        <v>73</v>
      </c>
      <c r="AK2419" s="1" t="s">
        <v>71</v>
      </c>
      <c r="AM2419" s="1" t="s">
        <v>71</v>
      </c>
      <c r="AN2419" s="1" t="s">
        <v>71</v>
      </c>
      <c r="AS2419" s="1" t="s">
        <v>71</v>
      </c>
      <c r="AX2419" s="1" t="s">
        <v>71</v>
      </c>
      <c r="BH2419" s="1" t="s">
        <v>71</v>
      </c>
    </row>
    <row r="2420" customFormat="false" ht="15" hidden="false" customHeight="false" outlineLevel="0" collapsed="false">
      <c r="A2420" s="1" t="s">
        <v>8136</v>
      </c>
      <c r="B2420" s="1" t="s">
        <v>8137</v>
      </c>
      <c r="C2420" s="1" t="s">
        <v>1158</v>
      </c>
      <c r="D2420" s="1" t="s">
        <v>4456</v>
      </c>
      <c r="E2420" s="1" t="s">
        <v>82</v>
      </c>
      <c r="F2420" s="1" t="s">
        <v>391</v>
      </c>
      <c r="G2420" s="1" t="s">
        <v>213</v>
      </c>
      <c r="H2420" s="1" t="s">
        <v>477</v>
      </c>
      <c r="K2420" s="1" t="s">
        <v>1904</v>
      </c>
      <c r="L2420" s="1" t="s">
        <v>1905</v>
      </c>
      <c r="M2420" s="1" t="s">
        <v>496</v>
      </c>
      <c r="N2420" s="1" t="s">
        <v>483</v>
      </c>
      <c r="O2420" s="1" t="s">
        <v>400</v>
      </c>
      <c r="P2420" s="1" t="s">
        <v>3959</v>
      </c>
      <c r="U2420" s="1" t="s">
        <v>8136</v>
      </c>
      <c r="Z2420" s="1" t="s">
        <v>71</v>
      </c>
      <c r="AE2420" s="1" t="s">
        <v>8118</v>
      </c>
      <c r="AH2420" s="1" t="s">
        <v>73</v>
      </c>
      <c r="AK2420" s="1" t="s">
        <v>71</v>
      </c>
      <c r="AM2420" s="1" t="s">
        <v>71</v>
      </c>
      <c r="AN2420" s="1" t="s">
        <v>71</v>
      </c>
      <c r="AS2420" s="1" t="s">
        <v>71</v>
      </c>
      <c r="AX2420" s="1" t="s">
        <v>71</v>
      </c>
      <c r="BH2420" s="1" t="s">
        <v>71</v>
      </c>
    </row>
    <row r="2421" customFormat="false" ht="15" hidden="false" customHeight="false" outlineLevel="0" collapsed="false">
      <c r="A2421" s="1" t="s">
        <v>8138</v>
      </c>
      <c r="B2421" s="1" t="s">
        <v>8139</v>
      </c>
      <c r="C2421" s="1" t="s">
        <v>1158</v>
      </c>
      <c r="D2421" s="1" t="s">
        <v>4456</v>
      </c>
      <c r="E2421" s="1" t="s">
        <v>82</v>
      </c>
      <c r="F2421" s="1" t="s">
        <v>391</v>
      </c>
      <c r="G2421" s="1" t="s">
        <v>213</v>
      </c>
      <c r="H2421" s="1" t="s">
        <v>477</v>
      </c>
      <c r="K2421" s="1" t="s">
        <v>1904</v>
      </c>
      <c r="L2421" s="1" t="s">
        <v>1905</v>
      </c>
      <c r="M2421" s="1" t="s">
        <v>496</v>
      </c>
      <c r="N2421" s="1" t="s">
        <v>518</v>
      </c>
      <c r="O2421" s="1" t="s">
        <v>519</v>
      </c>
      <c r="P2421" s="1" t="s">
        <v>4181</v>
      </c>
      <c r="U2421" s="1" t="s">
        <v>8138</v>
      </c>
      <c r="Z2421" s="1" t="s">
        <v>71</v>
      </c>
      <c r="AE2421" s="1" t="s">
        <v>8118</v>
      </c>
      <c r="AH2421" s="1" t="s">
        <v>73</v>
      </c>
      <c r="AK2421" s="1" t="s">
        <v>71</v>
      </c>
      <c r="AM2421" s="1" t="s">
        <v>71</v>
      </c>
      <c r="AN2421" s="1" t="s">
        <v>71</v>
      </c>
      <c r="AS2421" s="1" t="s">
        <v>71</v>
      </c>
      <c r="AX2421" s="1" t="s">
        <v>71</v>
      </c>
      <c r="BH2421" s="1" t="s">
        <v>71</v>
      </c>
    </row>
    <row r="2422" customFormat="false" ht="15" hidden="false" customHeight="false" outlineLevel="0" collapsed="false">
      <c r="A2422" s="1" t="s">
        <v>8140</v>
      </c>
      <c r="B2422" s="1" t="s">
        <v>8141</v>
      </c>
      <c r="C2422" s="1" t="s">
        <v>1158</v>
      </c>
      <c r="D2422" s="1" t="s">
        <v>4456</v>
      </c>
      <c r="E2422" s="1" t="s">
        <v>82</v>
      </c>
      <c r="F2422" s="1" t="s">
        <v>391</v>
      </c>
      <c r="G2422" s="1" t="s">
        <v>213</v>
      </c>
      <c r="H2422" s="1" t="s">
        <v>477</v>
      </c>
      <c r="K2422" s="1" t="s">
        <v>1904</v>
      </c>
      <c r="L2422" s="1" t="s">
        <v>1905</v>
      </c>
      <c r="M2422" s="1" t="s">
        <v>496</v>
      </c>
      <c r="N2422" s="1" t="s">
        <v>483</v>
      </c>
      <c r="O2422" s="1" t="s">
        <v>400</v>
      </c>
      <c r="P2422" s="1" t="s">
        <v>3959</v>
      </c>
      <c r="U2422" s="1" t="s">
        <v>8140</v>
      </c>
      <c r="Z2422" s="1" t="s">
        <v>71</v>
      </c>
      <c r="AE2422" s="1" t="s">
        <v>8118</v>
      </c>
      <c r="AH2422" s="1" t="s">
        <v>73</v>
      </c>
      <c r="AK2422" s="1" t="s">
        <v>71</v>
      </c>
      <c r="AM2422" s="1" t="s">
        <v>71</v>
      </c>
      <c r="AN2422" s="1" t="s">
        <v>71</v>
      </c>
      <c r="AS2422" s="1" t="s">
        <v>71</v>
      </c>
      <c r="AX2422" s="1" t="s">
        <v>71</v>
      </c>
      <c r="BH2422" s="1" t="s">
        <v>71</v>
      </c>
    </row>
    <row r="2423" customFormat="false" ht="15" hidden="false" customHeight="false" outlineLevel="0" collapsed="false">
      <c r="A2423" s="1" t="s">
        <v>8142</v>
      </c>
      <c r="B2423" s="1" t="s">
        <v>8143</v>
      </c>
      <c r="C2423" s="1" t="s">
        <v>324</v>
      </c>
      <c r="D2423" s="1" t="s">
        <v>325</v>
      </c>
      <c r="E2423" s="1" t="s">
        <v>61</v>
      </c>
      <c r="F2423" s="1" t="s">
        <v>101</v>
      </c>
      <c r="G2423" s="1" t="s">
        <v>148</v>
      </c>
      <c r="H2423" s="1" t="s">
        <v>231</v>
      </c>
      <c r="K2423" s="1" t="s">
        <v>1092</v>
      </c>
      <c r="L2423" s="1" t="s">
        <v>3159</v>
      </c>
      <c r="M2423" s="1" t="s">
        <v>242</v>
      </c>
      <c r="N2423" s="1" t="s">
        <v>243</v>
      </c>
      <c r="O2423" s="1" t="s">
        <v>244</v>
      </c>
      <c r="P2423" s="1" t="s">
        <v>3503</v>
      </c>
      <c r="U2423" s="1" t="s">
        <v>8142</v>
      </c>
      <c r="Z2423" s="1" t="s">
        <v>71</v>
      </c>
      <c r="AE2423" s="1" t="s">
        <v>8118</v>
      </c>
      <c r="AH2423" s="1" t="s">
        <v>73</v>
      </c>
      <c r="AK2423" s="1" t="s">
        <v>71</v>
      </c>
      <c r="AM2423" s="1" t="s">
        <v>71</v>
      </c>
      <c r="AN2423" s="1" t="s">
        <v>71</v>
      </c>
      <c r="AS2423" s="1" t="s">
        <v>71</v>
      </c>
      <c r="AX2423" s="1" t="s">
        <v>71</v>
      </c>
      <c r="AY2423" s="1" t="s">
        <v>59</v>
      </c>
      <c r="AZ2423" s="1" t="s">
        <v>74</v>
      </c>
      <c r="BH2423" s="1" t="s">
        <v>71</v>
      </c>
    </row>
    <row r="2424" customFormat="false" ht="15" hidden="false" customHeight="false" outlineLevel="0" collapsed="false">
      <c r="A2424" s="1" t="s">
        <v>8144</v>
      </c>
      <c r="B2424" s="1" t="s">
        <v>8145</v>
      </c>
      <c r="C2424" s="1" t="s">
        <v>324</v>
      </c>
      <c r="D2424" s="1" t="s">
        <v>325</v>
      </c>
      <c r="E2424" s="1" t="s">
        <v>61</v>
      </c>
      <c r="F2424" s="1" t="s">
        <v>101</v>
      </c>
      <c r="G2424" s="1" t="s">
        <v>148</v>
      </c>
      <c r="H2424" s="1" t="s">
        <v>231</v>
      </c>
      <c r="K2424" s="1" t="s">
        <v>372</v>
      </c>
      <c r="L2424" s="1" t="s">
        <v>5702</v>
      </c>
      <c r="M2424" s="1" t="s">
        <v>1387</v>
      </c>
      <c r="N2424" s="1" t="s">
        <v>243</v>
      </c>
      <c r="O2424" s="1" t="s">
        <v>244</v>
      </c>
      <c r="P2424" s="1" t="s">
        <v>3503</v>
      </c>
      <c r="U2424" s="1" t="s">
        <v>8144</v>
      </c>
      <c r="Z2424" s="1" t="s">
        <v>71</v>
      </c>
      <c r="AE2424" s="1" t="s">
        <v>8118</v>
      </c>
      <c r="AH2424" s="1" t="s">
        <v>73</v>
      </c>
      <c r="AK2424" s="1" t="s">
        <v>71</v>
      </c>
      <c r="AM2424" s="1" t="s">
        <v>71</v>
      </c>
      <c r="AN2424" s="1" t="s">
        <v>71</v>
      </c>
      <c r="AS2424" s="1" t="s">
        <v>71</v>
      </c>
      <c r="AX2424" s="1" t="s">
        <v>71</v>
      </c>
      <c r="AY2424" s="1" t="s">
        <v>59</v>
      </c>
      <c r="AZ2424" s="1" t="s">
        <v>74</v>
      </c>
      <c r="BH2424" s="1" t="s">
        <v>71</v>
      </c>
    </row>
    <row r="2425" customFormat="false" ht="15" hidden="false" customHeight="false" outlineLevel="0" collapsed="false">
      <c r="A2425" s="1" t="s">
        <v>8146</v>
      </c>
      <c r="B2425" s="1" t="s">
        <v>8147</v>
      </c>
      <c r="C2425" s="1" t="s">
        <v>1158</v>
      </c>
      <c r="D2425" s="1" t="s">
        <v>4456</v>
      </c>
      <c r="E2425" s="1" t="s">
        <v>82</v>
      </c>
      <c r="F2425" s="1" t="s">
        <v>391</v>
      </c>
      <c r="G2425" s="1" t="s">
        <v>213</v>
      </c>
      <c r="H2425" s="1" t="s">
        <v>477</v>
      </c>
      <c r="K2425" s="1" t="s">
        <v>1904</v>
      </c>
      <c r="L2425" s="1" t="s">
        <v>1905</v>
      </c>
      <c r="M2425" s="1" t="s">
        <v>496</v>
      </c>
      <c r="N2425" s="1" t="s">
        <v>483</v>
      </c>
      <c r="O2425" s="1" t="s">
        <v>400</v>
      </c>
      <c r="P2425" s="1" t="s">
        <v>3959</v>
      </c>
      <c r="U2425" s="1" t="s">
        <v>8146</v>
      </c>
      <c r="Z2425" s="1" t="s">
        <v>71</v>
      </c>
      <c r="AE2425" s="1" t="s">
        <v>8118</v>
      </c>
      <c r="AH2425" s="1" t="s">
        <v>73</v>
      </c>
      <c r="AK2425" s="1" t="s">
        <v>71</v>
      </c>
      <c r="AM2425" s="1" t="s">
        <v>71</v>
      </c>
      <c r="AN2425" s="1" t="s">
        <v>71</v>
      </c>
      <c r="AS2425" s="1" t="s">
        <v>71</v>
      </c>
      <c r="AX2425" s="1" t="s">
        <v>71</v>
      </c>
      <c r="BH2425" s="1" t="s">
        <v>71</v>
      </c>
    </row>
    <row r="2426" customFormat="false" ht="15" hidden="false" customHeight="false" outlineLevel="0" collapsed="false">
      <c r="A2426" s="1" t="s">
        <v>8148</v>
      </c>
      <c r="B2426" s="1" t="s">
        <v>8149</v>
      </c>
      <c r="C2426" s="1" t="s">
        <v>1158</v>
      </c>
      <c r="D2426" s="1" t="s">
        <v>4456</v>
      </c>
      <c r="E2426" s="1" t="s">
        <v>82</v>
      </c>
      <c r="F2426" s="1" t="s">
        <v>391</v>
      </c>
      <c r="G2426" s="1" t="s">
        <v>213</v>
      </c>
      <c r="H2426" s="1" t="s">
        <v>477</v>
      </c>
      <c r="K2426" s="1" t="s">
        <v>1904</v>
      </c>
      <c r="L2426" s="1" t="s">
        <v>1905</v>
      </c>
      <c r="M2426" s="1" t="s">
        <v>496</v>
      </c>
      <c r="N2426" s="1" t="s">
        <v>483</v>
      </c>
      <c r="O2426" s="1" t="s">
        <v>400</v>
      </c>
      <c r="P2426" s="1" t="s">
        <v>3959</v>
      </c>
      <c r="U2426" s="1" t="s">
        <v>8148</v>
      </c>
      <c r="Z2426" s="1" t="s">
        <v>71</v>
      </c>
      <c r="AE2426" s="1" t="s">
        <v>8118</v>
      </c>
      <c r="AH2426" s="1" t="s">
        <v>73</v>
      </c>
      <c r="AK2426" s="1" t="s">
        <v>71</v>
      </c>
      <c r="AM2426" s="1" t="s">
        <v>71</v>
      </c>
      <c r="AN2426" s="1" t="s">
        <v>71</v>
      </c>
      <c r="AS2426" s="1" t="s">
        <v>71</v>
      </c>
      <c r="AX2426" s="1" t="s">
        <v>71</v>
      </c>
      <c r="BH2426" s="1" t="s">
        <v>71</v>
      </c>
    </row>
    <row r="2427" customFormat="false" ht="15" hidden="false" customHeight="false" outlineLevel="0" collapsed="false">
      <c r="A2427" s="1" t="s">
        <v>8150</v>
      </c>
      <c r="B2427" s="1" t="s">
        <v>8151</v>
      </c>
      <c r="C2427" s="1" t="s">
        <v>1158</v>
      </c>
      <c r="D2427" s="1" t="s">
        <v>4456</v>
      </c>
      <c r="E2427" s="1" t="s">
        <v>82</v>
      </c>
      <c r="F2427" s="1" t="s">
        <v>391</v>
      </c>
      <c r="G2427" s="1" t="s">
        <v>213</v>
      </c>
      <c r="H2427" s="1" t="s">
        <v>477</v>
      </c>
      <c r="K2427" s="1" t="s">
        <v>1904</v>
      </c>
      <c r="L2427" s="1" t="s">
        <v>1905</v>
      </c>
      <c r="M2427" s="1" t="s">
        <v>496</v>
      </c>
      <c r="N2427" s="1" t="s">
        <v>483</v>
      </c>
      <c r="O2427" s="1" t="s">
        <v>400</v>
      </c>
      <c r="P2427" s="1" t="s">
        <v>3959</v>
      </c>
      <c r="U2427" s="1" t="s">
        <v>8150</v>
      </c>
      <c r="Z2427" s="1" t="s">
        <v>71</v>
      </c>
      <c r="AE2427" s="1" t="s">
        <v>8118</v>
      </c>
      <c r="AH2427" s="1" t="s">
        <v>73</v>
      </c>
      <c r="AK2427" s="1" t="s">
        <v>71</v>
      </c>
      <c r="AM2427" s="1" t="s">
        <v>71</v>
      </c>
      <c r="AN2427" s="1" t="s">
        <v>71</v>
      </c>
      <c r="AS2427" s="1" t="s">
        <v>71</v>
      </c>
      <c r="AX2427" s="1" t="s">
        <v>71</v>
      </c>
      <c r="BH2427" s="1" t="s">
        <v>71</v>
      </c>
    </row>
    <row r="2428" customFormat="false" ht="15" hidden="false" customHeight="false" outlineLevel="0" collapsed="false">
      <c r="A2428" s="1" t="s">
        <v>8152</v>
      </c>
      <c r="B2428" s="1" t="s">
        <v>8153</v>
      </c>
      <c r="C2428" s="1" t="s">
        <v>1158</v>
      </c>
      <c r="D2428" s="1" t="s">
        <v>4456</v>
      </c>
      <c r="E2428" s="1" t="s">
        <v>82</v>
      </c>
      <c r="F2428" s="1" t="s">
        <v>391</v>
      </c>
      <c r="G2428" s="1" t="s">
        <v>213</v>
      </c>
      <c r="H2428" s="1" t="s">
        <v>477</v>
      </c>
      <c r="K2428" s="1" t="s">
        <v>1904</v>
      </c>
      <c r="L2428" s="1" t="s">
        <v>1905</v>
      </c>
      <c r="M2428" s="1" t="s">
        <v>496</v>
      </c>
      <c r="N2428" s="1" t="s">
        <v>483</v>
      </c>
      <c r="O2428" s="1" t="s">
        <v>400</v>
      </c>
      <c r="P2428" s="1" t="s">
        <v>3959</v>
      </c>
      <c r="U2428" s="1" t="s">
        <v>8152</v>
      </c>
      <c r="Z2428" s="1" t="s">
        <v>71</v>
      </c>
      <c r="AE2428" s="1" t="s">
        <v>8118</v>
      </c>
      <c r="AH2428" s="1" t="s">
        <v>73</v>
      </c>
      <c r="AK2428" s="1" t="s">
        <v>71</v>
      </c>
      <c r="AM2428" s="1" t="s">
        <v>71</v>
      </c>
      <c r="AN2428" s="1" t="s">
        <v>71</v>
      </c>
      <c r="AS2428" s="1" t="s">
        <v>71</v>
      </c>
      <c r="AX2428" s="1" t="s">
        <v>71</v>
      </c>
      <c r="BH2428" s="1" t="s">
        <v>71</v>
      </c>
    </row>
    <row r="2429" customFormat="false" ht="15" hidden="false" customHeight="false" outlineLevel="0" collapsed="false">
      <c r="A2429" s="1" t="s">
        <v>8154</v>
      </c>
      <c r="B2429" s="1" t="s">
        <v>8155</v>
      </c>
      <c r="C2429" s="1" t="s">
        <v>1158</v>
      </c>
      <c r="D2429" s="1" t="s">
        <v>4456</v>
      </c>
      <c r="E2429" s="1" t="s">
        <v>82</v>
      </c>
      <c r="F2429" s="1" t="s">
        <v>391</v>
      </c>
      <c r="G2429" s="1" t="s">
        <v>213</v>
      </c>
      <c r="H2429" s="1" t="s">
        <v>477</v>
      </c>
      <c r="K2429" s="1" t="s">
        <v>1904</v>
      </c>
      <c r="L2429" s="1" t="s">
        <v>1905</v>
      </c>
      <c r="M2429" s="1" t="s">
        <v>496</v>
      </c>
      <c r="N2429" s="1" t="s">
        <v>518</v>
      </c>
      <c r="O2429" s="1" t="s">
        <v>519</v>
      </c>
      <c r="P2429" s="1" t="s">
        <v>4181</v>
      </c>
      <c r="U2429" s="1" t="s">
        <v>8154</v>
      </c>
      <c r="Z2429" s="1" t="s">
        <v>71</v>
      </c>
      <c r="AE2429" s="1" t="s">
        <v>8156</v>
      </c>
      <c r="AH2429" s="1" t="s">
        <v>73</v>
      </c>
      <c r="AK2429" s="1" t="s">
        <v>71</v>
      </c>
      <c r="AM2429" s="1" t="s">
        <v>71</v>
      </c>
      <c r="AN2429" s="1" t="s">
        <v>71</v>
      </c>
      <c r="AS2429" s="1" t="s">
        <v>71</v>
      </c>
      <c r="AX2429" s="1" t="s">
        <v>71</v>
      </c>
      <c r="BH2429" s="1" t="s">
        <v>71</v>
      </c>
    </row>
    <row r="2430" customFormat="false" ht="15" hidden="false" customHeight="false" outlineLevel="0" collapsed="false">
      <c r="A2430" s="1" t="s">
        <v>8157</v>
      </c>
      <c r="B2430" s="1" t="s">
        <v>8158</v>
      </c>
      <c r="C2430" s="1" t="s">
        <v>1158</v>
      </c>
      <c r="D2430" s="1" t="s">
        <v>4456</v>
      </c>
      <c r="E2430" s="1" t="s">
        <v>82</v>
      </c>
      <c r="F2430" s="1" t="s">
        <v>391</v>
      </c>
      <c r="G2430" s="1" t="s">
        <v>213</v>
      </c>
      <c r="H2430" s="1" t="s">
        <v>477</v>
      </c>
      <c r="K2430" s="1" t="s">
        <v>1904</v>
      </c>
      <c r="L2430" s="1" t="s">
        <v>1905</v>
      </c>
      <c r="M2430" s="1" t="s">
        <v>496</v>
      </c>
      <c r="N2430" s="1" t="s">
        <v>518</v>
      </c>
      <c r="O2430" s="1" t="s">
        <v>519</v>
      </c>
      <c r="P2430" s="1" t="s">
        <v>4181</v>
      </c>
      <c r="U2430" s="1" t="s">
        <v>8157</v>
      </c>
      <c r="Z2430" s="1" t="s">
        <v>71</v>
      </c>
      <c r="AE2430" s="1" t="s">
        <v>8156</v>
      </c>
      <c r="AH2430" s="1" t="s">
        <v>73</v>
      </c>
      <c r="AK2430" s="1" t="s">
        <v>71</v>
      </c>
      <c r="AM2430" s="1" t="s">
        <v>71</v>
      </c>
      <c r="AN2430" s="1" t="s">
        <v>71</v>
      </c>
      <c r="AS2430" s="1" t="s">
        <v>71</v>
      </c>
      <c r="AX2430" s="1" t="s">
        <v>71</v>
      </c>
      <c r="BH2430" s="1" t="s">
        <v>71</v>
      </c>
    </row>
    <row r="2431" customFormat="false" ht="15" hidden="false" customHeight="false" outlineLevel="0" collapsed="false">
      <c r="A2431" s="1" t="s">
        <v>8159</v>
      </c>
      <c r="B2431" s="1" t="s">
        <v>8160</v>
      </c>
      <c r="C2431" s="1" t="s">
        <v>1158</v>
      </c>
      <c r="D2431" s="1" t="s">
        <v>4456</v>
      </c>
      <c r="E2431" s="1" t="s">
        <v>82</v>
      </c>
      <c r="F2431" s="1" t="s">
        <v>391</v>
      </c>
      <c r="G2431" s="1" t="s">
        <v>213</v>
      </c>
      <c r="H2431" s="1" t="s">
        <v>477</v>
      </c>
      <c r="K2431" s="1" t="s">
        <v>1904</v>
      </c>
      <c r="L2431" s="1" t="s">
        <v>1905</v>
      </c>
      <c r="M2431" s="1" t="s">
        <v>496</v>
      </c>
      <c r="N2431" s="1" t="s">
        <v>518</v>
      </c>
      <c r="O2431" s="1" t="s">
        <v>519</v>
      </c>
      <c r="P2431" s="1" t="s">
        <v>4181</v>
      </c>
      <c r="U2431" s="1" t="s">
        <v>8159</v>
      </c>
      <c r="Z2431" s="1" t="s">
        <v>71</v>
      </c>
      <c r="AE2431" s="1" t="s">
        <v>8156</v>
      </c>
      <c r="AH2431" s="1" t="s">
        <v>73</v>
      </c>
      <c r="AK2431" s="1" t="s">
        <v>71</v>
      </c>
      <c r="AM2431" s="1" t="s">
        <v>71</v>
      </c>
      <c r="AN2431" s="1" t="s">
        <v>71</v>
      </c>
      <c r="AS2431" s="1" t="s">
        <v>71</v>
      </c>
      <c r="AX2431" s="1" t="s">
        <v>71</v>
      </c>
      <c r="BH2431" s="1" t="s">
        <v>71</v>
      </c>
    </row>
    <row r="2432" customFormat="false" ht="15" hidden="false" customHeight="false" outlineLevel="0" collapsed="false">
      <c r="A2432" s="1" t="s">
        <v>8161</v>
      </c>
      <c r="B2432" s="1" t="s">
        <v>8162</v>
      </c>
      <c r="C2432" s="1" t="s">
        <v>1158</v>
      </c>
      <c r="D2432" s="1" t="s">
        <v>4456</v>
      </c>
      <c r="E2432" s="1" t="s">
        <v>82</v>
      </c>
      <c r="F2432" s="1" t="s">
        <v>391</v>
      </c>
      <c r="G2432" s="1" t="s">
        <v>213</v>
      </c>
      <c r="H2432" s="1" t="s">
        <v>477</v>
      </c>
      <c r="K2432" s="1" t="s">
        <v>1904</v>
      </c>
      <c r="L2432" s="1" t="s">
        <v>1905</v>
      </c>
      <c r="M2432" s="1" t="s">
        <v>496</v>
      </c>
      <c r="N2432" s="1" t="s">
        <v>518</v>
      </c>
      <c r="O2432" s="1" t="s">
        <v>519</v>
      </c>
      <c r="P2432" s="1" t="s">
        <v>4181</v>
      </c>
      <c r="U2432" s="1" t="s">
        <v>8161</v>
      </c>
      <c r="Z2432" s="1" t="s">
        <v>71</v>
      </c>
      <c r="AE2432" s="1" t="s">
        <v>8156</v>
      </c>
      <c r="AH2432" s="1" t="s">
        <v>73</v>
      </c>
      <c r="AK2432" s="1" t="s">
        <v>71</v>
      </c>
      <c r="AM2432" s="1" t="s">
        <v>71</v>
      </c>
      <c r="AN2432" s="1" t="s">
        <v>71</v>
      </c>
      <c r="AS2432" s="1" t="s">
        <v>71</v>
      </c>
      <c r="AX2432" s="1" t="s">
        <v>71</v>
      </c>
      <c r="BH2432" s="1" t="s">
        <v>71</v>
      </c>
    </row>
    <row r="2433" customFormat="false" ht="15" hidden="false" customHeight="false" outlineLevel="0" collapsed="false">
      <c r="A2433" s="1" t="s">
        <v>8163</v>
      </c>
      <c r="B2433" s="1" t="s">
        <v>8164</v>
      </c>
      <c r="C2433" s="1" t="s">
        <v>1172</v>
      </c>
      <c r="D2433" s="1" t="s">
        <v>8165</v>
      </c>
      <c r="E2433" s="1" t="s">
        <v>82</v>
      </c>
      <c r="F2433" s="1" t="s">
        <v>391</v>
      </c>
      <c r="G2433" s="1" t="s">
        <v>97</v>
      </c>
      <c r="H2433" s="1" t="s">
        <v>406</v>
      </c>
      <c r="K2433" s="1" t="s">
        <v>407</v>
      </c>
      <c r="L2433" s="1" t="s">
        <v>408</v>
      </c>
      <c r="M2433" s="1" t="s">
        <v>496</v>
      </c>
      <c r="N2433" s="1" t="s">
        <v>8166</v>
      </c>
      <c r="O2433" s="1" t="s">
        <v>8167</v>
      </c>
      <c r="P2433" s="1" t="s">
        <v>8168</v>
      </c>
      <c r="S2433" s="1" t="s">
        <v>275</v>
      </c>
      <c r="U2433" s="1" t="s">
        <v>8163</v>
      </c>
      <c r="Z2433" s="1" t="s">
        <v>71</v>
      </c>
      <c r="AE2433" s="1" t="s">
        <v>8156</v>
      </c>
      <c r="AH2433" s="1" t="s">
        <v>73</v>
      </c>
      <c r="AK2433" s="1" t="s">
        <v>71</v>
      </c>
      <c r="AM2433" s="1" t="s">
        <v>71</v>
      </c>
      <c r="AN2433" s="1" t="s">
        <v>71</v>
      </c>
      <c r="AS2433" s="1" t="s">
        <v>71</v>
      </c>
      <c r="AX2433" s="1" t="s">
        <v>71</v>
      </c>
      <c r="BH2433" s="1" t="s">
        <v>71</v>
      </c>
    </row>
    <row r="2434" customFormat="false" ht="15" hidden="false" customHeight="false" outlineLevel="0" collapsed="false">
      <c r="A2434" s="1" t="s">
        <v>8169</v>
      </c>
      <c r="B2434" s="1" t="s">
        <v>8170</v>
      </c>
      <c r="C2434" s="1" t="s">
        <v>222</v>
      </c>
      <c r="D2434" s="1" t="s">
        <v>223</v>
      </c>
      <c r="E2434" s="1" t="s">
        <v>61</v>
      </c>
      <c r="F2434" s="1" t="s">
        <v>101</v>
      </c>
      <c r="G2434" s="1" t="s">
        <v>1772</v>
      </c>
      <c r="H2434" s="1" t="s">
        <v>6148</v>
      </c>
      <c r="K2434" s="1" t="s">
        <v>93</v>
      </c>
      <c r="L2434" s="1" t="s">
        <v>6467</v>
      </c>
      <c r="M2434" s="1" t="s">
        <v>242</v>
      </c>
      <c r="N2434" s="1" t="s">
        <v>8171</v>
      </c>
      <c r="O2434" s="1" t="s">
        <v>8172</v>
      </c>
      <c r="P2434" s="1" t="s">
        <v>8173</v>
      </c>
      <c r="U2434" s="1" t="s">
        <v>8169</v>
      </c>
      <c r="Z2434" s="1" t="s">
        <v>71</v>
      </c>
      <c r="AE2434" s="1" t="s">
        <v>8174</v>
      </c>
      <c r="AH2434" s="1" t="s">
        <v>73</v>
      </c>
      <c r="AK2434" s="1" t="s">
        <v>71</v>
      </c>
      <c r="AM2434" s="1" t="s">
        <v>71</v>
      </c>
      <c r="AN2434" s="1" t="s">
        <v>71</v>
      </c>
      <c r="AS2434" s="1" t="s">
        <v>71</v>
      </c>
      <c r="AX2434" s="1" t="s">
        <v>71</v>
      </c>
      <c r="AY2434" s="1" t="s">
        <v>59</v>
      </c>
      <c r="AZ2434" s="1" t="s">
        <v>74</v>
      </c>
      <c r="BH2434" s="1" t="s">
        <v>71</v>
      </c>
    </row>
    <row r="2435" customFormat="false" ht="15" hidden="false" customHeight="false" outlineLevel="0" collapsed="false">
      <c r="A2435" s="1" t="s">
        <v>8175</v>
      </c>
      <c r="B2435" s="1" t="s">
        <v>8176</v>
      </c>
      <c r="C2435" s="1" t="s">
        <v>1399</v>
      </c>
      <c r="D2435" s="1" t="s">
        <v>1400</v>
      </c>
      <c r="E2435" s="1" t="s">
        <v>82</v>
      </c>
      <c r="F2435" s="1" t="s">
        <v>391</v>
      </c>
      <c r="G2435" s="1" t="s">
        <v>1356</v>
      </c>
      <c r="H2435" s="1" t="s">
        <v>1825</v>
      </c>
      <c r="K2435" s="1" t="s">
        <v>251</v>
      </c>
      <c r="L2435" s="1" t="s">
        <v>3580</v>
      </c>
      <c r="M2435" s="1" t="s">
        <v>496</v>
      </c>
      <c r="N2435" s="1" t="s">
        <v>3697</v>
      </c>
      <c r="O2435" s="1" t="s">
        <v>3698</v>
      </c>
      <c r="P2435" s="1" t="s">
        <v>3699</v>
      </c>
      <c r="U2435" s="1" t="s">
        <v>8175</v>
      </c>
      <c r="Z2435" s="1" t="s">
        <v>71</v>
      </c>
      <c r="AE2435" s="1" t="s">
        <v>8174</v>
      </c>
      <c r="AH2435" s="1" t="s">
        <v>73</v>
      </c>
      <c r="AK2435" s="1" t="s">
        <v>71</v>
      </c>
      <c r="AM2435" s="1" t="s">
        <v>71</v>
      </c>
      <c r="AN2435" s="1" t="s">
        <v>71</v>
      </c>
      <c r="AS2435" s="1" t="s">
        <v>71</v>
      </c>
      <c r="AX2435" s="1" t="s">
        <v>71</v>
      </c>
      <c r="BH2435" s="1" t="s">
        <v>71</v>
      </c>
    </row>
    <row r="2436" customFormat="false" ht="15" hidden="false" customHeight="false" outlineLevel="0" collapsed="false">
      <c r="A2436" s="1" t="s">
        <v>8177</v>
      </c>
      <c r="B2436" s="1" t="s">
        <v>8178</v>
      </c>
      <c r="C2436" s="1" t="s">
        <v>2397</v>
      </c>
      <c r="D2436" s="1" t="s">
        <v>8179</v>
      </c>
      <c r="E2436" s="1" t="s">
        <v>93</v>
      </c>
      <c r="F2436" s="1" t="s">
        <v>6348</v>
      </c>
      <c r="G2436" s="1" t="s">
        <v>146</v>
      </c>
      <c r="H2436" s="1" t="s">
        <v>6349</v>
      </c>
      <c r="K2436" s="1" t="s">
        <v>59</v>
      </c>
      <c r="L2436" s="1" t="s">
        <v>6350</v>
      </c>
      <c r="M2436" s="1" t="s">
        <v>8180</v>
      </c>
      <c r="N2436" s="1" t="s">
        <v>8181</v>
      </c>
      <c r="O2436" s="1" t="s">
        <v>8182</v>
      </c>
      <c r="P2436" s="1" t="s">
        <v>8183</v>
      </c>
      <c r="U2436" s="1" t="s">
        <v>8177</v>
      </c>
      <c r="Z2436" s="1" t="s">
        <v>71</v>
      </c>
      <c r="AE2436" s="1" t="s">
        <v>8174</v>
      </c>
      <c r="AH2436" s="1" t="s">
        <v>73</v>
      </c>
      <c r="AK2436" s="1" t="s">
        <v>71</v>
      </c>
      <c r="AM2436" s="1" t="s">
        <v>71</v>
      </c>
      <c r="AN2436" s="1" t="s">
        <v>71</v>
      </c>
      <c r="AS2436" s="1" t="s">
        <v>71</v>
      </c>
      <c r="AX2436" s="1" t="s">
        <v>71</v>
      </c>
      <c r="AY2436" s="1" t="s">
        <v>59</v>
      </c>
      <c r="AZ2436" s="1" t="s">
        <v>74</v>
      </c>
      <c r="BH2436" s="1" t="s">
        <v>71</v>
      </c>
    </row>
    <row r="2437" customFormat="false" ht="15" hidden="false" customHeight="false" outlineLevel="0" collapsed="false">
      <c r="A2437" s="1" t="s">
        <v>8184</v>
      </c>
      <c r="B2437" s="1" t="s">
        <v>8185</v>
      </c>
      <c r="C2437" s="1" t="s">
        <v>2397</v>
      </c>
      <c r="D2437" s="1" t="s">
        <v>8179</v>
      </c>
      <c r="E2437" s="1" t="s">
        <v>61</v>
      </c>
      <c r="F2437" s="1" t="s">
        <v>101</v>
      </c>
      <c r="G2437" s="1" t="s">
        <v>1479</v>
      </c>
      <c r="H2437" s="1" t="s">
        <v>5583</v>
      </c>
      <c r="K2437" s="1" t="s">
        <v>59</v>
      </c>
      <c r="L2437" s="1" t="s">
        <v>6341</v>
      </c>
      <c r="M2437" s="1" t="s">
        <v>8180</v>
      </c>
      <c r="N2437" s="1" t="s">
        <v>8186</v>
      </c>
      <c r="O2437" s="1" t="s">
        <v>8187</v>
      </c>
      <c r="P2437" s="1" t="s">
        <v>8188</v>
      </c>
      <c r="U2437" s="1" t="s">
        <v>8184</v>
      </c>
      <c r="V2437" s="1" t="s">
        <v>8067</v>
      </c>
      <c r="Z2437" s="1" t="s">
        <v>71</v>
      </c>
      <c r="AE2437" s="1" t="s">
        <v>8174</v>
      </c>
      <c r="AH2437" s="1" t="s">
        <v>73</v>
      </c>
      <c r="AK2437" s="1" t="s">
        <v>71</v>
      </c>
      <c r="AM2437" s="1" t="s">
        <v>71</v>
      </c>
      <c r="AN2437" s="1" t="s">
        <v>71</v>
      </c>
      <c r="AS2437" s="1" t="s">
        <v>71</v>
      </c>
      <c r="AX2437" s="1" t="s">
        <v>71</v>
      </c>
      <c r="AY2437" s="1" t="s">
        <v>59</v>
      </c>
      <c r="AZ2437" s="1" t="s">
        <v>74</v>
      </c>
      <c r="BH2437" s="1" t="s">
        <v>71</v>
      </c>
    </row>
    <row r="2438" customFormat="false" ht="15" hidden="false" customHeight="false" outlineLevel="0" collapsed="false">
      <c r="A2438" s="1" t="s">
        <v>8189</v>
      </c>
      <c r="B2438" s="1" t="s">
        <v>8190</v>
      </c>
      <c r="C2438" s="1" t="s">
        <v>2397</v>
      </c>
      <c r="D2438" s="1" t="s">
        <v>8179</v>
      </c>
      <c r="E2438" s="1" t="s">
        <v>93</v>
      </c>
      <c r="F2438" s="1" t="s">
        <v>6348</v>
      </c>
      <c r="G2438" s="1" t="s">
        <v>146</v>
      </c>
      <c r="H2438" s="1" t="s">
        <v>6349</v>
      </c>
      <c r="K2438" s="1" t="s">
        <v>59</v>
      </c>
      <c r="L2438" s="1" t="s">
        <v>6350</v>
      </c>
      <c r="M2438" s="1" t="s">
        <v>8180</v>
      </c>
      <c r="N2438" s="1" t="s">
        <v>8191</v>
      </c>
      <c r="O2438" s="1" t="s">
        <v>400</v>
      </c>
      <c r="P2438" s="1" t="s">
        <v>8192</v>
      </c>
      <c r="U2438" s="1" t="s">
        <v>8189</v>
      </c>
      <c r="V2438" s="1" t="s">
        <v>8084</v>
      </c>
      <c r="Z2438" s="1" t="s">
        <v>71</v>
      </c>
      <c r="AE2438" s="1" t="s">
        <v>8174</v>
      </c>
      <c r="AH2438" s="1" t="s">
        <v>73</v>
      </c>
      <c r="AK2438" s="1" t="s">
        <v>71</v>
      </c>
      <c r="AM2438" s="1" t="s">
        <v>71</v>
      </c>
      <c r="AN2438" s="1" t="s">
        <v>71</v>
      </c>
      <c r="AS2438" s="1" t="s">
        <v>71</v>
      </c>
      <c r="AX2438" s="1" t="s">
        <v>71</v>
      </c>
      <c r="AY2438" s="1" t="s">
        <v>59</v>
      </c>
      <c r="AZ2438" s="1" t="s">
        <v>74</v>
      </c>
      <c r="BH2438" s="1" t="s">
        <v>71</v>
      </c>
    </row>
    <row r="2439" customFormat="false" ht="15" hidden="false" customHeight="false" outlineLevel="0" collapsed="false">
      <c r="A2439" s="1" t="s">
        <v>8193</v>
      </c>
      <c r="B2439" s="1" t="s">
        <v>8194</v>
      </c>
      <c r="C2439" s="1" t="s">
        <v>2397</v>
      </c>
      <c r="D2439" s="1" t="s">
        <v>8179</v>
      </c>
      <c r="E2439" s="1" t="s">
        <v>93</v>
      </c>
      <c r="F2439" s="1" t="s">
        <v>6348</v>
      </c>
      <c r="G2439" s="1" t="s">
        <v>146</v>
      </c>
      <c r="H2439" s="1" t="s">
        <v>6349</v>
      </c>
      <c r="K2439" s="1" t="s">
        <v>59</v>
      </c>
      <c r="L2439" s="1" t="s">
        <v>6350</v>
      </c>
      <c r="M2439" s="1" t="s">
        <v>8195</v>
      </c>
      <c r="N2439" s="1" t="s">
        <v>8181</v>
      </c>
      <c r="O2439" s="1" t="s">
        <v>8182</v>
      </c>
      <c r="P2439" s="1" t="s">
        <v>8183</v>
      </c>
      <c r="U2439" s="1" t="s">
        <v>8193</v>
      </c>
      <c r="V2439" s="1" t="s">
        <v>8084</v>
      </c>
      <c r="Z2439" s="1" t="s">
        <v>71</v>
      </c>
      <c r="AE2439" s="1" t="s">
        <v>8174</v>
      </c>
      <c r="AH2439" s="1" t="s">
        <v>73</v>
      </c>
      <c r="AK2439" s="1" t="s">
        <v>71</v>
      </c>
      <c r="AM2439" s="1" t="s">
        <v>71</v>
      </c>
      <c r="AN2439" s="1" t="s">
        <v>71</v>
      </c>
      <c r="AS2439" s="1" t="s">
        <v>71</v>
      </c>
      <c r="AX2439" s="1" t="s">
        <v>71</v>
      </c>
      <c r="AY2439" s="1" t="s">
        <v>59</v>
      </c>
      <c r="AZ2439" s="1" t="s">
        <v>74</v>
      </c>
      <c r="BH2439" s="1" t="s">
        <v>71</v>
      </c>
    </row>
    <row r="2440" customFormat="false" ht="15" hidden="false" customHeight="false" outlineLevel="0" collapsed="false">
      <c r="A2440" s="1" t="s">
        <v>8196</v>
      </c>
      <c r="B2440" s="1" t="s">
        <v>8197</v>
      </c>
      <c r="C2440" s="1" t="s">
        <v>2397</v>
      </c>
      <c r="D2440" s="1" t="s">
        <v>8179</v>
      </c>
      <c r="E2440" s="1" t="s">
        <v>93</v>
      </c>
      <c r="F2440" s="1" t="s">
        <v>6348</v>
      </c>
      <c r="G2440" s="1" t="s">
        <v>146</v>
      </c>
      <c r="H2440" s="1" t="s">
        <v>6349</v>
      </c>
      <c r="K2440" s="1" t="s">
        <v>59</v>
      </c>
      <c r="L2440" s="1" t="s">
        <v>6350</v>
      </c>
      <c r="M2440" s="1" t="s">
        <v>8198</v>
      </c>
      <c r="N2440" s="1" t="s">
        <v>8181</v>
      </c>
      <c r="O2440" s="1" t="s">
        <v>8182</v>
      </c>
      <c r="P2440" s="1" t="s">
        <v>8183</v>
      </c>
      <c r="U2440" s="1" t="s">
        <v>8196</v>
      </c>
      <c r="V2440" s="1" t="s">
        <v>8084</v>
      </c>
      <c r="Z2440" s="1" t="s">
        <v>71</v>
      </c>
      <c r="AE2440" s="1" t="s">
        <v>8174</v>
      </c>
      <c r="AH2440" s="1" t="s">
        <v>73</v>
      </c>
      <c r="AK2440" s="1" t="s">
        <v>71</v>
      </c>
      <c r="AM2440" s="1" t="s">
        <v>71</v>
      </c>
      <c r="AN2440" s="1" t="s">
        <v>71</v>
      </c>
      <c r="AS2440" s="1" t="s">
        <v>71</v>
      </c>
      <c r="AX2440" s="1" t="s">
        <v>71</v>
      </c>
      <c r="AY2440" s="1" t="s">
        <v>59</v>
      </c>
      <c r="AZ2440" s="1" t="s">
        <v>74</v>
      </c>
      <c r="BH2440" s="1" t="s">
        <v>71</v>
      </c>
    </row>
    <row r="2441" customFormat="false" ht="15" hidden="false" customHeight="false" outlineLevel="0" collapsed="false">
      <c r="A2441" s="1" t="s">
        <v>8199</v>
      </c>
      <c r="B2441" s="1" t="s">
        <v>8200</v>
      </c>
      <c r="C2441" s="1" t="s">
        <v>2397</v>
      </c>
      <c r="D2441" s="1" t="s">
        <v>8179</v>
      </c>
      <c r="E2441" s="1" t="s">
        <v>93</v>
      </c>
      <c r="F2441" s="1" t="s">
        <v>6348</v>
      </c>
      <c r="G2441" s="1" t="s">
        <v>146</v>
      </c>
      <c r="H2441" s="1" t="s">
        <v>6349</v>
      </c>
      <c r="K2441" s="1" t="s">
        <v>59</v>
      </c>
      <c r="L2441" s="1" t="s">
        <v>6350</v>
      </c>
      <c r="M2441" s="1" t="s">
        <v>8180</v>
      </c>
      <c r="N2441" s="1" t="s">
        <v>8181</v>
      </c>
      <c r="O2441" s="1" t="s">
        <v>8182</v>
      </c>
      <c r="P2441" s="1" t="s">
        <v>8183</v>
      </c>
      <c r="U2441" s="1" t="s">
        <v>8199</v>
      </c>
      <c r="V2441" s="1" t="s">
        <v>8067</v>
      </c>
      <c r="Z2441" s="1" t="s">
        <v>71</v>
      </c>
      <c r="AE2441" s="1" t="s">
        <v>8174</v>
      </c>
      <c r="AH2441" s="1" t="s">
        <v>73</v>
      </c>
      <c r="AK2441" s="1" t="s">
        <v>71</v>
      </c>
      <c r="AM2441" s="1" t="s">
        <v>71</v>
      </c>
      <c r="AN2441" s="1" t="s">
        <v>71</v>
      </c>
      <c r="AS2441" s="1" t="s">
        <v>71</v>
      </c>
      <c r="AX2441" s="1" t="s">
        <v>71</v>
      </c>
      <c r="AY2441" s="1" t="s">
        <v>59</v>
      </c>
      <c r="AZ2441" s="1" t="s">
        <v>74</v>
      </c>
      <c r="BH2441" s="1" t="s">
        <v>71</v>
      </c>
    </row>
    <row r="2442" customFormat="false" ht="15" hidden="false" customHeight="false" outlineLevel="0" collapsed="false">
      <c r="A2442" s="1" t="s">
        <v>8201</v>
      </c>
      <c r="B2442" s="1" t="s">
        <v>8178</v>
      </c>
      <c r="C2442" s="1" t="s">
        <v>2397</v>
      </c>
      <c r="D2442" s="1" t="s">
        <v>8179</v>
      </c>
      <c r="E2442" s="1" t="s">
        <v>93</v>
      </c>
      <c r="F2442" s="1" t="s">
        <v>6348</v>
      </c>
      <c r="G2442" s="1" t="s">
        <v>146</v>
      </c>
      <c r="H2442" s="1" t="s">
        <v>6349</v>
      </c>
      <c r="K2442" s="1" t="s">
        <v>59</v>
      </c>
      <c r="L2442" s="1" t="s">
        <v>6350</v>
      </c>
      <c r="M2442" s="1" t="s">
        <v>8180</v>
      </c>
      <c r="N2442" s="1" t="s">
        <v>8181</v>
      </c>
      <c r="O2442" s="1" t="s">
        <v>8182</v>
      </c>
      <c r="P2442" s="1" t="s">
        <v>8183</v>
      </c>
      <c r="U2442" s="1" t="s">
        <v>8201</v>
      </c>
      <c r="Z2442" s="1" t="s">
        <v>71</v>
      </c>
      <c r="AE2442" s="1" t="s">
        <v>8174</v>
      </c>
      <c r="AH2442" s="1" t="s">
        <v>73</v>
      </c>
      <c r="AK2442" s="1" t="s">
        <v>71</v>
      </c>
      <c r="AM2442" s="1" t="s">
        <v>71</v>
      </c>
      <c r="AN2442" s="1" t="s">
        <v>71</v>
      </c>
      <c r="AS2442" s="1" t="s">
        <v>71</v>
      </c>
      <c r="AX2442" s="1" t="s">
        <v>71</v>
      </c>
      <c r="AY2442" s="1" t="s">
        <v>59</v>
      </c>
      <c r="AZ2442" s="1" t="s">
        <v>74</v>
      </c>
      <c r="BH2442" s="1" t="s">
        <v>71</v>
      </c>
    </row>
    <row r="2443" customFormat="false" ht="15" hidden="false" customHeight="false" outlineLevel="0" collapsed="false">
      <c r="A2443" s="1" t="s">
        <v>8202</v>
      </c>
      <c r="B2443" s="1" t="s">
        <v>8203</v>
      </c>
      <c r="C2443" s="1" t="s">
        <v>8204</v>
      </c>
      <c r="D2443" s="1" t="s">
        <v>8205</v>
      </c>
      <c r="E2443" s="1" t="s">
        <v>82</v>
      </c>
      <c r="F2443" s="1" t="s">
        <v>391</v>
      </c>
      <c r="G2443" s="1" t="s">
        <v>213</v>
      </c>
      <c r="H2443" s="1" t="s">
        <v>477</v>
      </c>
      <c r="K2443" s="1" t="s">
        <v>1904</v>
      </c>
      <c r="L2443" s="1" t="s">
        <v>1905</v>
      </c>
      <c r="M2443" s="1" t="s">
        <v>496</v>
      </c>
      <c r="N2443" s="1" t="s">
        <v>608</v>
      </c>
      <c r="O2443" s="1" t="s">
        <v>609</v>
      </c>
      <c r="P2443" s="1" t="s">
        <v>4655</v>
      </c>
      <c r="U2443" s="1" t="s">
        <v>8202</v>
      </c>
      <c r="Z2443" s="1" t="s">
        <v>71</v>
      </c>
      <c r="AE2443" s="1" t="s">
        <v>8206</v>
      </c>
      <c r="AH2443" s="1" t="s">
        <v>73</v>
      </c>
      <c r="AK2443" s="1" t="s">
        <v>71</v>
      </c>
      <c r="AM2443" s="1" t="s">
        <v>71</v>
      </c>
      <c r="AN2443" s="1" t="s">
        <v>71</v>
      </c>
      <c r="AS2443" s="1" t="s">
        <v>71</v>
      </c>
      <c r="AX2443" s="1" t="s">
        <v>71</v>
      </c>
      <c r="BH2443" s="1" t="s">
        <v>71</v>
      </c>
    </row>
    <row r="2444" customFormat="false" ht="15" hidden="false" customHeight="false" outlineLevel="0" collapsed="false">
      <c r="A2444" s="1" t="s">
        <v>8207</v>
      </c>
      <c r="B2444" s="1" t="s">
        <v>8208</v>
      </c>
      <c r="C2444" s="1" t="s">
        <v>8204</v>
      </c>
      <c r="D2444" s="1" t="s">
        <v>8205</v>
      </c>
      <c r="E2444" s="1" t="s">
        <v>82</v>
      </c>
      <c r="F2444" s="1" t="s">
        <v>391</v>
      </c>
      <c r="G2444" s="1" t="s">
        <v>213</v>
      </c>
      <c r="H2444" s="1" t="s">
        <v>477</v>
      </c>
      <c r="K2444" s="1" t="s">
        <v>1904</v>
      </c>
      <c r="L2444" s="1" t="s">
        <v>1905</v>
      </c>
      <c r="M2444" s="1" t="s">
        <v>496</v>
      </c>
      <c r="N2444" s="1" t="s">
        <v>608</v>
      </c>
      <c r="O2444" s="1" t="s">
        <v>609</v>
      </c>
      <c r="P2444" s="1" t="s">
        <v>4655</v>
      </c>
      <c r="U2444" s="1" t="s">
        <v>8207</v>
      </c>
      <c r="Z2444" s="1" t="s">
        <v>71</v>
      </c>
      <c r="AE2444" s="1" t="s">
        <v>8206</v>
      </c>
      <c r="AH2444" s="1" t="s">
        <v>73</v>
      </c>
      <c r="AK2444" s="1" t="s">
        <v>71</v>
      </c>
      <c r="AM2444" s="1" t="s">
        <v>71</v>
      </c>
      <c r="AN2444" s="1" t="s">
        <v>71</v>
      </c>
      <c r="AS2444" s="1" t="s">
        <v>71</v>
      </c>
      <c r="AX2444" s="1" t="s">
        <v>71</v>
      </c>
      <c r="BH2444" s="1" t="s">
        <v>71</v>
      </c>
    </row>
    <row r="2445" customFormat="false" ht="15" hidden="false" customHeight="false" outlineLevel="0" collapsed="false">
      <c r="A2445" s="1" t="s">
        <v>8209</v>
      </c>
      <c r="B2445" s="1" t="s">
        <v>8210</v>
      </c>
      <c r="C2445" s="1" t="s">
        <v>8204</v>
      </c>
      <c r="D2445" s="1" t="s">
        <v>8205</v>
      </c>
      <c r="E2445" s="1" t="s">
        <v>82</v>
      </c>
      <c r="F2445" s="1" t="s">
        <v>391</v>
      </c>
      <c r="G2445" s="1" t="s">
        <v>213</v>
      </c>
      <c r="H2445" s="1" t="s">
        <v>477</v>
      </c>
      <c r="K2445" s="1" t="s">
        <v>1904</v>
      </c>
      <c r="L2445" s="1" t="s">
        <v>1905</v>
      </c>
      <c r="M2445" s="1" t="s">
        <v>496</v>
      </c>
      <c r="N2445" s="1" t="s">
        <v>608</v>
      </c>
      <c r="O2445" s="1" t="s">
        <v>609</v>
      </c>
      <c r="P2445" s="1" t="s">
        <v>4655</v>
      </c>
      <c r="U2445" s="1" t="s">
        <v>8209</v>
      </c>
      <c r="Z2445" s="1" t="s">
        <v>71</v>
      </c>
      <c r="AE2445" s="1" t="s">
        <v>8206</v>
      </c>
      <c r="AH2445" s="1" t="s">
        <v>73</v>
      </c>
      <c r="AK2445" s="1" t="s">
        <v>71</v>
      </c>
      <c r="AM2445" s="1" t="s">
        <v>71</v>
      </c>
      <c r="AN2445" s="1" t="s">
        <v>71</v>
      </c>
      <c r="AS2445" s="1" t="s">
        <v>71</v>
      </c>
      <c r="AX2445" s="1" t="s">
        <v>71</v>
      </c>
      <c r="BH2445" s="1" t="s">
        <v>71</v>
      </c>
    </row>
    <row r="2446" customFormat="false" ht="15" hidden="false" customHeight="false" outlineLevel="0" collapsed="false">
      <c r="A2446" s="1" t="s">
        <v>8211</v>
      </c>
      <c r="B2446" s="1" t="s">
        <v>8212</v>
      </c>
      <c r="C2446" s="1" t="s">
        <v>8204</v>
      </c>
      <c r="D2446" s="1" t="s">
        <v>8205</v>
      </c>
      <c r="E2446" s="1" t="s">
        <v>82</v>
      </c>
      <c r="F2446" s="1" t="s">
        <v>391</v>
      </c>
      <c r="G2446" s="1" t="s">
        <v>213</v>
      </c>
      <c r="H2446" s="1" t="s">
        <v>477</v>
      </c>
      <c r="K2446" s="1" t="s">
        <v>1904</v>
      </c>
      <c r="L2446" s="1" t="s">
        <v>1905</v>
      </c>
      <c r="M2446" s="1" t="s">
        <v>496</v>
      </c>
      <c r="N2446" s="1" t="s">
        <v>608</v>
      </c>
      <c r="O2446" s="1" t="s">
        <v>609</v>
      </c>
      <c r="P2446" s="1" t="s">
        <v>4655</v>
      </c>
      <c r="U2446" s="1" t="s">
        <v>8211</v>
      </c>
      <c r="Z2446" s="1" t="s">
        <v>71</v>
      </c>
      <c r="AE2446" s="1" t="s">
        <v>8206</v>
      </c>
      <c r="AH2446" s="1" t="s">
        <v>73</v>
      </c>
      <c r="AK2446" s="1" t="s">
        <v>71</v>
      </c>
      <c r="AM2446" s="1" t="s">
        <v>71</v>
      </c>
      <c r="AN2446" s="1" t="s">
        <v>71</v>
      </c>
      <c r="AS2446" s="1" t="s">
        <v>71</v>
      </c>
      <c r="AX2446" s="1" t="s">
        <v>71</v>
      </c>
      <c r="BH2446" s="1" t="s">
        <v>71</v>
      </c>
    </row>
    <row r="2447" customFormat="false" ht="15" hidden="false" customHeight="false" outlineLevel="0" collapsed="false">
      <c r="A2447" s="1" t="s">
        <v>8213</v>
      </c>
      <c r="B2447" s="1" t="s">
        <v>8214</v>
      </c>
      <c r="C2447" s="1" t="s">
        <v>8204</v>
      </c>
      <c r="D2447" s="1" t="s">
        <v>8205</v>
      </c>
      <c r="E2447" s="1" t="s">
        <v>82</v>
      </c>
      <c r="F2447" s="1" t="s">
        <v>391</v>
      </c>
      <c r="G2447" s="1" t="s">
        <v>213</v>
      </c>
      <c r="H2447" s="1" t="s">
        <v>477</v>
      </c>
      <c r="K2447" s="1" t="s">
        <v>1904</v>
      </c>
      <c r="L2447" s="1" t="s">
        <v>1905</v>
      </c>
      <c r="M2447" s="1" t="s">
        <v>496</v>
      </c>
      <c r="N2447" s="1" t="s">
        <v>608</v>
      </c>
      <c r="O2447" s="1" t="s">
        <v>609</v>
      </c>
      <c r="P2447" s="1" t="s">
        <v>4655</v>
      </c>
      <c r="U2447" s="1" t="s">
        <v>8213</v>
      </c>
      <c r="Z2447" s="1" t="s">
        <v>71</v>
      </c>
      <c r="AE2447" s="1" t="s">
        <v>8206</v>
      </c>
      <c r="AH2447" s="1" t="s">
        <v>73</v>
      </c>
      <c r="AK2447" s="1" t="s">
        <v>71</v>
      </c>
      <c r="AM2447" s="1" t="s">
        <v>71</v>
      </c>
      <c r="AN2447" s="1" t="s">
        <v>71</v>
      </c>
      <c r="AS2447" s="1" t="s">
        <v>71</v>
      </c>
      <c r="AX2447" s="1" t="s">
        <v>71</v>
      </c>
      <c r="BH2447" s="1" t="s">
        <v>71</v>
      </c>
    </row>
    <row r="2448" customFormat="false" ht="15" hidden="false" customHeight="false" outlineLevel="0" collapsed="false">
      <c r="A2448" s="1" t="s">
        <v>8215</v>
      </c>
      <c r="B2448" s="1" t="s">
        <v>8216</v>
      </c>
      <c r="C2448" s="1" t="s">
        <v>8204</v>
      </c>
      <c r="D2448" s="1" t="s">
        <v>8205</v>
      </c>
      <c r="E2448" s="1" t="s">
        <v>82</v>
      </c>
      <c r="F2448" s="1" t="s">
        <v>391</v>
      </c>
      <c r="G2448" s="1" t="s">
        <v>213</v>
      </c>
      <c r="H2448" s="1" t="s">
        <v>477</v>
      </c>
      <c r="K2448" s="1" t="s">
        <v>1904</v>
      </c>
      <c r="L2448" s="1" t="s">
        <v>1905</v>
      </c>
      <c r="M2448" s="1" t="s">
        <v>496</v>
      </c>
      <c r="N2448" s="1" t="s">
        <v>608</v>
      </c>
      <c r="O2448" s="1" t="s">
        <v>609</v>
      </c>
      <c r="P2448" s="1" t="s">
        <v>4655</v>
      </c>
      <c r="U2448" s="1" t="s">
        <v>2919</v>
      </c>
      <c r="Z2448" s="1" t="s">
        <v>71</v>
      </c>
      <c r="AE2448" s="1" t="s">
        <v>8206</v>
      </c>
      <c r="AH2448" s="1" t="s">
        <v>73</v>
      </c>
      <c r="AK2448" s="1" t="s">
        <v>71</v>
      </c>
      <c r="AM2448" s="1" t="s">
        <v>71</v>
      </c>
      <c r="AN2448" s="1" t="s">
        <v>71</v>
      </c>
      <c r="AS2448" s="1" t="s">
        <v>71</v>
      </c>
      <c r="AX2448" s="1" t="s">
        <v>71</v>
      </c>
      <c r="BH2448" s="1" t="s">
        <v>71</v>
      </c>
    </row>
    <row r="2449" customFormat="false" ht="15" hidden="false" customHeight="false" outlineLevel="0" collapsed="false">
      <c r="A2449" s="1" t="s">
        <v>8217</v>
      </c>
      <c r="B2449" s="1" t="s">
        <v>8218</v>
      </c>
      <c r="C2449" s="1" t="s">
        <v>5504</v>
      </c>
      <c r="D2449" s="1" t="s">
        <v>5505</v>
      </c>
      <c r="E2449" s="1" t="s">
        <v>61</v>
      </c>
      <c r="F2449" s="1" t="s">
        <v>101</v>
      </c>
      <c r="G2449" s="1" t="s">
        <v>275</v>
      </c>
      <c r="H2449" s="1" t="s">
        <v>276</v>
      </c>
      <c r="K2449" s="1" t="s">
        <v>657</v>
      </c>
      <c r="L2449" s="1" t="s">
        <v>5279</v>
      </c>
      <c r="M2449" s="1" t="s">
        <v>296</v>
      </c>
      <c r="N2449" s="1" t="s">
        <v>5892</v>
      </c>
      <c r="O2449" s="1" t="s">
        <v>5893</v>
      </c>
      <c r="P2449" s="1" t="s">
        <v>5894</v>
      </c>
      <c r="U2449" s="1" t="s">
        <v>8217</v>
      </c>
      <c r="Z2449" s="1" t="s">
        <v>71</v>
      </c>
      <c r="AE2449" s="1" t="s">
        <v>8206</v>
      </c>
      <c r="AH2449" s="1" t="s">
        <v>73</v>
      </c>
      <c r="AK2449" s="1" t="s">
        <v>71</v>
      </c>
      <c r="AM2449" s="1" t="s">
        <v>71</v>
      </c>
      <c r="AN2449" s="1" t="s">
        <v>71</v>
      </c>
      <c r="AS2449" s="1" t="s">
        <v>71</v>
      </c>
      <c r="AX2449" s="1" t="s">
        <v>71</v>
      </c>
      <c r="AY2449" s="1" t="s">
        <v>59</v>
      </c>
      <c r="AZ2449" s="1" t="s">
        <v>74</v>
      </c>
      <c r="BH2449" s="1" t="s">
        <v>71</v>
      </c>
    </row>
    <row r="2450" customFormat="false" ht="15" hidden="false" customHeight="false" outlineLevel="0" collapsed="false">
      <c r="A2450" s="1" t="s">
        <v>8219</v>
      </c>
      <c r="B2450" s="1" t="s">
        <v>8220</v>
      </c>
      <c r="C2450" s="1" t="s">
        <v>5504</v>
      </c>
      <c r="D2450" s="1" t="s">
        <v>5505</v>
      </c>
      <c r="E2450" s="1" t="s">
        <v>61</v>
      </c>
      <c r="F2450" s="1" t="s">
        <v>101</v>
      </c>
      <c r="G2450" s="1" t="s">
        <v>275</v>
      </c>
      <c r="H2450" s="1" t="s">
        <v>276</v>
      </c>
      <c r="K2450" s="1" t="s">
        <v>5357</v>
      </c>
      <c r="L2450" s="1" t="s">
        <v>5358</v>
      </c>
      <c r="M2450" s="1" t="s">
        <v>296</v>
      </c>
      <c r="N2450" s="1" t="s">
        <v>1470</v>
      </c>
      <c r="O2450" s="1" t="s">
        <v>1471</v>
      </c>
      <c r="P2450" s="1" t="s">
        <v>4824</v>
      </c>
      <c r="U2450" s="1" t="s">
        <v>8219</v>
      </c>
      <c r="Z2450" s="1" t="s">
        <v>71</v>
      </c>
      <c r="AE2450" s="1" t="s">
        <v>8206</v>
      </c>
      <c r="AH2450" s="1" t="s">
        <v>73</v>
      </c>
      <c r="AK2450" s="1" t="s">
        <v>71</v>
      </c>
      <c r="AM2450" s="1" t="s">
        <v>71</v>
      </c>
      <c r="AN2450" s="1" t="s">
        <v>71</v>
      </c>
      <c r="AS2450" s="1" t="s">
        <v>71</v>
      </c>
      <c r="AX2450" s="1" t="s">
        <v>71</v>
      </c>
      <c r="AY2450" s="1" t="s">
        <v>59</v>
      </c>
      <c r="AZ2450" s="1" t="s">
        <v>74</v>
      </c>
      <c r="BH2450" s="1" t="s">
        <v>71</v>
      </c>
    </row>
    <row r="2451" customFormat="false" ht="15" hidden="false" customHeight="false" outlineLevel="0" collapsed="false">
      <c r="A2451" s="1" t="s">
        <v>8221</v>
      </c>
      <c r="B2451" s="1" t="s">
        <v>8222</v>
      </c>
      <c r="C2451" s="1" t="s">
        <v>5504</v>
      </c>
      <c r="D2451" s="1" t="s">
        <v>5505</v>
      </c>
      <c r="E2451" s="1" t="s">
        <v>61</v>
      </c>
      <c r="F2451" s="1" t="s">
        <v>101</v>
      </c>
      <c r="G2451" s="1" t="s">
        <v>275</v>
      </c>
      <c r="H2451" s="1" t="s">
        <v>276</v>
      </c>
      <c r="K2451" s="1" t="s">
        <v>159</v>
      </c>
      <c r="L2451" s="1" t="s">
        <v>6957</v>
      </c>
      <c r="M2451" s="1" t="s">
        <v>296</v>
      </c>
      <c r="N2451" s="1" t="s">
        <v>1470</v>
      </c>
      <c r="O2451" s="1" t="s">
        <v>1471</v>
      </c>
      <c r="P2451" s="1" t="s">
        <v>4824</v>
      </c>
      <c r="U2451" s="1" t="s">
        <v>8221</v>
      </c>
      <c r="Z2451" s="1" t="s">
        <v>71</v>
      </c>
      <c r="AE2451" s="1" t="s">
        <v>8206</v>
      </c>
      <c r="AH2451" s="1" t="s">
        <v>73</v>
      </c>
      <c r="AK2451" s="1" t="s">
        <v>71</v>
      </c>
      <c r="AM2451" s="1" t="s">
        <v>71</v>
      </c>
      <c r="AN2451" s="1" t="s">
        <v>71</v>
      </c>
      <c r="AS2451" s="1" t="s">
        <v>71</v>
      </c>
      <c r="AX2451" s="1" t="s">
        <v>71</v>
      </c>
      <c r="AY2451" s="1" t="s">
        <v>59</v>
      </c>
      <c r="AZ2451" s="1" t="s">
        <v>74</v>
      </c>
      <c r="BH2451" s="1" t="s">
        <v>71</v>
      </c>
    </row>
    <row r="2452" customFormat="false" ht="15" hidden="false" customHeight="false" outlineLevel="0" collapsed="false">
      <c r="A2452" s="1" t="s">
        <v>8223</v>
      </c>
      <c r="B2452" s="1" t="s">
        <v>8224</v>
      </c>
      <c r="C2452" s="1" t="s">
        <v>2146</v>
      </c>
      <c r="D2452" s="1" t="s">
        <v>7457</v>
      </c>
      <c r="E2452" s="1" t="s">
        <v>61</v>
      </c>
      <c r="F2452" s="1" t="s">
        <v>101</v>
      </c>
      <c r="G2452" s="1" t="s">
        <v>93</v>
      </c>
      <c r="H2452" s="1" t="s">
        <v>64</v>
      </c>
      <c r="K2452" s="1" t="s">
        <v>163</v>
      </c>
      <c r="L2452" s="1" t="s">
        <v>164</v>
      </c>
      <c r="M2452" s="1" t="s">
        <v>104</v>
      </c>
      <c r="N2452" s="1" t="s">
        <v>203</v>
      </c>
      <c r="O2452" s="1" t="s">
        <v>204</v>
      </c>
      <c r="P2452" s="1" t="s">
        <v>3536</v>
      </c>
      <c r="U2452" s="1" t="s">
        <v>8223</v>
      </c>
      <c r="Z2452" s="1" t="s">
        <v>71</v>
      </c>
      <c r="AE2452" s="1" t="s">
        <v>8225</v>
      </c>
      <c r="AH2452" s="1" t="s">
        <v>73</v>
      </c>
      <c r="AK2452" s="1" t="s">
        <v>71</v>
      </c>
      <c r="AM2452" s="1" t="s">
        <v>71</v>
      </c>
      <c r="AN2452" s="1" t="s">
        <v>71</v>
      </c>
      <c r="AS2452" s="1" t="s">
        <v>71</v>
      </c>
      <c r="AX2452" s="1" t="s">
        <v>71</v>
      </c>
      <c r="AY2452" s="1" t="s">
        <v>59</v>
      </c>
      <c r="AZ2452" s="1" t="s">
        <v>74</v>
      </c>
      <c r="BH2452" s="1" t="s">
        <v>71</v>
      </c>
    </row>
    <row r="2453" customFormat="false" ht="15" hidden="false" customHeight="false" outlineLevel="0" collapsed="false">
      <c r="A2453" s="1" t="s">
        <v>8226</v>
      </c>
      <c r="B2453" s="1" t="s">
        <v>8227</v>
      </c>
      <c r="C2453" s="1" t="s">
        <v>2400</v>
      </c>
      <c r="D2453" s="1" t="s">
        <v>8228</v>
      </c>
      <c r="E2453" s="1" t="s">
        <v>61</v>
      </c>
      <c r="F2453" s="1" t="s">
        <v>101</v>
      </c>
      <c r="G2453" s="1" t="s">
        <v>275</v>
      </c>
      <c r="H2453" s="1" t="s">
        <v>276</v>
      </c>
      <c r="K2453" s="1" t="s">
        <v>126</v>
      </c>
      <c r="L2453" s="1" t="s">
        <v>4894</v>
      </c>
      <c r="M2453" s="1" t="s">
        <v>258</v>
      </c>
      <c r="N2453" s="1" t="s">
        <v>5904</v>
      </c>
      <c r="O2453" s="1" t="s">
        <v>5905</v>
      </c>
      <c r="P2453" s="1" t="s">
        <v>5906</v>
      </c>
      <c r="U2453" s="1" t="s">
        <v>8226</v>
      </c>
      <c r="Z2453" s="1" t="s">
        <v>71</v>
      </c>
      <c r="AE2453" s="1" t="s">
        <v>8229</v>
      </c>
      <c r="AH2453" s="1" t="s">
        <v>73</v>
      </c>
      <c r="AK2453" s="1" t="s">
        <v>71</v>
      </c>
      <c r="AM2453" s="1" t="s">
        <v>71</v>
      </c>
      <c r="AN2453" s="1" t="s">
        <v>71</v>
      </c>
      <c r="AS2453" s="1" t="s">
        <v>71</v>
      </c>
      <c r="AX2453" s="1" t="s">
        <v>71</v>
      </c>
      <c r="AY2453" s="1" t="s">
        <v>59</v>
      </c>
      <c r="AZ2453" s="1" t="s">
        <v>74</v>
      </c>
      <c r="BH2453" s="1" t="s">
        <v>71</v>
      </c>
    </row>
    <row r="2454" customFormat="false" ht="15" hidden="false" customHeight="false" outlineLevel="0" collapsed="false">
      <c r="A2454" s="1" t="s">
        <v>8230</v>
      </c>
      <c r="B2454" s="1" t="s">
        <v>8231</v>
      </c>
      <c r="C2454" s="1" t="s">
        <v>2412</v>
      </c>
      <c r="D2454" s="1" t="s">
        <v>8232</v>
      </c>
      <c r="E2454" s="1" t="s">
        <v>61</v>
      </c>
      <c r="F2454" s="1" t="s">
        <v>101</v>
      </c>
      <c r="G2454" s="1" t="s">
        <v>148</v>
      </c>
      <c r="H2454" s="1" t="s">
        <v>231</v>
      </c>
      <c r="K2454" s="1" t="s">
        <v>1335</v>
      </c>
      <c r="L2454" s="1" t="s">
        <v>1336</v>
      </c>
      <c r="M2454" s="1" t="s">
        <v>242</v>
      </c>
      <c r="N2454" s="1" t="s">
        <v>243</v>
      </c>
      <c r="O2454" s="1" t="s">
        <v>244</v>
      </c>
      <c r="P2454" s="1" t="s">
        <v>3503</v>
      </c>
      <c r="U2454" s="1" t="s">
        <v>8230</v>
      </c>
      <c r="Z2454" s="1" t="s">
        <v>71</v>
      </c>
      <c r="AE2454" s="1" t="s">
        <v>8233</v>
      </c>
      <c r="AH2454" s="1" t="s">
        <v>73</v>
      </c>
      <c r="AK2454" s="1" t="s">
        <v>71</v>
      </c>
      <c r="AM2454" s="1" t="s">
        <v>71</v>
      </c>
      <c r="AN2454" s="1" t="s">
        <v>71</v>
      </c>
      <c r="AS2454" s="1" t="s">
        <v>71</v>
      </c>
      <c r="AX2454" s="1" t="s">
        <v>71</v>
      </c>
      <c r="AY2454" s="1" t="s">
        <v>59</v>
      </c>
      <c r="AZ2454" s="1" t="s">
        <v>74</v>
      </c>
      <c r="BH2454" s="1" t="s">
        <v>71</v>
      </c>
    </row>
    <row r="2455" customFormat="false" ht="15" hidden="false" customHeight="false" outlineLevel="0" collapsed="false">
      <c r="A2455" s="1" t="s">
        <v>8234</v>
      </c>
      <c r="B2455" s="1" t="s">
        <v>8235</v>
      </c>
      <c r="C2455" s="1" t="s">
        <v>2412</v>
      </c>
      <c r="D2455" s="1" t="s">
        <v>8232</v>
      </c>
      <c r="E2455" s="1" t="s">
        <v>61</v>
      </c>
      <c r="F2455" s="1" t="s">
        <v>101</v>
      </c>
      <c r="G2455" s="1" t="s">
        <v>148</v>
      </c>
      <c r="H2455" s="1" t="s">
        <v>231</v>
      </c>
      <c r="K2455" s="1" t="s">
        <v>240</v>
      </c>
      <c r="L2455" s="1" t="s">
        <v>241</v>
      </c>
      <c r="M2455" s="1" t="s">
        <v>242</v>
      </c>
      <c r="N2455" s="1" t="s">
        <v>375</v>
      </c>
      <c r="O2455" s="1" t="s">
        <v>376</v>
      </c>
      <c r="P2455" s="1" t="s">
        <v>5536</v>
      </c>
      <c r="U2455" s="1" t="s">
        <v>8234</v>
      </c>
      <c r="Z2455" s="1" t="s">
        <v>71</v>
      </c>
      <c r="AE2455" s="1" t="s">
        <v>8236</v>
      </c>
      <c r="AH2455" s="1" t="s">
        <v>73</v>
      </c>
      <c r="AK2455" s="1" t="s">
        <v>71</v>
      </c>
      <c r="AM2455" s="1" t="s">
        <v>71</v>
      </c>
      <c r="AN2455" s="1" t="s">
        <v>71</v>
      </c>
      <c r="AS2455" s="1" t="s">
        <v>71</v>
      </c>
      <c r="AX2455" s="1" t="s">
        <v>71</v>
      </c>
      <c r="AY2455" s="1" t="s">
        <v>59</v>
      </c>
      <c r="AZ2455" s="1" t="s">
        <v>74</v>
      </c>
      <c r="BH2455" s="1" t="s">
        <v>71</v>
      </c>
    </row>
    <row r="2456" customFormat="false" ht="15" hidden="false" customHeight="false" outlineLevel="0" collapsed="false">
      <c r="A2456" s="1" t="s">
        <v>8237</v>
      </c>
      <c r="B2456" s="1" t="s">
        <v>8238</v>
      </c>
      <c r="C2456" s="1" t="s">
        <v>2412</v>
      </c>
      <c r="D2456" s="1" t="s">
        <v>8232</v>
      </c>
      <c r="E2456" s="1" t="s">
        <v>61</v>
      </c>
      <c r="F2456" s="1" t="s">
        <v>101</v>
      </c>
      <c r="G2456" s="1" t="s">
        <v>148</v>
      </c>
      <c r="H2456" s="1" t="s">
        <v>231</v>
      </c>
      <c r="K2456" s="1" t="s">
        <v>168</v>
      </c>
      <c r="L2456" s="1" t="s">
        <v>1423</v>
      </c>
      <c r="M2456" s="1" t="s">
        <v>242</v>
      </c>
      <c r="N2456" s="1" t="s">
        <v>1424</v>
      </c>
      <c r="O2456" s="1" t="s">
        <v>1425</v>
      </c>
      <c r="P2456" s="1" t="s">
        <v>8239</v>
      </c>
      <c r="U2456" s="1" t="s">
        <v>8237</v>
      </c>
      <c r="Z2456" s="1" t="s">
        <v>71</v>
      </c>
      <c r="AE2456" s="1" t="s">
        <v>8236</v>
      </c>
      <c r="AH2456" s="1" t="s">
        <v>73</v>
      </c>
      <c r="AK2456" s="1" t="s">
        <v>71</v>
      </c>
      <c r="AM2456" s="1" t="s">
        <v>71</v>
      </c>
      <c r="AN2456" s="1" t="s">
        <v>71</v>
      </c>
      <c r="AS2456" s="1" t="s">
        <v>71</v>
      </c>
      <c r="AX2456" s="1" t="s">
        <v>71</v>
      </c>
      <c r="AY2456" s="1" t="s">
        <v>59</v>
      </c>
      <c r="AZ2456" s="1" t="s">
        <v>74</v>
      </c>
      <c r="BH2456" s="1" t="s">
        <v>71</v>
      </c>
    </row>
    <row r="2457" customFormat="false" ht="15" hidden="false" customHeight="false" outlineLevel="0" collapsed="false">
      <c r="A2457" s="1" t="s">
        <v>8240</v>
      </c>
      <c r="B2457" s="1" t="s">
        <v>8241</v>
      </c>
      <c r="C2457" s="1" t="s">
        <v>2412</v>
      </c>
      <c r="D2457" s="1" t="s">
        <v>8232</v>
      </c>
      <c r="E2457" s="1" t="s">
        <v>61</v>
      </c>
      <c r="F2457" s="1" t="s">
        <v>101</v>
      </c>
      <c r="G2457" s="1" t="s">
        <v>148</v>
      </c>
      <c r="H2457" s="1" t="s">
        <v>231</v>
      </c>
      <c r="K2457" s="1" t="s">
        <v>1419</v>
      </c>
      <c r="L2457" s="1" t="s">
        <v>1420</v>
      </c>
      <c r="M2457" s="1" t="s">
        <v>242</v>
      </c>
      <c r="N2457" s="1" t="s">
        <v>243</v>
      </c>
      <c r="O2457" s="1" t="s">
        <v>244</v>
      </c>
      <c r="P2457" s="1" t="s">
        <v>3503</v>
      </c>
      <c r="U2457" s="1" t="s">
        <v>8240</v>
      </c>
      <c r="Z2457" s="1" t="s">
        <v>71</v>
      </c>
      <c r="AE2457" s="1" t="s">
        <v>8236</v>
      </c>
      <c r="AH2457" s="1" t="s">
        <v>73</v>
      </c>
      <c r="AK2457" s="1" t="s">
        <v>71</v>
      </c>
      <c r="AM2457" s="1" t="s">
        <v>71</v>
      </c>
      <c r="AN2457" s="1" t="s">
        <v>71</v>
      </c>
      <c r="AS2457" s="1" t="s">
        <v>71</v>
      </c>
      <c r="AX2457" s="1" t="s">
        <v>71</v>
      </c>
      <c r="AY2457" s="1" t="s">
        <v>59</v>
      </c>
      <c r="AZ2457" s="1" t="s">
        <v>74</v>
      </c>
      <c r="BH2457" s="1" t="s">
        <v>71</v>
      </c>
    </row>
    <row r="2458" customFormat="false" ht="15" hidden="false" customHeight="false" outlineLevel="0" collapsed="false">
      <c r="A2458" s="1" t="s">
        <v>8242</v>
      </c>
      <c r="B2458" s="1" t="s">
        <v>8243</v>
      </c>
      <c r="C2458" s="1" t="s">
        <v>2412</v>
      </c>
      <c r="D2458" s="1" t="s">
        <v>8232</v>
      </c>
      <c r="E2458" s="1" t="s">
        <v>65</v>
      </c>
      <c r="F2458" s="1" t="s">
        <v>119</v>
      </c>
      <c r="G2458" s="1" t="s">
        <v>61</v>
      </c>
      <c r="H2458" s="1" t="s">
        <v>231</v>
      </c>
      <c r="K2458" s="1" t="s">
        <v>1385</v>
      </c>
      <c r="L2458" s="1" t="s">
        <v>1386</v>
      </c>
      <c r="M2458" s="1" t="s">
        <v>258</v>
      </c>
      <c r="N2458" s="1" t="s">
        <v>1388</v>
      </c>
      <c r="O2458" s="1" t="s">
        <v>1389</v>
      </c>
      <c r="P2458" s="1" t="s">
        <v>5676</v>
      </c>
      <c r="U2458" s="1" t="s">
        <v>8242</v>
      </c>
      <c r="Z2458" s="1" t="s">
        <v>71</v>
      </c>
      <c r="AE2458" s="1" t="s">
        <v>8236</v>
      </c>
      <c r="AH2458" s="1" t="s">
        <v>73</v>
      </c>
      <c r="AK2458" s="1" t="s">
        <v>71</v>
      </c>
      <c r="AM2458" s="1" t="s">
        <v>71</v>
      </c>
      <c r="AN2458" s="1" t="s">
        <v>71</v>
      </c>
      <c r="AS2458" s="1" t="s">
        <v>71</v>
      </c>
      <c r="AX2458" s="1" t="s">
        <v>71</v>
      </c>
      <c r="AY2458" s="1" t="s">
        <v>59</v>
      </c>
      <c r="AZ2458" s="1" t="s">
        <v>74</v>
      </c>
      <c r="BH2458" s="1" t="s">
        <v>71</v>
      </c>
    </row>
    <row r="2459" customFormat="false" ht="15" hidden="false" customHeight="false" outlineLevel="0" collapsed="false">
      <c r="A2459" s="1" t="s">
        <v>8244</v>
      </c>
      <c r="B2459" s="1" t="s">
        <v>8245</v>
      </c>
      <c r="C2459" s="1" t="s">
        <v>2412</v>
      </c>
      <c r="D2459" s="1" t="s">
        <v>8232</v>
      </c>
      <c r="E2459" s="1" t="s">
        <v>65</v>
      </c>
      <c r="F2459" s="1" t="s">
        <v>119</v>
      </c>
      <c r="G2459" s="1" t="s">
        <v>88</v>
      </c>
      <c r="H2459" s="1" t="s">
        <v>255</v>
      </c>
      <c r="K2459" s="1" t="s">
        <v>256</v>
      </c>
      <c r="L2459" s="1" t="s">
        <v>257</v>
      </c>
      <c r="M2459" s="1" t="s">
        <v>242</v>
      </c>
      <c r="N2459" s="1" t="s">
        <v>259</v>
      </c>
      <c r="O2459" s="1" t="s">
        <v>260</v>
      </c>
      <c r="P2459" s="1" t="s">
        <v>3768</v>
      </c>
      <c r="U2459" s="1" t="s">
        <v>8244</v>
      </c>
      <c r="Z2459" s="1" t="s">
        <v>71</v>
      </c>
      <c r="AE2459" s="1" t="s">
        <v>8236</v>
      </c>
      <c r="AH2459" s="1" t="s">
        <v>73</v>
      </c>
      <c r="AK2459" s="1" t="s">
        <v>71</v>
      </c>
      <c r="AM2459" s="1" t="s">
        <v>71</v>
      </c>
      <c r="AN2459" s="1" t="s">
        <v>71</v>
      </c>
      <c r="AS2459" s="1" t="s">
        <v>71</v>
      </c>
      <c r="AX2459" s="1" t="s">
        <v>71</v>
      </c>
      <c r="AY2459" s="1" t="s">
        <v>59</v>
      </c>
      <c r="AZ2459" s="1" t="s">
        <v>74</v>
      </c>
      <c r="BH2459" s="1" t="s">
        <v>71</v>
      </c>
    </row>
    <row r="2460" customFormat="false" ht="15" hidden="false" customHeight="false" outlineLevel="0" collapsed="false">
      <c r="A2460" s="1" t="s">
        <v>8246</v>
      </c>
      <c r="B2460" s="1" t="s">
        <v>8247</v>
      </c>
      <c r="C2460" s="1" t="s">
        <v>182</v>
      </c>
      <c r="D2460" s="1" t="s">
        <v>239</v>
      </c>
      <c r="E2460" s="1" t="s">
        <v>61</v>
      </c>
      <c r="F2460" s="1" t="s">
        <v>101</v>
      </c>
      <c r="G2460" s="1" t="s">
        <v>275</v>
      </c>
      <c r="H2460" s="1" t="s">
        <v>276</v>
      </c>
      <c r="K2460" s="1" t="s">
        <v>657</v>
      </c>
      <c r="L2460" s="1" t="s">
        <v>5279</v>
      </c>
      <c r="M2460" s="1" t="s">
        <v>6813</v>
      </c>
      <c r="N2460" s="1" t="s">
        <v>5892</v>
      </c>
      <c r="O2460" s="1" t="s">
        <v>5893</v>
      </c>
      <c r="P2460" s="1" t="s">
        <v>5894</v>
      </c>
      <c r="U2460" s="1" t="s">
        <v>8246</v>
      </c>
      <c r="Z2460" s="1" t="s">
        <v>71</v>
      </c>
      <c r="AE2460" s="1" t="s">
        <v>8248</v>
      </c>
      <c r="AH2460" s="1" t="s">
        <v>73</v>
      </c>
      <c r="AK2460" s="1" t="s">
        <v>71</v>
      </c>
      <c r="AM2460" s="1" t="s">
        <v>71</v>
      </c>
      <c r="AN2460" s="1" t="s">
        <v>71</v>
      </c>
      <c r="AS2460" s="1" t="s">
        <v>71</v>
      </c>
      <c r="AX2460" s="1" t="s">
        <v>71</v>
      </c>
      <c r="AY2460" s="1" t="s">
        <v>59</v>
      </c>
      <c r="AZ2460" s="1" t="s">
        <v>74</v>
      </c>
      <c r="BH2460" s="1" t="s">
        <v>71</v>
      </c>
    </row>
    <row r="2461" customFormat="false" ht="15" hidden="false" customHeight="false" outlineLevel="0" collapsed="false">
      <c r="A2461" s="1" t="s">
        <v>8249</v>
      </c>
      <c r="B2461" s="1" t="s">
        <v>8250</v>
      </c>
      <c r="C2461" s="1" t="s">
        <v>8251</v>
      </c>
      <c r="D2461" s="1" t="s">
        <v>8252</v>
      </c>
      <c r="E2461" s="1" t="s">
        <v>82</v>
      </c>
      <c r="F2461" s="1" t="s">
        <v>391</v>
      </c>
      <c r="G2461" s="1" t="s">
        <v>182</v>
      </c>
      <c r="H2461" s="1" t="s">
        <v>392</v>
      </c>
      <c r="K2461" s="1" t="s">
        <v>65</v>
      </c>
      <c r="L2461" s="1" t="s">
        <v>517</v>
      </c>
      <c r="M2461" s="1" t="s">
        <v>496</v>
      </c>
      <c r="N2461" s="1" t="s">
        <v>3697</v>
      </c>
      <c r="O2461" s="1" t="s">
        <v>3698</v>
      </c>
      <c r="P2461" s="1" t="s">
        <v>3699</v>
      </c>
      <c r="U2461" s="1" t="s">
        <v>8249</v>
      </c>
      <c r="Z2461" s="1" t="s">
        <v>71</v>
      </c>
      <c r="AE2461" s="1" t="s">
        <v>8253</v>
      </c>
      <c r="AH2461" s="1" t="s">
        <v>73</v>
      </c>
      <c r="AK2461" s="1" t="s">
        <v>71</v>
      </c>
      <c r="AM2461" s="1" t="s">
        <v>71</v>
      </c>
      <c r="AN2461" s="1" t="s">
        <v>71</v>
      </c>
      <c r="AS2461" s="1" t="s">
        <v>71</v>
      </c>
      <c r="AX2461" s="1" t="s">
        <v>71</v>
      </c>
      <c r="BH2461" s="1" t="s">
        <v>71</v>
      </c>
    </row>
    <row r="2462" customFormat="false" ht="15" hidden="false" customHeight="false" outlineLevel="0" collapsed="false">
      <c r="A2462" s="1" t="s">
        <v>8254</v>
      </c>
      <c r="B2462" s="1" t="s">
        <v>8255</v>
      </c>
      <c r="C2462" s="1" t="s">
        <v>2267</v>
      </c>
      <c r="D2462" s="1" t="s">
        <v>8256</v>
      </c>
      <c r="E2462" s="1" t="s">
        <v>88</v>
      </c>
      <c r="F2462" s="1" t="s">
        <v>432</v>
      </c>
      <c r="G2462" s="1" t="s">
        <v>283</v>
      </c>
      <c r="H2462" s="1" t="s">
        <v>2652</v>
      </c>
      <c r="K2462" s="1" t="s">
        <v>182</v>
      </c>
      <c r="L2462" s="1" t="s">
        <v>6187</v>
      </c>
      <c r="M2462" s="1" t="s">
        <v>496</v>
      </c>
      <c r="N2462" s="1" t="s">
        <v>4722</v>
      </c>
      <c r="O2462" s="1" t="s">
        <v>4723</v>
      </c>
      <c r="P2462" s="1" t="s">
        <v>4724</v>
      </c>
      <c r="U2462" s="1" t="s">
        <v>8254</v>
      </c>
      <c r="Z2462" s="1" t="s">
        <v>71</v>
      </c>
      <c r="AE2462" s="1" t="s">
        <v>8253</v>
      </c>
      <c r="AH2462" s="1" t="s">
        <v>73</v>
      </c>
      <c r="AK2462" s="1" t="s">
        <v>71</v>
      </c>
      <c r="AM2462" s="1" t="s">
        <v>71</v>
      </c>
      <c r="AN2462" s="1" t="s">
        <v>71</v>
      </c>
      <c r="AS2462" s="1" t="s">
        <v>71</v>
      </c>
      <c r="AX2462" s="1" t="s">
        <v>71</v>
      </c>
      <c r="BH2462" s="1" t="s">
        <v>71</v>
      </c>
    </row>
    <row r="2463" customFormat="false" ht="15" hidden="false" customHeight="false" outlineLevel="0" collapsed="false">
      <c r="A2463" s="1" t="s">
        <v>8257</v>
      </c>
      <c r="B2463" s="1" t="s">
        <v>8258</v>
      </c>
      <c r="C2463" s="1" t="s">
        <v>2267</v>
      </c>
      <c r="D2463" s="1" t="s">
        <v>8256</v>
      </c>
      <c r="E2463" s="1" t="s">
        <v>88</v>
      </c>
      <c r="F2463" s="1" t="s">
        <v>432</v>
      </c>
      <c r="G2463" s="1" t="s">
        <v>283</v>
      </c>
      <c r="H2463" s="1" t="s">
        <v>2652</v>
      </c>
      <c r="K2463" s="1" t="s">
        <v>182</v>
      </c>
      <c r="L2463" s="1" t="s">
        <v>6187</v>
      </c>
      <c r="M2463" s="1" t="s">
        <v>465</v>
      </c>
      <c r="N2463" s="1" t="s">
        <v>1639</v>
      </c>
      <c r="O2463" s="1" t="s">
        <v>1640</v>
      </c>
      <c r="P2463" s="1" t="s">
        <v>6166</v>
      </c>
      <c r="U2463" s="1" t="s">
        <v>8257</v>
      </c>
      <c r="Z2463" s="1" t="s">
        <v>71</v>
      </c>
      <c r="AE2463" s="1" t="s">
        <v>8253</v>
      </c>
      <c r="AH2463" s="1" t="s">
        <v>73</v>
      </c>
      <c r="AK2463" s="1" t="s">
        <v>71</v>
      </c>
      <c r="AM2463" s="1" t="s">
        <v>71</v>
      </c>
      <c r="AN2463" s="1" t="s">
        <v>71</v>
      </c>
      <c r="AS2463" s="1" t="s">
        <v>71</v>
      </c>
      <c r="AX2463" s="1" t="s">
        <v>71</v>
      </c>
      <c r="BH2463" s="1" t="s">
        <v>71</v>
      </c>
    </row>
    <row r="2464" customFormat="false" ht="15" hidden="false" customHeight="false" outlineLevel="0" collapsed="false">
      <c r="A2464" s="1" t="s">
        <v>8259</v>
      </c>
      <c r="B2464" s="1" t="s">
        <v>8260</v>
      </c>
      <c r="C2464" s="1" t="s">
        <v>1343</v>
      </c>
      <c r="D2464" s="1" t="s">
        <v>1344</v>
      </c>
      <c r="E2464" s="1" t="s">
        <v>82</v>
      </c>
      <c r="F2464" s="1" t="s">
        <v>391</v>
      </c>
      <c r="G2464" s="1" t="s">
        <v>97</v>
      </c>
      <c r="H2464" s="1" t="s">
        <v>406</v>
      </c>
      <c r="K2464" s="1" t="s">
        <v>65</v>
      </c>
      <c r="L2464" s="1" t="s">
        <v>860</v>
      </c>
      <c r="M2464" s="1" t="s">
        <v>8261</v>
      </c>
      <c r="N2464" s="1" t="s">
        <v>105</v>
      </c>
      <c r="O2464" s="1" t="s">
        <v>106</v>
      </c>
      <c r="P2464" s="1" t="s">
        <v>3539</v>
      </c>
      <c r="U2464" s="1" t="s">
        <v>8259</v>
      </c>
      <c r="Z2464" s="1" t="s">
        <v>71</v>
      </c>
      <c r="AE2464" s="1" t="s">
        <v>8253</v>
      </c>
      <c r="AH2464" s="1" t="s">
        <v>73</v>
      </c>
      <c r="AK2464" s="1" t="s">
        <v>71</v>
      </c>
      <c r="AM2464" s="1" t="s">
        <v>71</v>
      </c>
      <c r="AN2464" s="1" t="s">
        <v>71</v>
      </c>
      <c r="AS2464" s="1" t="s">
        <v>71</v>
      </c>
      <c r="AX2464" s="1" t="s">
        <v>71</v>
      </c>
      <c r="BH2464" s="1" t="s">
        <v>71</v>
      </c>
    </row>
    <row r="2465" customFormat="false" ht="15" hidden="false" customHeight="false" outlineLevel="0" collapsed="false">
      <c r="A2465" s="1" t="s">
        <v>8262</v>
      </c>
      <c r="B2465" s="1" t="s">
        <v>8263</v>
      </c>
      <c r="C2465" s="1" t="s">
        <v>1343</v>
      </c>
      <c r="D2465" s="1" t="s">
        <v>1344</v>
      </c>
      <c r="E2465" s="1" t="s">
        <v>82</v>
      </c>
      <c r="F2465" s="1" t="s">
        <v>391</v>
      </c>
      <c r="G2465" s="1" t="s">
        <v>97</v>
      </c>
      <c r="H2465" s="1" t="s">
        <v>406</v>
      </c>
      <c r="K2465" s="1" t="s">
        <v>65</v>
      </c>
      <c r="L2465" s="1" t="s">
        <v>860</v>
      </c>
      <c r="M2465" s="1" t="s">
        <v>8264</v>
      </c>
      <c r="N2465" s="1" t="s">
        <v>105</v>
      </c>
      <c r="O2465" s="1" t="s">
        <v>106</v>
      </c>
      <c r="P2465" s="1" t="s">
        <v>3539</v>
      </c>
      <c r="U2465" s="1" t="s">
        <v>8262</v>
      </c>
      <c r="Z2465" s="1" t="s">
        <v>71</v>
      </c>
      <c r="AE2465" s="1" t="s">
        <v>8253</v>
      </c>
      <c r="AH2465" s="1" t="s">
        <v>73</v>
      </c>
      <c r="AK2465" s="1" t="s">
        <v>71</v>
      </c>
      <c r="AM2465" s="1" t="s">
        <v>71</v>
      </c>
      <c r="AN2465" s="1" t="s">
        <v>71</v>
      </c>
      <c r="AS2465" s="1" t="s">
        <v>71</v>
      </c>
      <c r="AX2465" s="1" t="s">
        <v>71</v>
      </c>
      <c r="BH2465" s="1" t="s">
        <v>71</v>
      </c>
    </row>
    <row r="2466" customFormat="false" ht="15" hidden="false" customHeight="false" outlineLevel="0" collapsed="false">
      <c r="A2466" s="1" t="s">
        <v>8265</v>
      </c>
      <c r="B2466" s="1" t="s">
        <v>8266</v>
      </c>
      <c r="C2466" s="1" t="s">
        <v>5487</v>
      </c>
      <c r="D2466" s="1" t="s">
        <v>5488</v>
      </c>
      <c r="E2466" s="1" t="s">
        <v>61</v>
      </c>
      <c r="F2466" s="1" t="s">
        <v>101</v>
      </c>
      <c r="G2466" s="1" t="s">
        <v>177</v>
      </c>
      <c r="H2466" s="1" t="s">
        <v>255</v>
      </c>
      <c r="K2466" s="1" t="s">
        <v>115</v>
      </c>
      <c r="L2466" s="1" t="s">
        <v>1236</v>
      </c>
      <c r="M2466" s="1" t="s">
        <v>1364</v>
      </c>
      <c r="N2466" s="1" t="s">
        <v>259</v>
      </c>
      <c r="O2466" s="1" t="s">
        <v>260</v>
      </c>
      <c r="P2466" s="1" t="s">
        <v>3768</v>
      </c>
      <c r="U2466" s="1" t="s">
        <v>8265</v>
      </c>
      <c r="Z2466" s="1" t="s">
        <v>71</v>
      </c>
      <c r="AE2466" s="1" t="s">
        <v>8253</v>
      </c>
      <c r="AH2466" s="1" t="s">
        <v>73</v>
      </c>
      <c r="AK2466" s="1" t="s">
        <v>71</v>
      </c>
      <c r="AM2466" s="1" t="s">
        <v>71</v>
      </c>
      <c r="AN2466" s="1" t="s">
        <v>71</v>
      </c>
      <c r="AS2466" s="1" t="s">
        <v>71</v>
      </c>
      <c r="AX2466" s="1" t="s">
        <v>71</v>
      </c>
      <c r="AY2466" s="1" t="s">
        <v>59</v>
      </c>
      <c r="AZ2466" s="1" t="s">
        <v>74</v>
      </c>
      <c r="BH2466" s="1" t="s">
        <v>71</v>
      </c>
    </row>
    <row r="2467" customFormat="false" ht="15" hidden="false" customHeight="false" outlineLevel="0" collapsed="false">
      <c r="A2467" s="1" t="s">
        <v>8267</v>
      </c>
      <c r="B2467" s="1" t="s">
        <v>8268</v>
      </c>
      <c r="C2467" s="1" t="s">
        <v>222</v>
      </c>
      <c r="D2467" s="1" t="s">
        <v>223</v>
      </c>
      <c r="E2467" s="1" t="s">
        <v>61</v>
      </c>
      <c r="F2467" s="1" t="s">
        <v>101</v>
      </c>
      <c r="G2467" s="1" t="s">
        <v>93</v>
      </c>
      <c r="H2467" s="1" t="s">
        <v>64</v>
      </c>
      <c r="K2467" s="1" t="s">
        <v>290</v>
      </c>
      <c r="L2467" s="1" t="s">
        <v>291</v>
      </c>
      <c r="M2467" s="1" t="s">
        <v>828</v>
      </c>
      <c r="N2467" s="1" t="s">
        <v>105</v>
      </c>
      <c r="O2467" s="1" t="s">
        <v>106</v>
      </c>
      <c r="P2467" s="1" t="s">
        <v>3539</v>
      </c>
      <c r="U2467" s="1" t="s">
        <v>8267</v>
      </c>
      <c r="Z2467" s="1" t="s">
        <v>71</v>
      </c>
      <c r="AE2467" s="1" t="s">
        <v>8269</v>
      </c>
      <c r="AH2467" s="1" t="s">
        <v>73</v>
      </c>
      <c r="AK2467" s="1" t="s">
        <v>71</v>
      </c>
      <c r="AM2467" s="1" t="s">
        <v>71</v>
      </c>
      <c r="AN2467" s="1" t="s">
        <v>71</v>
      </c>
      <c r="AS2467" s="1" t="s">
        <v>71</v>
      </c>
      <c r="AX2467" s="1" t="s">
        <v>71</v>
      </c>
      <c r="AY2467" s="1" t="s">
        <v>59</v>
      </c>
      <c r="AZ2467" s="1" t="s">
        <v>74</v>
      </c>
      <c r="BH2467" s="1" t="s">
        <v>71</v>
      </c>
    </row>
    <row r="2468" customFormat="false" ht="15" hidden="false" customHeight="false" outlineLevel="0" collapsed="false">
      <c r="A2468" s="1" t="s">
        <v>8270</v>
      </c>
      <c r="B2468" s="1" t="s">
        <v>8271</v>
      </c>
      <c r="C2468" s="1" t="s">
        <v>222</v>
      </c>
      <c r="D2468" s="1" t="s">
        <v>223</v>
      </c>
      <c r="E2468" s="1" t="s">
        <v>61</v>
      </c>
      <c r="F2468" s="1" t="s">
        <v>101</v>
      </c>
      <c r="G2468" s="1" t="s">
        <v>93</v>
      </c>
      <c r="H2468" s="1" t="s">
        <v>64</v>
      </c>
      <c r="K2468" s="1" t="s">
        <v>126</v>
      </c>
      <c r="L2468" s="1" t="s">
        <v>335</v>
      </c>
      <c r="M2468" s="1" t="s">
        <v>1555</v>
      </c>
      <c r="N2468" s="1" t="s">
        <v>105</v>
      </c>
      <c r="O2468" s="1" t="s">
        <v>106</v>
      </c>
      <c r="P2468" s="1" t="s">
        <v>3539</v>
      </c>
      <c r="U2468" s="1" t="s">
        <v>8270</v>
      </c>
      <c r="Z2468" s="1" t="s">
        <v>71</v>
      </c>
      <c r="AE2468" s="1" t="s">
        <v>8269</v>
      </c>
      <c r="AH2468" s="1" t="s">
        <v>73</v>
      </c>
      <c r="AK2468" s="1" t="s">
        <v>71</v>
      </c>
      <c r="AM2468" s="1" t="s">
        <v>71</v>
      </c>
      <c r="AN2468" s="1" t="s">
        <v>71</v>
      </c>
      <c r="AS2468" s="1" t="s">
        <v>71</v>
      </c>
      <c r="AX2468" s="1" t="s">
        <v>71</v>
      </c>
      <c r="AY2468" s="1" t="s">
        <v>59</v>
      </c>
      <c r="AZ2468" s="1" t="s">
        <v>74</v>
      </c>
      <c r="BH2468" s="1" t="s">
        <v>71</v>
      </c>
    </row>
    <row r="2469" customFormat="false" ht="15" hidden="false" customHeight="false" outlineLevel="0" collapsed="false">
      <c r="A2469" s="1" t="s">
        <v>8272</v>
      </c>
      <c r="B2469" s="1" t="s">
        <v>8273</v>
      </c>
      <c r="C2469" s="1" t="s">
        <v>222</v>
      </c>
      <c r="D2469" s="1" t="s">
        <v>223</v>
      </c>
      <c r="E2469" s="1" t="s">
        <v>61</v>
      </c>
      <c r="F2469" s="1" t="s">
        <v>101</v>
      </c>
      <c r="G2469" s="1" t="s">
        <v>93</v>
      </c>
      <c r="H2469" s="1" t="s">
        <v>64</v>
      </c>
      <c r="K2469" s="1" t="s">
        <v>126</v>
      </c>
      <c r="L2469" s="1" t="s">
        <v>335</v>
      </c>
      <c r="M2469" s="1" t="s">
        <v>310</v>
      </c>
      <c r="N2469" s="1" t="s">
        <v>105</v>
      </c>
      <c r="O2469" s="1" t="s">
        <v>106</v>
      </c>
      <c r="P2469" s="1" t="s">
        <v>3539</v>
      </c>
      <c r="U2469" s="1" t="s">
        <v>8272</v>
      </c>
      <c r="Z2469" s="1" t="s">
        <v>71</v>
      </c>
      <c r="AE2469" s="1" t="s">
        <v>8269</v>
      </c>
      <c r="AH2469" s="1" t="s">
        <v>73</v>
      </c>
      <c r="AK2469" s="1" t="s">
        <v>71</v>
      </c>
      <c r="AM2469" s="1" t="s">
        <v>71</v>
      </c>
      <c r="AN2469" s="1" t="s">
        <v>71</v>
      </c>
      <c r="AS2469" s="1" t="s">
        <v>71</v>
      </c>
      <c r="AX2469" s="1" t="s">
        <v>71</v>
      </c>
      <c r="AY2469" s="1" t="s">
        <v>59</v>
      </c>
      <c r="AZ2469" s="1" t="s">
        <v>74</v>
      </c>
      <c r="BH2469" s="1" t="s">
        <v>71</v>
      </c>
    </row>
    <row r="2470" customFormat="false" ht="15" hidden="false" customHeight="false" outlineLevel="0" collapsed="false">
      <c r="A2470" s="1" t="s">
        <v>8274</v>
      </c>
      <c r="B2470" s="1" t="s">
        <v>8275</v>
      </c>
      <c r="C2470" s="1" t="s">
        <v>222</v>
      </c>
      <c r="D2470" s="1" t="s">
        <v>223</v>
      </c>
      <c r="E2470" s="1" t="s">
        <v>61</v>
      </c>
      <c r="F2470" s="1" t="s">
        <v>101</v>
      </c>
      <c r="G2470" s="1" t="s">
        <v>93</v>
      </c>
      <c r="H2470" s="1" t="s">
        <v>64</v>
      </c>
      <c r="K2470" s="1" t="s">
        <v>126</v>
      </c>
      <c r="L2470" s="1" t="s">
        <v>335</v>
      </c>
      <c r="M2470" s="1" t="s">
        <v>310</v>
      </c>
      <c r="N2470" s="1" t="s">
        <v>105</v>
      </c>
      <c r="O2470" s="1" t="s">
        <v>106</v>
      </c>
      <c r="P2470" s="1" t="s">
        <v>3539</v>
      </c>
      <c r="U2470" s="1" t="s">
        <v>8274</v>
      </c>
      <c r="Z2470" s="1" t="s">
        <v>71</v>
      </c>
      <c r="AE2470" s="1" t="s">
        <v>8269</v>
      </c>
      <c r="AH2470" s="1" t="s">
        <v>73</v>
      </c>
      <c r="AK2470" s="1" t="s">
        <v>71</v>
      </c>
      <c r="AM2470" s="1" t="s">
        <v>71</v>
      </c>
      <c r="AN2470" s="1" t="s">
        <v>71</v>
      </c>
      <c r="AS2470" s="1" t="s">
        <v>71</v>
      </c>
      <c r="AX2470" s="1" t="s">
        <v>71</v>
      </c>
      <c r="AY2470" s="1" t="s">
        <v>59</v>
      </c>
      <c r="AZ2470" s="1" t="s">
        <v>74</v>
      </c>
      <c r="BH2470" s="1" t="s">
        <v>71</v>
      </c>
    </row>
    <row r="2471" customFormat="false" ht="15" hidden="false" customHeight="false" outlineLevel="0" collapsed="false">
      <c r="A2471" s="1" t="s">
        <v>8276</v>
      </c>
      <c r="B2471" s="1" t="s">
        <v>8277</v>
      </c>
      <c r="C2471" s="1" t="s">
        <v>222</v>
      </c>
      <c r="D2471" s="1" t="s">
        <v>223</v>
      </c>
      <c r="E2471" s="1" t="s">
        <v>61</v>
      </c>
      <c r="F2471" s="1" t="s">
        <v>101</v>
      </c>
      <c r="G2471" s="1" t="s">
        <v>93</v>
      </c>
      <c r="H2471" s="1" t="s">
        <v>64</v>
      </c>
      <c r="K2471" s="1" t="s">
        <v>224</v>
      </c>
      <c r="L2471" s="1" t="s">
        <v>225</v>
      </c>
      <c r="M2471" s="1" t="s">
        <v>310</v>
      </c>
      <c r="N2471" s="1" t="s">
        <v>105</v>
      </c>
      <c r="O2471" s="1" t="s">
        <v>106</v>
      </c>
      <c r="P2471" s="1" t="s">
        <v>3539</v>
      </c>
      <c r="U2471" s="1" t="s">
        <v>8276</v>
      </c>
      <c r="Z2471" s="1" t="s">
        <v>71</v>
      </c>
      <c r="AE2471" s="1" t="s">
        <v>8269</v>
      </c>
      <c r="AH2471" s="1" t="s">
        <v>73</v>
      </c>
      <c r="AK2471" s="1" t="s">
        <v>71</v>
      </c>
      <c r="AM2471" s="1" t="s">
        <v>71</v>
      </c>
      <c r="AN2471" s="1" t="s">
        <v>71</v>
      </c>
      <c r="AS2471" s="1" t="s">
        <v>71</v>
      </c>
      <c r="AX2471" s="1" t="s">
        <v>71</v>
      </c>
      <c r="AY2471" s="1" t="s">
        <v>59</v>
      </c>
      <c r="AZ2471" s="1" t="s">
        <v>74</v>
      </c>
      <c r="BH2471" s="1" t="s">
        <v>71</v>
      </c>
    </row>
    <row r="2472" customFormat="false" ht="15" hidden="false" customHeight="false" outlineLevel="0" collapsed="false">
      <c r="A2472" s="1" t="s">
        <v>8278</v>
      </c>
      <c r="B2472" s="1" t="s">
        <v>8279</v>
      </c>
      <c r="C2472" s="1" t="s">
        <v>222</v>
      </c>
      <c r="D2472" s="1" t="s">
        <v>223</v>
      </c>
      <c r="E2472" s="1" t="s">
        <v>61</v>
      </c>
      <c r="F2472" s="1" t="s">
        <v>101</v>
      </c>
      <c r="G2472" s="1" t="s">
        <v>93</v>
      </c>
      <c r="H2472" s="1" t="s">
        <v>64</v>
      </c>
      <c r="K2472" s="1" t="s">
        <v>290</v>
      </c>
      <c r="L2472" s="1" t="s">
        <v>291</v>
      </c>
      <c r="M2472" s="1" t="s">
        <v>828</v>
      </c>
      <c r="N2472" s="1" t="s">
        <v>105</v>
      </c>
      <c r="O2472" s="1" t="s">
        <v>106</v>
      </c>
      <c r="P2472" s="1" t="s">
        <v>3539</v>
      </c>
      <c r="U2472" s="1" t="s">
        <v>8278</v>
      </c>
      <c r="Z2472" s="1" t="s">
        <v>71</v>
      </c>
      <c r="AE2472" s="1" t="s">
        <v>8269</v>
      </c>
      <c r="AH2472" s="1" t="s">
        <v>73</v>
      </c>
      <c r="AK2472" s="1" t="s">
        <v>71</v>
      </c>
      <c r="AM2472" s="1" t="s">
        <v>71</v>
      </c>
      <c r="AN2472" s="1" t="s">
        <v>71</v>
      </c>
      <c r="AS2472" s="1" t="s">
        <v>71</v>
      </c>
      <c r="AX2472" s="1" t="s">
        <v>71</v>
      </c>
      <c r="AY2472" s="1" t="s">
        <v>59</v>
      </c>
      <c r="AZ2472" s="1" t="s">
        <v>74</v>
      </c>
      <c r="BH2472" s="1" t="s">
        <v>71</v>
      </c>
    </row>
    <row r="2473" customFormat="false" ht="15" hidden="false" customHeight="false" outlineLevel="0" collapsed="false">
      <c r="A2473" s="1" t="s">
        <v>8280</v>
      </c>
      <c r="B2473" s="1" t="s">
        <v>8281</v>
      </c>
      <c r="C2473" s="1" t="s">
        <v>222</v>
      </c>
      <c r="D2473" s="1" t="s">
        <v>223</v>
      </c>
      <c r="E2473" s="1" t="s">
        <v>61</v>
      </c>
      <c r="F2473" s="1" t="s">
        <v>101</v>
      </c>
      <c r="G2473" s="1" t="s">
        <v>93</v>
      </c>
      <c r="H2473" s="1" t="s">
        <v>64</v>
      </c>
      <c r="K2473" s="1" t="s">
        <v>1092</v>
      </c>
      <c r="L2473" s="1" t="s">
        <v>1093</v>
      </c>
      <c r="M2473" s="1" t="s">
        <v>310</v>
      </c>
      <c r="N2473" s="1" t="s">
        <v>105</v>
      </c>
      <c r="O2473" s="1" t="s">
        <v>106</v>
      </c>
      <c r="P2473" s="1" t="s">
        <v>3539</v>
      </c>
      <c r="U2473" s="1" t="s">
        <v>8280</v>
      </c>
      <c r="Z2473" s="1" t="s">
        <v>71</v>
      </c>
      <c r="AE2473" s="1" t="s">
        <v>8269</v>
      </c>
      <c r="AH2473" s="1" t="s">
        <v>73</v>
      </c>
      <c r="AK2473" s="1" t="s">
        <v>71</v>
      </c>
      <c r="AM2473" s="1" t="s">
        <v>71</v>
      </c>
      <c r="AN2473" s="1" t="s">
        <v>71</v>
      </c>
      <c r="AS2473" s="1" t="s">
        <v>71</v>
      </c>
      <c r="AX2473" s="1" t="s">
        <v>71</v>
      </c>
      <c r="AY2473" s="1" t="s">
        <v>59</v>
      </c>
      <c r="AZ2473" s="1" t="s">
        <v>74</v>
      </c>
      <c r="BH2473" s="1" t="s">
        <v>71</v>
      </c>
    </row>
    <row r="2474" customFormat="false" ht="15" hidden="false" customHeight="false" outlineLevel="0" collapsed="false">
      <c r="A2474" s="1" t="s">
        <v>8282</v>
      </c>
      <c r="B2474" s="1" t="s">
        <v>8283</v>
      </c>
      <c r="C2474" s="1" t="s">
        <v>222</v>
      </c>
      <c r="D2474" s="1" t="s">
        <v>223</v>
      </c>
      <c r="E2474" s="1" t="s">
        <v>61</v>
      </c>
      <c r="F2474" s="1" t="s">
        <v>101</v>
      </c>
      <c r="G2474" s="1" t="s">
        <v>93</v>
      </c>
      <c r="H2474" s="1" t="s">
        <v>64</v>
      </c>
      <c r="K2474" s="1" t="s">
        <v>163</v>
      </c>
      <c r="L2474" s="1" t="s">
        <v>164</v>
      </c>
      <c r="M2474" s="1" t="s">
        <v>104</v>
      </c>
      <c r="N2474" s="1" t="s">
        <v>166</v>
      </c>
      <c r="O2474" s="1" t="s">
        <v>167</v>
      </c>
      <c r="P2474" s="1" t="s">
        <v>4462</v>
      </c>
      <c r="U2474" s="1" t="s">
        <v>8282</v>
      </c>
      <c r="Z2474" s="1" t="s">
        <v>71</v>
      </c>
      <c r="AE2474" s="1" t="s">
        <v>8269</v>
      </c>
      <c r="AH2474" s="1" t="s">
        <v>73</v>
      </c>
      <c r="AK2474" s="1" t="s">
        <v>71</v>
      </c>
      <c r="AM2474" s="1" t="s">
        <v>71</v>
      </c>
      <c r="AN2474" s="1" t="s">
        <v>71</v>
      </c>
      <c r="AS2474" s="1" t="s">
        <v>71</v>
      </c>
      <c r="AX2474" s="1" t="s">
        <v>71</v>
      </c>
      <c r="AY2474" s="1" t="s">
        <v>59</v>
      </c>
      <c r="AZ2474" s="1" t="s">
        <v>74</v>
      </c>
      <c r="BH2474" s="1" t="s">
        <v>71</v>
      </c>
    </row>
    <row r="2475" customFormat="false" ht="15" hidden="false" customHeight="false" outlineLevel="0" collapsed="false">
      <c r="A2475" s="1" t="s">
        <v>8284</v>
      </c>
      <c r="B2475" s="1" t="s">
        <v>8285</v>
      </c>
      <c r="C2475" s="1" t="s">
        <v>2444</v>
      </c>
      <c r="D2475" s="1" t="s">
        <v>239</v>
      </c>
      <c r="E2475" s="1" t="s">
        <v>61</v>
      </c>
      <c r="F2475" s="1" t="s">
        <v>101</v>
      </c>
      <c r="G2475" s="1" t="s">
        <v>275</v>
      </c>
      <c r="H2475" s="1" t="s">
        <v>276</v>
      </c>
      <c r="K2475" s="1" t="s">
        <v>136</v>
      </c>
      <c r="L2475" s="1" t="s">
        <v>5602</v>
      </c>
      <c r="M2475" s="1" t="s">
        <v>278</v>
      </c>
      <c r="N2475" s="1" t="s">
        <v>1365</v>
      </c>
      <c r="O2475" s="1" t="s">
        <v>1366</v>
      </c>
      <c r="P2475" s="1" t="s">
        <v>4820</v>
      </c>
      <c r="U2475" s="1" t="s">
        <v>8284</v>
      </c>
      <c r="Z2475" s="1" t="s">
        <v>71</v>
      </c>
      <c r="AE2475" s="1" t="s">
        <v>8269</v>
      </c>
      <c r="AH2475" s="1" t="s">
        <v>73</v>
      </c>
      <c r="AK2475" s="1" t="s">
        <v>71</v>
      </c>
      <c r="AM2475" s="1" t="s">
        <v>71</v>
      </c>
      <c r="AN2475" s="1" t="s">
        <v>71</v>
      </c>
      <c r="AS2475" s="1" t="s">
        <v>71</v>
      </c>
      <c r="AX2475" s="1" t="s">
        <v>71</v>
      </c>
      <c r="AY2475" s="1" t="s">
        <v>59</v>
      </c>
      <c r="AZ2475" s="1" t="s">
        <v>74</v>
      </c>
      <c r="BH2475" s="1" t="s">
        <v>71</v>
      </c>
    </row>
    <row r="2476" customFormat="false" ht="15" hidden="false" customHeight="false" outlineLevel="0" collapsed="false">
      <c r="A2476" s="1" t="s">
        <v>8286</v>
      </c>
      <c r="B2476" s="1" t="s">
        <v>8287</v>
      </c>
      <c r="C2476" s="1" t="s">
        <v>99</v>
      </c>
      <c r="D2476" s="1" t="s">
        <v>100</v>
      </c>
      <c r="E2476" s="1" t="s">
        <v>59</v>
      </c>
      <c r="F2476" s="1" t="s">
        <v>63</v>
      </c>
      <c r="G2476" s="1" t="s">
        <v>59</v>
      </c>
      <c r="H2476" s="1" t="s">
        <v>64</v>
      </c>
      <c r="K2476" s="1" t="s">
        <v>275</v>
      </c>
      <c r="L2476" s="1" t="s">
        <v>1063</v>
      </c>
      <c r="M2476" s="1" t="s">
        <v>1033</v>
      </c>
      <c r="N2476" s="1" t="s">
        <v>8288</v>
      </c>
      <c r="O2476" s="1" t="s">
        <v>8289</v>
      </c>
      <c r="P2476" s="1" t="s">
        <v>8290</v>
      </c>
      <c r="U2476" s="1" t="s">
        <v>8286</v>
      </c>
      <c r="Z2476" s="1" t="s">
        <v>71</v>
      </c>
      <c r="AE2476" s="1" t="s">
        <v>8291</v>
      </c>
      <c r="AH2476" s="1" t="s">
        <v>73</v>
      </c>
      <c r="AK2476" s="1" t="s">
        <v>71</v>
      </c>
      <c r="AM2476" s="1" t="s">
        <v>71</v>
      </c>
      <c r="AN2476" s="1" t="s">
        <v>71</v>
      </c>
      <c r="AS2476" s="1" t="s">
        <v>71</v>
      </c>
      <c r="AX2476" s="1" t="s">
        <v>71</v>
      </c>
      <c r="AY2476" s="1" t="s">
        <v>59</v>
      </c>
      <c r="AZ2476" s="1" t="s">
        <v>74</v>
      </c>
      <c r="BH2476" s="1" t="s">
        <v>71</v>
      </c>
    </row>
    <row r="2477" customFormat="false" ht="15" hidden="false" customHeight="false" outlineLevel="0" collapsed="false">
      <c r="A2477" s="1" t="s">
        <v>8292</v>
      </c>
      <c r="B2477" s="1" t="s">
        <v>8293</v>
      </c>
      <c r="C2477" s="1" t="s">
        <v>2448</v>
      </c>
      <c r="D2477" s="1" t="s">
        <v>8294</v>
      </c>
      <c r="E2477" s="1" t="s">
        <v>61</v>
      </c>
      <c r="F2477" s="1" t="s">
        <v>101</v>
      </c>
      <c r="G2477" s="1" t="s">
        <v>148</v>
      </c>
      <c r="H2477" s="1" t="s">
        <v>231</v>
      </c>
      <c r="K2477" s="1" t="s">
        <v>435</v>
      </c>
      <c r="L2477" s="1" t="s">
        <v>5331</v>
      </c>
      <c r="M2477" s="1" t="s">
        <v>8295</v>
      </c>
      <c r="N2477" s="1" t="s">
        <v>243</v>
      </c>
      <c r="O2477" s="1" t="s">
        <v>244</v>
      </c>
      <c r="P2477" s="1" t="s">
        <v>3503</v>
      </c>
      <c r="U2477" s="1" t="s">
        <v>8292</v>
      </c>
      <c r="Z2477" s="1" t="s">
        <v>71</v>
      </c>
      <c r="AE2477" s="1" t="s">
        <v>8296</v>
      </c>
      <c r="AH2477" s="1" t="s">
        <v>73</v>
      </c>
      <c r="AK2477" s="1" t="s">
        <v>71</v>
      </c>
      <c r="AM2477" s="1" t="s">
        <v>71</v>
      </c>
      <c r="AN2477" s="1" t="s">
        <v>71</v>
      </c>
      <c r="AS2477" s="1" t="s">
        <v>71</v>
      </c>
      <c r="AX2477" s="1" t="s">
        <v>71</v>
      </c>
      <c r="AY2477" s="1" t="s">
        <v>59</v>
      </c>
      <c r="AZ2477" s="1" t="s">
        <v>74</v>
      </c>
      <c r="BH2477" s="1" t="s">
        <v>71</v>
      </c>
    </row>
    <row r="2478" customFormat="false" ht="15" hidden="false" customHeight="false" outlineLevel="0" collapsed="false">
      <c r="A2478" s="1" t="s">
        <v>8297</v>
      </c>
      <c r="B2478" s="1" t="s">
        <v>8298</v>
      </c>
      <c r="C2478" s="1" t="s">
        <v>2448</v>
      </c>
      <c r="D2478" s="1" t="s">
        <v>8294</v>
      </c>
      <c r="E2478" s="1" t="s">
        <v>61</v>
      </c>
      <c r="F2478" s="1" t="s">
        <v>101</v>
      </c>
      <c r="G2478" s="1" t="s">
        <v>148</v>
      </c>
      <c r="H2478" s="1" t="s">
        <v>231</v>
      </c>
      <c r="K2478" s="1" t="s">
        <v>1335</v>
      </c>
      <c r="L2478" s="1" t="s">
        <v>1336</v>
      </c>
      <c r="M2478" s="1" t="s">
        <v>310</v>
      </c>
      <c r="N2478" s="1" t="s">
        <v>8299</v>
      </c>
      <c r="O2478" s="1" t="s">
        <v>8300</v>
      </c>
      <c r="P2478" s="1" t="s">
        <v>8301</v>
      </c>
      <c r="U2478" s="1" t="s">
        <v>8297</v>
      </c>
      <c r="Z2478" s="1" t="s">
        <v>71</v>
      </c>
      <c r="AE2478" s="1" t="s">
        <v>8296</v>
      </c>
      <c r="AH2478" s="1" t="s">
        <v>73</v>
      </c>
      <c r="AK2478" s="1" t="s">
        <v>71</v>
      </c>
      <c r="AM2478" s="1" t="s">
        <v>71</v>
      </c>
      <c r="AN2478" s="1" t="s">
        <v>71</v>
      </c>
      <c r="AS2478" s="1" t="s">
        <v>71</v>
      </c>
      <c r="AX2478" s="1" t="s">
        <v>71</v>
      </c>
      <c r="AY2478" s="1" t="s">
        <v>59</v>
      </c>
      <c r="AZ2478" s="1" t="s">
        <v>74</v>
      </c>
      <c r="BH2478" s="1" t="s">
        <v>71</v>
      </c>
    </row>
    <row r="2479" customFormat="false" ht="15" hidden="false" customHeight="false" outlineLevel="0" collapsed="false">
      <c r="A2479" s="1" t="s">
        <v>8302</v>
      </c>
      <c r="B2479" s="1" t="s">
        <v>8303</v>
      </c>
      <c r="C2479" s="1" t="s">
        <v>2448</v>
      </c>
      <c r="D2479" s="1" t="s">
        <v>8294</v>
      </c>
      <c r="E2479" s="1" t="s">
        <v>61</v>
      </c>
      <c r="F2479" s="1" t="s">
        <v>101</v>
      </c>
      <c r="G2479" s="1" t="s">
        <v>148</v>
      </c>
      <c r="H2479" s="1" t="s">
        <v>231</v>
      </c>
      <c r="K2479" s="1" t="s">
        <v>240</v>
      </c>
      <c r="L2479" s="1" t="s">
        <v>241</v>
      </c>
      <c r="M2479" s="1" t="s">
        <v>310</v>
      </c>
      <c r="N2479" s="1" t="s">
        <v>243</v>
      </c>
      <c r="O2479" s="1" t="s">
        <v>244</v>
      </c>
      <c r="P2479" s="1" t="s">
        <v>3503</v>
      </c>
      <c r="U2479" s="1" t="s">
        <v>8302</v>
      </c>
      <c r="Z2479" s="1" t="s">
        <v>71</v>
      </c>
      <c r="AE2479" s="1" t="s">
        <v>8296</v>
      </c>
      <c r="AH2479" s="1" t="s">
        <v>73</v>
      </c>
      <c r="AK2479" s="1" t="s">
        <v>71</v>
      </c>
      <c r="AM2479" s="1" t="s">
        <v>71</v>
      </c>
      <c r="AN2479" s="1" t="s">
        <v>71</v>
      </c>
      <c r="AS2479" s="1" t="s">
        <v>71</v>
      </c>
      <c r="AX2479" s="1" t="s">
        <v>71</v>
      </c>
      <c r="AY2479" s="1" t="s">
        <v>59</v>
      </c>
      <c r="AZ2479" s="1" t="s">
        <v>74</v>
      </c>
      <c r="BH2479" s="1" t="s">
        <v>71</v>
      </c>
    </row>
    <row r="2480" customFormat="false" ht="15" hidden="false" customHeight="false" outlineLevel="0" collapsed="false">
      <c r="A2480" s="1" t="s">
        <v>8304</v>
      </c>
      <c r="B2480" s="1" t="s">
        <v>8305</v>
      </c>
      <c r="C2480" s="1" t="s">
        <v>2448</v>
      </c>
      <c r="D2480" s="1" t="s">
        <v>8294</v>
      </c>
      <c r="E2480" s="1" t="s">
        <v>61</v>
      </c>
      <c r="F2480" s="1" t="s">
        <v>101</v>
      </c>
      <c r="G2480" s="1" t="s">
        <v>148</v>
      </c>
      <c r="H2480" s="1" t="s">
        <v>231</v>
      </c>
      <c r="K2480" s="1" t="s">
        <v>493</v>
      </c>
      <c r="L2480" s="1" t="s">
        <v>6219</v>
      </c>
      <c r="M2480" s="1" t="s">
        <v>310</v>
      </c>
      <c r="N2480" s="1" t="s">
        <v>243</v>
      </c>
      <c r="O2480" s="1" t="s">
        <v>244</v>
      </c>
      <c r="P2480" s="1" t="s">
        <v>3503</v>
      </c>
      <c r="U2480" s="1" t="s">
        <v>8304</v>
      </c>
      <c r="Z2480" s="1" t="s">
        <v>71</v>
      </c>
      <c r="AE2480" s="1" t="s">
        <v>8296</v>
      </c>
      <c r="AH2480" s="1" t="s">
        <v>73</v>
      </c>
      <c r="AK2480" s="1" t="s">
        <v>71</v>
      </c>
      <c r="AM2480" s="1" t="s">
        <v>71</v>
      </c>
      <c r="AN2480" s="1" t="s">
        <v>71</v>
      </c>
      <c r="AS2480" s="1" t="s">
        <v>71</v>
      </c>
      <c r="AX2480" s="1" t="s">
        <v>71</v>
      </c>
      <c r="AY2480" s="1" t="s">
        <v>59</v>
      </c>
      <c r="AZ2480" s="1" t="s">
        <v>74</v>
      </c>
      <c r="BH2480" s="1" t="s">
        <v>71</v>
      </c>
    </row>
    <row r="2481" customFormat="false" ht="15" hidden="false" customHeight="false" outlineLevel="0" collapsed="false">
      <c r="A2481" s="1" t="s">
        <v>8306</v>
      </c>
      <c r="B2481" s="1" t="s">
        <v>8307</v>
      </c>
      <c r="C2481" s="1" t="s">
        <v>161</v>
      </c>
      <c r="D2481" s="1" t="s">
        <v>162</v>
      </c>
      <c r="E2481" s="1" t="s">
        <v>61</v>
      </c>
      <c r="F2481" s="1" t="s">
        <v>101</v>
      </c>
      <c r="G2481" s="1" t="s">
        <v>93</v>
      </c>
      <c r="H2481" s="1" t="s">
        <v>64</v>
      </c>
      <c r="K2481" s="1" t="s">
        <v>217</v>
      </c>
      <c r="L2481" s="1" t="s">
        <v>218</v>
      </c>
      <c r="M2481" s="1" t="s">
        <v>1387</v>
      </c>
      <c r="N2481" s="1" t="s">
        <v>105</v>
      </c>
      <c r="O2481" s="1" t="s">
        <v>106</v>
      </c>
      <c r="P2481" s="1" t="s">
        <v>3539</v>
      </c>
      <c r="U2481" s="1" t="s">
        <v>8306</v>
      </c>
      <c r="Z2481" s="1" t="s">
        <v>71</v>
      </c>
      <c r="AE2481" s="1" t="s">
        <v>8296</v>
      </c>
      <c r="AH2481" s="1" t="s">
        <v>73</v>
      </c>
      <c r="AK2481" s="1" t="s">
        <v>71</v>
      </c>
      <c r="AM2481" s="1" t="s">
        <v>71</v>
      </c>
      <c r="AN2481" s="1" t="s">
        <v>71</v>
      </c>
      <c r="AS2481" s="1" t="s">
        <v>71</v>
      </c>
      <c r="AX2481" s="1" t="s">
        <v>71</v>
      </c>
      <c r="AY2481" s="1" t="s">
        <v>59</v>
      </c>
      <c r="AZ2481" s="1" t="s">
        <v>74</v>
      </c>
      <c r="BH2481" s="1" t="s">
        <v>71</v>
      </c>
    </row>
    <row r="2482" customFormat="false" ht="15" hidden="false" customHeight="false" outlineLevel="0" collapsed="false">
      <c r="A2482" s="1" t="s">
        <v>8308</v>
      </c>
      <c r="B2482" s="1" t="s">
        <v>8309</v>
      </c>
      <c r="C2482" s="1" t="s">
        <v>1343</v>
      </c>
      <c r="D2482" s="1" t="s">
        <v>1344</v>
      </c>
      <c r="E2482" s="1" t="s">
        <v>61</v>
      </c>
      <c r="F2482" s="1" t="s">
        <v>101</v>
      </c>
      <c r="G2482" s="1" t="s">
        <v>93</v>
      </c>
      <c r="H2482" s="1" t="s">
        <v>64</v>
      </c>
      <c r="K2482" s="1" t="s">
        <v>302</v>
      </c>
      <c r="L2482" s="1" t="s">
        <v>303</v>
      </c>
      <c r="M2482" s="1" t="s">
        <v>1387</v>
      </c>
      <c r="N2482" s="1" t="s">
        <v>105</v>
      </c>
      <c r="O2482" s="1" t="s">
        <v>106</v>
      </c>
      <c r="P2482" s="1" t="s">
        <v>3539</v>
      </c>
      <c r="U2482" s="1" t="s">
        <v>8308</v>
      </c>
      <c r="Z2482" s="1" t="s">
        <v>71</v>
      </c>
      <c r="AE2482" s="1" t="s">
        <v>8310</v>
      </c>
      <c r="AH2482" s="1" t="s">
        <v>73</v>
      </c>
      <c r="AK2482" s="1" t="s">
        <v>71</v>
      </c>
      <c r="AM2482" s="1" t="s">
        <v>71</v>
      </c>
      <c r="AN2482" s="1" t="s">
        <v>71</v>
      </c>
      <c r="AS2482" s="1" t="s">
        <v>71</v>
      </c>
      <c r="AX2482" s="1" t="s">
        <v>71</v>
      </c>
      <c r="AY2482" s="1" t="s">
        <v>59</v>
      </c>
      <c r="AZ2482" s="1" t="s">
        <v>74</v>
      </c>
      <c r="BH2482" s="1" t="s">
        <v>71</v>
      </c>
    </row>
    <row r="2483" customFormat="false" ht="15" hidden="false" customHeight="false" outlineLevel="0" collapsed="false">
      <c r="A2483" s="1" t="s">
        <v>8311</v>
      </c>
      <c r="B2483" s="1" t="s">
        <v>8312</v>
      </c>
      <c r="C2483" s="1" t="s">
        <v>2454</v>
      </c>
      <c r="D2483" s="1" t="s">
        <v>8313</v>
      </c>
      <c r="E2483" s="1" t="s">
        <v>65</v>
      </c>
      <c r="F2483" s="1" t="s">
        <v>119</v>
      </c>
      <c r="G2483" s="1" t="s">
        <v>136</v>
      </c>
      <c r="H2483" s="1" t="s">
        <v>7577</v>
      </c>
      <c r="K2483" s="1" t="s">
        <v>59</v>
      </c>
      <c r="L2483" s="1" t="s">
        <v>7578</v>
      </c>
      <c r="M2483" s="1" t="s">
        <v>5691</v>
      </c>
      <c r="N2483" s="1" t="s">
        <v>7592</v>
      </c>
      <c r="O2483" s="1" t="s">
        <v>7593</v>
      </c>
      <c r="P2483" s="1" t="s">
        <v>7594</v>
      </c>
      <c r="U2483" s="1" t="s">
        <v>8311</v>
      </c>
      <c r="Z2483" s="1" t="s">
        <v>71</v>
      </c>
      <c r="AE2483" s="1" t="s">
        <v>8314</v>
      </c>
      <c r="AH2483" s="1" t="s">
        <v>73</v>
      </c>
      <c r="AK2483" s="1" t="s">
        <v>71</v>
      </c>
      <c r="AM2483" s="1" t="s">
        <v>71</v>
      </c>
      <c r="AN2483" s="1" t="s">
        <v>71</v>
      </c>
      <c r="AS2483" s="1" t="s">
        <v>71</v>
      </c>
      <c r="AX2483" s="1" t="s">
        <v>71</v>
      </c>
      <c r="AY2483" s="1" t="s">
        <v>59</v>
      </c>
      <c r="AZ2483" s="1" t="s">
        <v>74</v>
      </c>
      <c r="BH2483" s="1" t="s">
        <v>71</v>
      </c>
    </row>
    <row r="2484" customFormat="false" ht="15" hidden="false" customHeight="false" outlineLevel="0" collapsed="false">
      <c r="A2484" s="1" t="s">
        <v>8315</v>
      </c>
      <c r="B2484" s="1" t="s">
        <v>8316</v>
      </c>
      <c r="C2484" s="1" t="s">
        <v>2454</v>
      </c>
      <c r="D2484" s="1" t="s">
        <v>8313</v>
      </c>
      <c r="E2484" s="1" t="s">
        <v>65</v>
      </c>
      <c r="F2484" s="1" t="s">
        <v>119</v>
      </c>
      <c r="G2484" s="1" t="s">
        <v>136</v>
      </c>
      <c r="H2484" s="1" t="s">
        <v>7577</v>
      </c>
      <c r="K2484" s="1" t="s">
        <v>59</v>
      </c>
      <c r="L2484" s="1" t="s">
        <v>7578</v>
      </c>
      <c r="M2484" s="1" t="s">
        <v>5691</v>
      </c>
      <c r="N2484" s="1" t="s">
        <v>8317</v>
      </c>
      <c r="O2484" s="1" t="s">
        <v>8318</v>
      </c>
      <c r="P2484" s="1" t="s">
        <v>8319</v>
      </c>
      <c r="U2484" s="1" t="s">
        <v>8315</v>
      </c>
      <c r="Z2484" s="1" t="s">
        <v>71</v>
      </c>
      <c r="AE2484" s="1" t="s">
        <v>8314</v>
      </c>
      <c r="AH2484" s="1" t="s">
        <v>73</v>
      </c>
      <c r="AK2484" s="1" t="s">
        <v>71</v>
      </c>
      <c r="AM2484" s="1" t="s">
        <v>71</v>
      </c>
      <c r="AN2484" s="1" t="s">
        <v>71</v>
      </c>
      <c r="AS2484" s="1" t="s">
        <v>71</v>
      </c>
      <c r="AX2484" s="1" t="s">
        <v>71</v>
      </c>
      <c r="AY2484" s="1" t="s">
        <v>59</v>
      </c>
      <c r="AZ2484" s="1" t="s">
        <v>74</v>
      </c>
      <c r="BH2484" s="1" t="s">
        <v>71</v>
      </c>
    </row>
    <row r="2485" customFormat="false" ht="15" hidden="false" customHeight="false" outlineLevel="0" collapsed="false">
      <c r="A2485" s="1" t="s">
        <v>8320</v>
      </c>
      <c r="B2485" s="1" t="s">
        <v>8321</v>
      </c>
      <c r="C2485" s="1" t="s">
        <v>2454</v>
      </c>
      <c r="D2485" s="1" t="s">
        <v>8313</v>
      </c>
      <c r="E2485" s="1" t="s">
        <v>65</v>
      </c>
      <c r="F2485" s="1" t="s">
        <v>119</v>
      </c>
      <c r="G2485" s="1" t="s">
        <v>136</v>
      </c>
      <c r="H2485" s="1" t="s">
        <v>7577</v>
      </c>
      <c r="K2485" s="1" t="s">
        <v>59</v>
      </c>
      <c r="L2485" s="1" t="s">
        <v>7578</v>
      </c>
      <c r="M2485" s="1" t="s">
        <v>8322</v>
      </c>
      <c r="N2485" s="1" t="s">
        <v>7580</v>
      </c>
      <c r="O2485" s="1" t="s">
        <v>7581</v>
      </c>
      <c r="P2485" s="1" t="s">
        <v>7582</v>
      </c>
      <c r="U2485" s="1" t="s">
        <v>8320</v>
      </c>
      <c r="Z2485" s="1" t="s">
        <v>71</v>
      </c>
      <c r="AE2485" s="1" t="s">
        <v>8314</v>
      </c>
      <c r="AH2485" s="1" t="s">
        <v>73</v>
      </c>
      <c r="AK2485" s="1" t="s">
        <v>71</v>
      </c>
      <c r="AM2485" s="1" t="s">
        <v>71</v>
      </c>
      <c r="AN2485" s="1" t="s">
        <v>71</v>
      </c>
      <c r="AS2485" s="1" t="s">
        <v>71</v>
      </c>
      <c r="AX2485" s="1" t="s">
        <v>71</v>
      </c>
      <c r="AY2485" s="1" t="s">
        <v>59</v>
      </c>
      <c r="AZ2485" s="1" t="s">
        <v>74</v>
      </c>
      <c r="BH2485" s="1" t="s">
        <v>71</v>
      </c>
    </row>
    <row r="2486" customFormat="false" ht="15" hidden="false" customHeight="false" outlineLevel="0" collapsed="false">
      <c r="A2486" s="1" t="s">
        <v>8323</v>
      </c>
      <c r="B2486" s="1" t="s">
        <v>8324</v>
      </c>
      <c r="C2486" s="1" t="s">
        <v>2454</v>
      </c>
      <c r="D2486" s="1" t="s">
        <v>8313</v>
      </c>
      <c r="E2486" s="1" t="s">
        <v>65</v>
      </c>
      <c r="F2486" s="1" t="s">
        <v>119</v>
      </c>
      <c r="G2486" s="1" t="s">
        <v>136</v>
      </c>
      <c r="H2486" s="1" t="s">
        <v>7577</v>
      </c>
      <c r="K2486" s="1" t="s">
        <v>59</v>
      </c>
      <c r="L2486" s="1" t="s">
        <v>7578</v>
      </c>
      <c r="M2486" s="1" t="s">
        <v>6711</v>
      </c>
      <c r="N2486" s="1" t="s">
        <v>7587</v>
      </c>
      <c r="O2486" s="1" t="s">
        <v>7588</v>
      </c>
      <c r="P2486" s="1" t="s">
        <v>7589</v>
      </c>
      <c r="U2486" s="1" t="s">
        <v>8323</v>
      </c>
      <c r="Z2486" s="1" t="s">
        <v>71</v>
      </c>
      <c r="AE2486" s="1" t="s">
        <v>8314</v>
      </c>
      <c r="AH2486" s="1" t="s">
        <v>73</v>
      </c>
      <c r="AK2486" s="1" t="s">
        <v>71</v>
      </c>
      <c r="AM2486" s="1" t="s">
        <v>71</v>
      </c>
      <c r="AN2486" s="1" t="s">
        <v>71</v>
      </c>
      <c r="AS2486" s="1" t="s">
        <v>71</v>
      </c>
      <c r="AX2486" s="1" t="s">
        <v>71</v>
      </c>
      <c r="AY2486" s="1" t="s">
        <v>59</v>
      </c>
      <c r="AZ2486" s="1" t="s">
        <v>74</v>
      </c>
      <c r="BH2486" s="1" t="s">
        <v>71</v>
      </c>
    </row>
    <row r="2487" customFormat="false" ht="15" hidden="false" customHeight="false" outlineLevel="0" collapsed="false">
      <c r="A2487" s="1" t="s">
        <v>8325</v>
      </c>
      <c r="B2487" s="1" t="s">
        <v>8326</v>
      </c>
      <c r="C2487" s="1" t="s">
        <v>2454</v>
      </c>
      <c r="D2487" s="1" t="s">
        <v>8313</v>
      </c>
      <c r="E2487" s="1" t="s">
        <v>65</v>
      </c>
      <c r="F2487" s="1" t="s">
        <v>119</v>
      </c>
      <c r="G2487" s="1" t="s">
        <v>136</v>
      </c>
      <c r="H2487" s="1" t="s">
        <v>7577</v>
      </c>
      <c r="K2487" s="1" t="s">
        <v>65</v>
      </c>
      <c r="L2487" s="1" t="s">
        <v>7599</v>
      </c>
      <c r="M2487" s="1" t="s">
        <v>8327</v>
      </c>
      <c r="N2487" s="1" t="s">
        <v>7827</v>
      </c>
      <c r="O2487" s="1" t="s">
        <v>7828</v>
      </c>
      <c r="P2487" s="1" t="s">
        <v>7829</v>
      </c>
      <c r="U2487" s="1" t="s">
        <v>8325</v>
      </c>
      <c r="Z2487" s="1" t="s">
        <v>71</v>
      </c>
      <c r="AE2487" s="1" t="s">
        <v>8314</v>
      </c>
      <c r="AH2487" s="1" t="s">
        <v>73</v>
      </c>
      <c r="AK2487" s="1" t="s">
        <v>71</v>
      </c>
      <c r="AM2487" s="1" t="s">
        <v>71</v>
      </c>
      <c r="AN2487" s="1" t="s">
        <v>71</v>
      </c>
      <c r="AS2487" s="1" t="s">
        <v>71</v>
      </c>
      <c r="AX2487" s="1" t="s">
        <v>71</v>
      </c>
      <c r="AY2487" s="1" t="s">
        <v>59</v>
      </c>
      <c r="AZ2487" s="1" t="s">
        <v>74</v>
      </c>
      <c r="BH2487" s="1" t="s">
        <v>71</v>
      </c>
    </row>
    <row r="2488" customFormat="false" ht="15" hidden="false" customHeight="false" outlineLevel="0" collapsed="false">
      <c r="A2488" s="1" t="s">
        <v>8328</v>
      </c>
      <c r="B2488" s="1" t="s">
        <v>8329</v>
      </c>
      <c r="C2488" s="1" t="s">
        <v>2216</v>
      </c>
      <c r="D2488" s="1" t="s">
        <v>7612</v>
      </c>
      <c r="E2488" s="1" t="s">
        <v>61</v>
      </c>
      <c r="F2488" s="1" t="s">
        <v>101</v>
      </c>
      <c r="G2488" s="1" t="s">
        <v>138</v>
      </c>
      <c r="H2488" s="1" t="s">
        <v>7621</v>
      </c>
      <c r="K2488" s="1" t="s">
        <v>65</v>
      </c>
      <c r="L2488" s="1" t="s">
        <v>8330</v>
      </c>
      <c r="M2488" s="1" t="s">
        <v>8331</v>
      </c>
      <c r="N2488" s="1" t="s">
        <v>8332</v>
      </c>
      <c r="O2488" s="1" t="s">
        <v>8333</v>
      </c>
      <c r="P2488" s="1" t="s">
        <v>8334</v>
      </c>
      <c r="U2488" s="1" t="s">
        <v>8328</v>
      </c>
      <c r="Z2488" s="1" t="s">
        <v>71</v>
      </c>
      <c r="AE2488" s="1" t="s">
        <v>8335</v>
      </c>
      <c r="AH2488" s="1" t="s">
        <v>73</v>
      </c>
      <c r="AK2488" s="1" t="s">
        <v>71</v>
      </c>
      <c r="AS2488" s="1" t="s">
        <v>71</v>
      </c>
      <c r="AY2488" s="1" t="s">
        <v>59</v>
      </c>
      <c r="AZ2488" s="1" t="s">
        <v>74</v>
      </c>
    </row>
    <row r="2489" customFormat="false" ht="15" hidden="false" customHeight="false" outlineLevel="0" collapsed="false">
      <c r="A2489" s="1" t="s">
        <v>8336</v>
      </c>
      <c r="B2489" s="1" t="s">
        <v>8337</v>
      </c>
      <c r="C2489" s="1" t="s">
        <v>2216</v>
      </c>
      <c r="D2489" s="1" t="s">
        <v>7612</v>
      </c>
      <c r="E2489" s="1" t="s">
        <v>61</v>
      </c>
      <c r="F2489" s="1" t="s">
        <v>101</v>
      </c>
      <c r="G2489" s="1" t="s">
        <v>108</v>
      </c>
      <c r="H2489" s="1" t="s">
        <v>1495</v>
      </c>
      <c r="K2489" s="1" t="s">
        <v>526</v>
      </c>
      <c r="L2489" s="1" t="s">
        <v>8338</v>
      </c>
      <c r="M2489" s="1" t="s">
        <v>1589</v>
      </c>
      <c r="N2489" s="1" t="s">
        <v>8339</v>
      </c>
      <c r="O2489" s="1" t="s">
        <v>8340</v>
      </c>
      <c r="P2489" s="1" t="s">
        <v>8341</v>
      </c>
      <c r="U2489" s="1" t="s">
        <v>8336</v>
      </c>
      <c r="Z2489" s="1" t="s">
        <v>71</v>
      </c>
      <c r="AE2489" s="1" t="s">
        <v>8335</v>
      </c>
      <c r="AH2489" s="1" t="s">
        <v>73</v>
      </c>
      <c r="AK2489" s="1" t="s">
        <v>71</v>
      </c>
      <c r="AS2489" s="1" t="s">
        <v>71</v>
      </c>
      <c r="AY2489" s="1" t="s">
        <v>59</v>
      </c>
      <c r="AZ2489" s="1" t="s">
        <v>74</v>
      </c>
    </row>
    <row r="2490" customFormat="false" ht="15" hidden="false" customHeight="false" outlineLevel="0" collapsed="false">
      <c r="A2490" s="1" t="s">
        <v>8342</v>
      </c>
      <c r="B2490" s="1" t="s">
        <v>8343</v>
      </c>
      <c r="C2490" s="1" t="s">
        <v>2216</v>
      </c>
      <c r="D2490" s="1" t="s">
        <v>7612</v>
      </c>
      <c r="E2490" s="1" t="s">
        <v>61</v>
      </c>
      <c r="F2490" s="1" t="s">
        <v>101</v>
      </c>
      <c r="G2490" s="1" t="s">
        <v>138</v>
      </c>
      <c r="H2490" s="1" t="s">
        <v>7621</v>
      </c>
      <c r="K2490" s="1" t="s">
        <v>59</v>
      </c>
      <c r="L2490" s="1" t="s">
        <v>7622</v>
      </c>
      <c r="M2490" s="1" t="s">
        <v>5708</v>
      </c>
      <c r="N2490" s="1" t="s">
        <v>8344</v>
      </c>
      <c r="O2490" s="1" t="s">
        <v>8345</v>
      </c>
      <c r="P2490" s="1" t="s">
        <v>8346</v>
      </c>
      <c r="U2490" s="1" t="s">
        <v>8342</v>
      </c>
      <c r="Z2490" s="1" t="s">
        <v>71</v>
      </c>
      <c r="AE2490" s="1" t="s">
        <v>8335</v>
      </c>
      <c r="AH2490" s="1" t="s">
        <v>73</v>
      </c>
      <c r="AK2490" s="1" t="s">
        <v>71</v>
      </c>
      <c r="AM2490" s="1" t="s">
        <v>71</v>
      </c>
      <c r="AN2490" s="1" t="s">
        <v>71</v>
      </c>
      <c r="AS2490" s="1" t="s">
        <v>71</v>
      </c>
      <c r="AX2490" s="1" t="s">
        <v>71</v>
      </c>
      <c r="AY2490" s="1" t="s">
        <v>59</v>
      </c>
      <c r="AZ2490" s="1" t="s">
        <v>74</v>
      </c>
      <c r="BH2490" s="1" t="s">
        <v>71</v>
      </c>
    </row>
    <row r="2491" customFormat="false" ht="15" hidden="false" customHeight="false" outlineLevel="0" collapsed="false">
      <c r="A2491" s="1" t="s">
        <v>8347</v>
      </c>
      <c r="B2491" s="1" t="s">
        <v>8348</v>
      </c>
      <c r="C2491" s="1" t="s">
        <v>2216</v>
      </c>
      <c r="D2491" s="1" t="s">
        <v>7612</v>
      </c>
      <c r="E2491" s="1" t="s">
        <v>61</v>
      </c>
      <c r="F2491" s="1" t="s">
        <v>101</v>
      </c>
      <c r="G2491" s="1" t="s">
        <v>1479</v>
      </c>
      <c r="H2491" s="1" t="s">
        <v>5583</v>
      </c>
      <c r="K2491" s="1" t="s">
        <v>177</v>
      </c>
      <c r="L2491" s="1" t="s">
        <v>8349</v>
      </c>
      <c r="M2491" s="1" t="s">
        <v>8331</v>
      </c>
      <c r="N2491" s="1" t="s">
        <v>6357</v>
      </c>
      <c r="O2491" s="1" t="s">
        <v>6358</v>
      </c>
      <c r="P2491" s="1" t="s">
        <v>6359</v>
      </c>
      <c r="U2491" s="1" t="s">
        <v>8347</v>
      </c>
      <c r="Z2491" s="1" t="s">
        <v>71</v>
      </c>
      <c r="AE2491" s="1" t="s">
        <v>8335</v>
      </c>
      <c r="AH2491" s="1" t="s">
        <v>73</v>
      </c>
      <c r="AK2491" s="1" t="s">
        <v>71</v>
      </c>
      <c r="AS2491" s="1" t="s">
        <v>71</v>
      </c>
      <c r="AY2491" s="1" t="s">
        <v>59</v>
      </c>
      <c r="AZ2491" s="1" t="s">
        <v>74</v>
      </c>
    </row>
    <row r="2492" customFormat="false" ht="15" hidden="false" customHeight="false" outlineLevel="0" collapsed="false">
      <c r="A2492" s="1" t="s">
        <v>8350</v>
      </c>
      <c r="B2492" s="1" t="s">
        <v>8351</v>
      </c>
      <c r="C2492" s="1" t="s">
        <v>2216</v>
      </c>
      <c r="D2492" s="1" t="s">
        <v>7612</v>
      </c>
      <c r="E2492" s="1" t="s">
        <v>61</v>
      </c>
      <c r="F2492" s="1" t="s">
        <v>101</v>
      </c>
      <c r="G2492" s="1" t="s">
        <v>1479</v>
      </c>
      <c r="H2492" s="1" t="s">
        <v>5583</v>
      </c>
      <c r="K2492" s="1" t="s">
        <v>177</v>
      </c>
      <c r="L2492" s="1" t="s">
        <v>8349</v>
      </c>
      <c r="M2492" s="1" t="s">
        <v>5708</v>
      </c>
      <c r="N2492" s="1" t="s">
        <v>8344</v>
      </c>
      <c r="O2492" s="1" t="s">
        <v>8345</v>
      </c>
      <c r="P2492" s="1" t="s">
        <v>8346</v>
      </c>
      <c r="U2492" s="1" t="s">
        <v>8350</v>
      </c>
      <c r="Z2492" s="1" t="s">
        <v>71</v>
      </c>
      <c r="AE2492" s="1" t="s">
        <v>8335</v>
      </c>
      <c r="AH2492" s="1" t="s">
        <v>73</v>
      </c>
      <c r="AK2492" s="1" t="s">
        <v>71</v>
      </c>
      <c r="AM2492" s="1" t="s">
        <v>71</v>
      </c>
      <c r="AN2492" s="1" t="s">
        <v>71</v>
      </c>
      <c r="AS2492" s="1" t="s">
        <v>71</v>
      </c>
      <c r="AX2492" s="1" t="s">
        <v>71</v>
      </c>
      <c r="AY2492" s="1" t="s">
        <v>59</v>
      </c>
      <c r="AZ2492" s="1" t="s">
        <v>74</v>
      </c>
      <c r="BH2492" s="1" t="s">
        <v>71</v>
      </c>
    </row>
    <row r="2493" customFormat="false" ht="15" hidden="false" customHeight="false" outlineLevel="0" collapsed="false">
      <c r="A2493" s="1" t="s">
        <v>8352</v>
      </c>
      <c r="B2493" s="1" t="s">
        <v>8353</v>
      </c>
      <c r="C2493" s="1" t="s">
        <v>2216</v>
      </c>
      <c r="D2493" s="1" t="s">
        <v>7612</v>
      </c>
      <c r="E2493" s="1" t="s">
        <v>61</v>
      </c>
      <c r="F2493" s="1" t="s">
        <v>101</v>
      </c>
      <c r="G2493" s="1" t="s">
        <v>138</v>
      </c>
      <c r="H2493" s="1" t="s">
        <v>7621</v>
      </c>
      <c r="K2493" s="1" t="s">
        <v>65</v>
      </c>
      <c r="L2493" s="1" t="s">
        <v>8330</v>
      </c>
      <c r="M2493" s="1" t="s">
        <v>5708</v>
      </c>
      <c r="N2493" s="1" t="s">
        <v>8332</v>
      </c>
      <c r="O2493" s="1" t="s">
        <v>8333</v>
      </c>
      <c r="P2493" s="1" t="s">
        <v>8334</v>
      </c>
      <c r="U2493" s="1" t="s">
        <v>8352</v>
      </c>
      <c r="Z2493" s="1" t="s">
        <v>71</v>
      </c>
      <c r="AE2493" s="1" t="s">
        <v>8335</v>
      </c>
      <c r="AH2493" s="1" t="s">
        <v>73</v>
      </c>
      <c r="AK2493" s="1" t="s">
        <v>71</v>
      </c>
      <c r="AS2493" s="1" t="s">
        <v>71</v>
      </c>
      <c r="AY2493" s="1" t="s">
        <v>59</v>
      </c>
      <c r="AZ2493" s="1" t="s">
        <v>74</v>
      </c>
    </row>
    <row r="2494" customFormat="false" ht="15" hidden="false" customHeight="false" outlineLevel="0" collapsed="false">
      <c r="A2494" s="1" t="s">
        <v>8354</v>
      </c>
      <c r="B2494" s="1" t="s">
        <v>8355</v>
      </c>
      <c r="C2494" s="1" t="s">
        <v>222</v>
      </c>
      <c r="D2494" s="1" t="s">
        <v>223</v>
      </c>
      <c r="E2494" s="1" t="s">
        <v>61</v>
      </c>
      <c r="F2494" s="1" t="s">
        <v>101</v>
      </c>
      <c r="G2494" s="1" t="s">
        <v>93</v>
      </c>
      <c r="H2494" s="1" t="s">
        <v>64</v>
      </c>
      <c r="K2494" s="1" t="s">
        <v>184</v>
      </c>
      <c r="L2494" s="1" t="s">
        <v>194</v>
      </c>
      <c r="M2494" s="1" t="s">
        <v>104</v>
      </c>
      <c r="N2494" s="1" t="s">
        <v>105</v>
      </c>
      <c r="O2494" s="1" t="s">
        <v>106</v>
      </c>
      <c r="P2494" s="1" t="s">
        <v>3539</v>
      </c>
      <c r="U2494" s="1" t="s">
        <v>8354</v>
      </c>
      <c r="Z2494" s="1" t="s">
        <v>71</v>
      </c>
      <c r="AE2494" s="1" t="s">
        <v>8356</v>
      </c>
      <c r="AH2494" s="1" t="s">
        <v>73</v>
      </c>
      <c r="AK2494" s="1" t="s">
        <v>71</v>
      </c>
      <c r="AM2494" s="1" t="s">
        <v>71</v>
      </c>
      <c r="AN2494" s="1" t="s">
        <v>71</v>
      </c>
      <c r="AS2494" s="1" t="s">
        <v>71</v>
      </c>
      <c r="AX2494" s="1" t="s">
        <v>71</v>
      </c>
      <c r="AY2494" s="1" t="s">
        <v>59</v>
      </c>
      <c r="AZ2494" s="1" t="s">
        <v>74</v>
      </c>
      <c r="BH2494" s="1" t="s">
        <v>71</v>
      </c>
    </row>
    <row r="2495" customFormat="false" ht="15" hidden="false" customHeight="false" outlineLevel="0" collapsed="false">
      <c r="A2495" s="1" t="s">
        <v>8357</v>
      </c>
      <c r="B2495" s="1" t="s">
        <v>8358</v>
      </c>
      <c r="C2495" s="1" t="s">
        <v>222</v>
      </c>
      <c r="D2495" s="1" t="s">
        <v>223</v>
      </c>
      <c r="E2495" s="1" t="s">
        <v>61</v>
      </c>
      <c r="F2495" s="1" t="s">
        <v>101</v>
      </c>
      <c r="G2495" s="1" t="s">
        <v>93</v>
      </c>
      <c r="H2495" s="1" t="s">
        <v>64</v>
      </c>
      <c r="K2495" s="1" t="s">
        <v>102</v>
      </c>
      <c r="L2495" s="1" t="s">
        <v>103</v>
      </c>
      <c r="M2495" s="1" t="s">
        <v>104</v>
      </c>
      <c r="N2495" s="1" t="s">
        <v>105</v>
      </c>
      <c r="O2495" s="1" t="s">
        <v>106</v>
      </c>
      <c r="P2495" s="1" t="s">
        <v>3539</v>
      </c>
      <c r="U2495" s="1" t="s">
        <v>8357</v>
      </c>
      <c r="Z2495" s="1" t="s">
        <v>71</v>
      </c>
      <c r="AE2495" s="1" t="s">
        <v>8356</v>
      </c>
      <c r="AH2495" s="1" t="s">
        <v>73</v>
      </c>
      <c r="AK2495" s="1" t="s">
        <v>71</v>
      </c>
      <c r="AM2495" s="1" t="s">
        <v>71</v>
      </c>
      <c r="AN2495" s="1" t="s">
        <v>71</v>
      </c>
      <c r="AS2495" s="1" t="s">
        <v>71</v>
      </c>
      <c r="AX2495" s="1" t="s">
        <v>71</v>
      </c>
      <c r="AY2495" s="1" t="s">
        <v>59</v>
      </c>
      <c r="AZ2495" s="1" t="s">
        <v>74</v>
      </c>
      <c r="BH2495" s="1" t="s">
        <v>71</v>
      </c>
    </row>
    <row r="2496" customFormat="false" ht="15" hidden="false" customHeight="false" outlineLevel="0" collapsed="false">
      <c r="A2496" s="1" t="s">
        <v>8359</v>
      </c>
      <c r="B2496" s="1" t="s">
        <v>8360</v>
      </c>
      <c r="C2496" s="1" t="s">
        <v>8060</v>
      </c>
      <c r="D2496" s="1" t="s">
        <v>8061</v>
      </c>
      <c r="E2496" s="1" t="s">
        <v>93</v>
      </c>
      <c r="F2496" s="1" t="s">
        <v>6348</v>
      </c>
      <c r="G2496" s="1" t="s">
        <v>1335</v>
      </c>
      <c r="H2496" s="1" t="s">
        <v>7658</v>
      </c>
      <c r="K2496" s="1" t="s">
        <v>88</v>
      </c>
      <c r="L2496" s="1" t="s">
        <v>8079</v>
      </c>
      <c r="M2496" s="1" t="s">
        <v>6150</v>
      </c>
      <c r="N2496" s="1" t="s">
        <v>8081</v>
      </c>
      <c r="O2496" s="1" t="s">
        <v>8082</v>
      </c>
      <c r="P2496" s="1" t="s">
        <v>8083</v>
      </c>
      <c r="S2496" s="1" t="s">
        <v>229</v>
      </c>
      <c r="U2496" s="1" t="s">
        <v>8359</v>
      </c>
      <c r="Z2496" s="1" t="s">
        <v>71</v>
      </c>
      <c r="AE2496" s="1" t="s">
        <v>8361</v>
      </c>
      <c r="AH2496" s="1" t="s">
        <v>73</v>
      </c>
      <c r="AK2496" s="1" t="s">
        <v>71</v>
      </c>
      <c r="AM2496" s="1" t="s">
        <v>71</v>
      </c>
      <c r="AN2496" s="1" t="s">
        <v>71</v>
      </c>
      <c r="AS2496" s="1" t="s">
        <v>71</v>
      </c>
      <c r="AX2496" s="1" t="s">
        <v>71</v>
      </c>
      <c r="AY2496" s="1" t="s">
        <v>59</v>
      </c>
      <c r="AZ2496" s="1" t="s">
        <v>74</v>
      </c>
      <c r="BH2496" s="1" t="s">
        <v>71</v>
      </c>
    </row>
    <row r="2497" customFormat="false" ht="15" hidden="false" customHeight="false" outlineLevel="0" collapsed="false">
      <c r="A2497" s="1" t="s">
        <v>8362</v>
      </c>
      <c r="B2497" s="1" t="s">
        <v>8363</v>
      </c>
      <c r="C2497" s="1" t="s">
        <v>8060</v>
      </c>
      <c r="D2497" s="1" t="s">
        <v>8061</v>
      </c>
      <c r="E2497" s="1" t="s">
        <v>93</v>
      </c>
      <c r="F2497" s="1" t="s">
        <v>6348</v>
      </c>
      <c r="G2497" s="1" t="s">
        <v>1335</v>
      </c>
      <c r="H2497" s="1" t="s">
        <v>7658</v>
      </c>
      <c r="K2497" s="1" t="s">
        <v>61</v>
      </c>
      <c r="L2497" s="1" t="s">
        <v>8062</v>
      </c>
      <c r="M2497" s="1" t="s">
        <v>6150</v>
      </c>
      <c r="N2497" s="1" t="s">
        <v>8081</v>
      </c>
      <c r="O2497" s="1" t="s">
        <v>8082</v>
      </c>
      <c r="P2497" s="1" t="s">
        <v>8083</v>
      </c>
      <c r="S2497" s="1" t="s">
        <v>229</v>
      </c>
      <c r="U2497" s="1" t="s">
        <v>8362</v>
      </c>
      <c r="Z2497" s="1" t="s">
        <v>71</v>
      </c>
      <c r="AE2497" s="1" t="s">
        <v>8361</v>
      </c>
      <c r="AH2497" s="1" t="s">
        <v>73</v>
      </c>
      <c r="AK2497" s="1" t="s">
        <v>71</v>
      </c>
      <c r="AM2497" s="1" t="s">
        <v>71</v>
      </c>
      <c r="AN2497" s="1" t="s">
        <v>71</v>
      </c>
      <c r="AS2497" s="1" t="s">
        <v>71</v>
      </c>
      <c r="AX2497" s="1" t="s">
        <v>71</v>
      </c>
      <c r="AY2497" s="1" t="s">
        <v>59</v>
      </c>
      <c r="AZ2497" s="1" t="s">
        <v>74</v>
      </c>
      <c r="BH2497" s="1" t="s">
        <v>71</v>
      </c>
    </row>
    <row r="2498" customFormat="false" ht="15" hidden="false" customHeight="false" outlineLevel="0" collapsed="false">
      <c r="A2498" s="1" t="s">
        <v>8364</v>
      </c>
      <c r="B2498" s="1" t="s">
        <v>8365</v>
      </c>
      <c r="C2498" s="1" t="s">
        <v>8366</v>
      </c>
      <c r="D2498" s="1" t="s">
        <v>8367</v>
      </c>
      <c r="E2498" s="1" t="s">
        <v>93</v>
      </c>
      <c r="F2498" s="1" t="s">
        <v>6348</v>
      </c>
      <c r="G2498" s="1" t="s">
        <v>1335</v>
      </c>
      <c r="H2498" s="1" t="s">
        <v>7658</v>
      </c>
      <c r="K2498" s="1" t="s">
        <v>61</v>
      </c>
      <c r="L2498" s="1" t="s">
        <v>8062</v>
      </c>
      <c r="M2498" s="1" t="s">
        <v>6150</v>
      </c>
      <c r="N2498" s="1" t="s">
        <v>8081</v>
      </c>
      <c r="O2498" s="1" t="s">
        <v>8082</v>
      </c>
      <c r="P2498" s="1" t="s">
        <v>8083</v>
      </c>
      <c r="S2498" s="1" t="s">
        <v>229</v>
      </c>
      <c r="U2498" s="1" t="s">
        <v>8364</v>
      </c>
      <c r="Z2498" s="1" t="s">
        <v>71</v>
      </c>
      <c r="AE2498" s="1" t="s">
        <v>8368</v>
      </c>
      <c r="AH2498" s="1" t="s">
        <v>73</v>
      </c>
      <c r="AK2498" s="1" t="s">
        <v>71</v>
      </c>
      <c r="AM2498" s="1" t="s">
        <v>71</v>
      </c>
      <c r="AN2498" s="1" t="s">
        <v>71</v>
      </c>
      <c r="AS2498" s="1" t="s">
        <v>71</v>
      </c>
      <c r="AX2498" s="1" t="s">
        <v>71</v>
      </c>
      <c r="AY2498" s="1" t="s">
        <v>59</v>
      </c>
      <c r="AZ2498" s="1" t="s">
        <v>74</v>
      </c>
      <c r="BH2498" s="1" t="s">
        <v>71</v>
      </c>
    </row>
    <row r="2499" customFormat="false" ht="15" hidden="false" customHeight="false" outlineLevel="0" collapsed="false">
      <c r="A2499" s="1" t="s">
        <v>8369</v>
      </c>
      <c r="B2499" s="1" t="s">
        <v>8370</v>
      </c>
      <c r="C2499" s="1" t="s">
        <v>8366</v>
      </c>
      <c r="D2499" s="1" t="s">
        <v>8367</v>
      </c>
      <c r="E2499" s="1" t="s">
        <v>93</v>
      </c>
      <c r="F2499" s="1" t="s">
        <v>6348</v>
      </c>
      <c r="G2499" s="1" t="s">
        <v>1335</v>
      </c>
      <c r="H2499" s="1" t="s">
        <v>7658</v>
      </c>
      <c r="K2499" s="1" t="s">
        <v>82</v>
      </c>
      <c r="L2499" s="1" t="s">
        <v>8071</v>
      </c>
      <c r="M2499" s="1" t="s">
        <v>6150</v>
      </c>
      <c r="N2499" s="1" t="s">
        <v>8072</v>
      </c>
      <c r="O2499" s="1" t="s">
        <v>8073</v>
      </c>
      <c r="P2499" s="1" t="s">
        <v>8074</v>
      </c>
      <c r="S2499" s="1" t="s">
        <v>229</v>
      </c>
      <c r="U2499" s="1" t="s">
        <v>8369</v>
      </c>
      <c r="Z2499" s="1" t="s">
        <v>71</v>
      </c>
      <c r="AE2499" s="1" t="s">
        <v>8368</v>
      </c>
      <c r="AH2499" s="1" t="s">
        <v>73</v>
      </c>
      <c r="AK2499" s="1" t="s">
        <v>71</v>
      </c>
      <c r="AM2499" s="1" t="s">
        <v>71</v>
      </c>
      <c r="AN2499" s="1" t="s">
        <v>71</v>
      </c>
      <c r="AS2499" s="1" t="s">
        <v>71</v>
      </c>
      <c r="AX2499" s="1" t="s">
        <v>71</v>
      </c>
      <c r="AY2499" s="1" t="s">
        <v>59</v>
      </c>
      <c r="AZ2499" s="1" t="s">
        <v>74</v>
      </c>
      <c r="BH2499" s="1" t="s">
        <v>71</v>
      </c>
    </row>
    <row r="2500" customFormat="false" ht="15" hidden="false" customHeight="false" outlineLevel="0" collapsed="false">
      <c r="A2500" s="1" t="s">
        <v>8371</v>
      </c>
      <c r="B2500" s="1" t="s">
        <v>8372</v>
      </c>
      <c r="C2500" s="1" t="s">
        <v>8366</v>
      </c>
      <c r="D2500" s="1" t="s">
        <v>8367</v>
      </c>
      <c r="E2500" s="1" t="s">
        <v>93</v>
      </c>
      <c r="F2500" s="1" t="s">
        <v>6348</v>
      </c>
      <c r="G2500" s="1" t="s">
        <v>1335</v>
      </c>
      <c r="H2500" s="1" t="s">
        <v>7658</v>
      </c>
      <c r="K2500" s="1" t="s">
        <v>82</v>
      </c>
      <c r="L2500" s="1" t="s">
        <v>8071</v>
      </c>
      <c r="M2500" s="1" t="s">
        <v>8180</v>
      </c>
      <c r="N2500" s="1" t="s">
        <v>8072</v>
      </c>
      <c r="O2500" s="1" t="s">
        <v>8073</v>
      </c>
      <c r="P2500" s="1" t="s">
        <v>8074</v>
      </c>
      <c r="S2500" s="1" t="s">
        <v>229</v>
      </c>
      <c r="U2500" s="1" t="s">
        <v>8371</v>
      </c>
      <c r="Z2500" s="1" t="s">
        <v>71</v>
      </c>
      <c r="AE2500" s="1" t="s">
        <v>8368</v>
      </c>
      <c r="AH2500" s="1" t="s">
        <v>73</v>
      </c>
      <c r="AK2500" s="1" t="s">
        <v>71</v>
      </c>
      <c r="AM2500" s="1" t="s">
        <v>71</v>
      </c>
      <c r="AN2500" s="1" t="s">
        <v>71</v>
      </c>
      <c r="AS2500" s="1" t="s">
        <v>71</v>
      </c>
      <c r="AX2500" s="1" t="s">
        <v>71</v>
      </c>
      <c r="AY2500" s="1" t="s">
        <v>59</v>
      </c>
      <c r="AZ2500" s="1" t="s">
        <v>74</v>
      </c>
      <c r="BH2500" s="1" t="s">
        <v>71</v>
      </c>
    </row>
    <row r="2501" customFormat="false" ht="15" hidden="false" customHeight="false" outlineLevel="0" collapsed="false">
      <c r="A2501" s="1" t="s">
        <v>8373</v>
      </c>
      <c r="B2501" s="1" t="s">
        <v>8374</v>
      </c>
      <c r="C2501" s="1" t="s">
        <v>8366</v>
      </c>
      <c r="D2501" s="1" t="s">
        <v>8367</v>
      </c>
      <c r="E2501" s="1" t="s">
        <v>93</v>
      </c>
      <c r="F2501" s="1" t="s">
        <v>6348</v>
      </c>
      <c r="G2501" s="1" t="s">
        <v>1335</v>
      </c>
      <c r="H2501" s="1" t="s">
        <v>7658</v>
      </c>
      <c r="K2501" s="1" t="s">
        <v>82</v>
      </c>
      <c r="L2501" s="1" t="s">
        <v>8071</v>
      </c>
      <c r="M2501" s="1" t="s">
        <v>6852</v>
      </c>
      <c r="N2501" s="1" t="s">
        <v>8375</v>
      </c>
      <c r="O2501" s="1" t="s">
        <v>8376</v>
      </c>
      <c r="P2501" s="1" t="s">
        <v>8081</v>
      </c>
      <c r="S2501" s="1" t="s">
        <v>229</v>
      </c>
      <c r="U2501" s="1" t="s">
        <v>8373</v>
      </c>
      <c r="Z2501" s="1" t="s">
        <v>71</v>
      </c>
      <c r="AE2501" s="1" t="s">
        <v>8368</v>
      </c>
      <c r="AH2501" s="1" t="s">
        <v>73</v>
      </c>
      <c r="AK2501" s="1" t="s">
        <v>71</v>
      </c>
      <c r="AM2501" s="1" t="s">
        <v>71</v>
      </c>
      <c r="AN2501" s="1" t="s">
        <v>71</v>
      </c>
      <c r="AS2501" s="1" t="s">
        <v>71</v>
      </c>
      <c r="AX2501" s="1" t="s">
        <v>71</v>
      </c>
      <c r="AY2501" s="1" t="s">
        <v>59</v>
      </c>
      <c r="AZ2501" s="1" t="s">
        <v>74</v>
      </c>
      <c r="BH2501" s="1" t="s">
        <v>71</v>
      </c>
    </row>
    <row r="2502" customFormat="false" ht="15" hidden="false" customHeight="false" outlineLevel="0" collapsed="false">
      <c r="A2502" s="1" t="s">
        <v>8377</v>
      </c>
      <c r="B2502" s="1" t="s">
        <v>8378</v>
      </c>
      <c r="C2502" s="1" t="s">
        <v>8366</v>
      </c>
      <c r="D2502" s="1" t="s">
        <v>8367</v>
      </c>
      <c r="E2502" s="1" t="s">
        <v>93</v>
      </c>
      <c r="F2502" s="1" t="s">
        <v>6348</v>
      </c>
      <c r="G2502" s="1" t="s">
        <v>1335</v>
      </c>
      <c r="H2502" s="1" t="s">
        <v>7658</v>
      </c>
      <c r="K2502" s="1" t="s">
        <v>88</v>
      </c>
      <c r="L2502" s="1" t="s">
        <v>8079</v>
      </c>
      <c r="M2502" s="1" t="s">
        <v>8379</v>
      </c>
      <c r="N2502" s="1" t="s">
        <v>8375</v>
      </c>
      <c r="O2502" s="1" t="s">
        <v>8376</v>
      </c>
      <c r="P2502" s="1" t="s">
        <v>8081</v>
      </c>
      <c r="S2502" s="1" t="s">
        <v>229</v>
      </c>
      <c r="U2502" s="1" t="s">
        <v>8377</v>
      </c>
      <c r="Z2502" s="1" t="s">
        <v>71</v>
      </c>
      <c r="AE2502" s="1" t="s">
        <v>8368</v>
      </c>
      <c r="AH2502" s="1" t="s">
        <v>73</v>
      </c>
      <c r="AK2502" s="1" t="s">
        <v>71</v>
      </c>
      <c r="AM2502" s="1" t="s">
        <v>71</v>
      </c>
      <c r="AN2502" s="1" t="s">
        <v>71</v>
      </c>
      <c r="AS2502" s="1" t="s">
        <v>71</v>
      </c>
      <c r="AX2502" s="1" t="s">
        <v>71</v>
      </c>
      <c r="AY2502" s="1" t="s">
        <v>59</v>
      </c>
      <c r="AZ2502" s="1" t="s">
        <v>74</v>
      </c>
      <c r="BH2502" s="1" t="s">
        <v>71</v>
      </c>
    </row>
    <row r="2503" customFormat="false" ht="15" hidden="false" customHeight="false" outlineLevel="0" collapsed="false">
      <c r="A2503" s="1" t="s">
        <v>8380</v>
      </c>
      <c r="B2503" s="1" t="s">
        <v>8381</v>
      </c>
      <c r="C2503" s="1" t="s">
        <v>2397</v>
      </c>
      <c r="D2503" s="1" t="s">
        <v>8179</v>
      </c>
      <c r="E2503" s="1" t="s">
        <v>93</v>
      </c>
      <c r="F2503" s="1" t="s">
        <v>6348</v>
      </c>
      <c r="G2503" s="1" t="s">
        <v>372</v>
      </c>
      <c r="H2503" s="1" t="s">
        <v>5583</v>
      </c>
      <c r="K2503" s="1" t="s">
        <v>59</v>
      </c>
      <c r="L2503" s="1" t="s">
        <v>6341</v>
      </c>
      <c r="M2503" s="1" t="s">
        <v>8195</v>
      </c>
      <c r="N2503" s="1" t="s">
        <v>8186</v>
      </c>
      <c r="O2503" s="1" t="s">
        <v>8187</v>
      </c>
      <c r="P2503" s="1" t="s">
        <v>8188</v>
      </c>
      <c r="U2503" s="1" t="s">
        <v>8380</v>
      </c>
      <c r="Z2503" s="1" t="s">
        <v>71</v>
      </c>
      <c r="AE2503" s="1" t="s">
        <v>8382</v>
      </c>
      <c r="AH2503" s="1" t="s">
        <v>73</v>
      </c>
      <c r="AK2503" s="1" t="s">
        <v>71</v>
      </c>
      <c r="AM2503" s="1" t="s">
        <v>71</v>
      </c>
      <c r="AN2503" s="1" t="s">
        <v>71</v>
      </c>
      <c r="AS2503" s="1" t="s">
        <v>71</v>
      </c>
      <c r="AX2503" s="1" t="s">
        <v>71</v>
      </c>
      <c r="AY2503" s="1" t="s">
        <v>59</v>
      </c>
      <c r="AZ2503" s="1" t="s">
        <v>74</v>
      </c>
      <c r="BH2503" s="1" t="s">
        <v>71</v>
      </c>
    </row>
    <row r="2504" customFormat="false" ht="15" hidden="false" customHeight="false" outlineLevel="0" collapsed="false">
      <c r="A2504" s="1" t="s">
        <v>8383</v>
      </c>
      <c r="B2504" s="1" t="s">
        <v>8384</v>
      </c>
      <c r="C2504" s="1" t="s">
        <v>2397</v>
      </c>
      <c r="D2504" s="1" t="s">
        <v>8179</v>
      </c>
      <c r="E2504" s="1" t="s">
        <v>93</v>
      </c>
      <c r="F2504" s="1" t="s">
        <v>6348</v>
      </c>
      <c r="G2504" s="1" t="s">
        <v>372</v>
      </c>
      <c r="H2504" s="1" t="s">
        <v>5583</v>
      </c>
      <c r="K2504" s="1" t="s">
        <v>59</v>
      </c>
      <c r="L2504" s="1" t="s">
        <v>6341</v>
      </c>
      <c r="M2504" s="1" t="s">
        <v>8198</v>
      </c>
      <c r="N2504" s="1" t="s">
        <v>8186</v>
      </c>
      <c r="O2504" s="1" t="s">
        <v>8187</v>
      </c>
      <c r="P2504" s="1" t="s">
        <v>8188</v>
      </c>
      <c r="U2504" s="1" t="s">
        <v>8383</v>
      </c>
      <c r="Z2504" s="1" t="s">
        <v>71</v>
      </c>
      <c r="AE2504" s="1" t="s">
        <v>8382</v>
      </c>
      <c r="AH2504" s="1" t="s">
        <v>73</v>
      </c>
      <c r="AK2504" s="1" t="s">
        <v>71</v>
      </c>
      <c r="AM2504" s="1" t="s">
        <v>71</v>
      </c>
      <c r="AN2504" s="1" t="s">
        <v>71</v>
      </c>
      <c r="AS2504" s="1" t="s">
        <v>71</v>
      </c>
      <c r="AX2504" s="1" t="s">
        <v>71</v>
      </c>
      <c r="AY2504" s="1" t="s">
        <v>59</v>
      </c>
      <c r="AZ2504" s="1" t="s">
        <v>74</v>
      </c>
      <c r="BH2504" s="1" t="s">
        <v>71</v>
      </c>
    </row>
    <row r="2505" customFormat="false" ht="15" hidden="false" customHeight="false" outlineLevel="0" collapsed="false">
      <c r="A2505" s="1" t="s">
        <v>8385</v>
      </c>
      <c r="B2505" s="1" t="s">
        <v>8386</v>
      </c>
      <c r="C2505" s="1" t="s">
        <v>8366</v>
      </c>
      <c r="D2505" s="1" t="s">
        <v>8367</v>
      </c>
      <c r="E2505" s="1" t="s">
        <v>93</v>
      </c>
      <c r="F2505" s="1" t="s">
        <v>6348</v>
      </c>
      <c r="G2505" s="1" t="s">
        <v>493</v>
      </c>
      <c r="H2505" s="1" t="s">
        <v>8387</v>
      </c>
      <c r="K2505" s="1" t="s">
        <v>59</v>
      </c>
      <c r="L2505" s="1" t="s">
        <v>8388</v>
      </c>
      <c r="M2505" s="1" t="s">
        <v>6746</v>
      </c>
      <c r="N2505" s="1" t="s">
        <v>8389</v>
      </c>
      <c r="O2505" s="1" t="s">
        <v>8390</v>
      </c>
      <c r="P2505" s="1" t="s">
        <v>8391</v>
      </c>
      <c r="U2505" s="1" t="s">
        <v>8385</v>
      </c>
      <c r="Z2505" s="1" t="s">
        <v>71</v>
      </c>
      <c r="AE2505" s="1" t="s">
        <v>8382</v>
      </c>
      <c r="AH2505" s="1" t="s">
        <v>73</v>
      </c>
      <c r="AK2505" s="1" t="s">
        <v>71</v>
      </c>
      <c r="AM2505" s="1" t="s">
        <v>71</v>
      </c>
      <c r="AN2505" s="1" t="s">
        <v>71</v>
      </c>
      <c r="AS2505" s="1" t="s">
        <v>71</v>
      </c>
      <c r="AX2505" s="1" t="s">
        <v>71</v>
      </c>
      <c r="AY2505" s="1" t="s">
        <v>59</v>
      </c>
      <c r="AZ2505" s="1" t="s">
        <v>74</v>
      </c>
      <c r="BH2505" s="1" t="s">
        <v>71</v>
      </c>
    </row>
    <row r="2506" customFormat="false" ht="15" hidden="false" customHeight="false" outlineLevel="0" collapsed="false">
      <c r="A2506" s="1" t="s">
        <v>8392</v>
      </c>
      <c r="B2506" s="1" t="s">
        <v>2549</v>
      </c>
      <c r="C2506" s="1" t="s">
        <v>356</v>
      </c>
      <c r="D2506" s="1" t="s">
        <v>1478</v>
      </c>
      <c r="E2506" s="1" t="s">
        <v>61</v>
      </c>
      <c r="F2506" s="1" t="s">
        <v>101</v>
      </c>
      <c r="G2506" s="1" t="s">
        <v>275</v>
      </c>
      <c r="H2506" s="1" t="s">
        <v>276</v>
      </c>
      <c r="K2506" s="1" t="s">
        <v>157</v>
      </c>
      <c r="L2506" s="1" t="s">
        <v>1363</v>
      </c>
      <c r="M2506" s="1" t="s">
        <v>1364</v>
      </c>
      <c r="N2506" s="1" t="s">
        <v>279</v>
      </c>
      <c r="O2506" s="1" t="s">
        <v>280</v>
      </c>
      <c r="P2506" s="1" t="s">
        <v>4895</v>
      </c>
      <c r="Z2506" s="1" t="s">
        <v>71</v>
      </c>
      <c r="AE2506" s="1" t="s">
        <v>8393</v>
      </c>
      <c r="AH2506" s="1" t="s">
        <v>73</v>
      </c>
      <c r="AK2506" s="1" t="s">
        <v>71</v>
      </c>
      <c r="AM2506" s="1" t="s">
        <v>71</v>
      </c>
      <c r="AN2506" s="1" t="s">
        <v>71</v>
      </c>
      <c r="AS2506" s="1" t="s">
        <v>71</v>
      </c>
      <c r="AX2506" s="1" t="s">
        <v>71</v>
      </c>
      <c r="AY2506" s="1" t="s">
        <v>59</v>
      </c>
      <c r="AZ2506" s="1" t="s">
        <v>74</v>
      </c>
      <c r="BH2506" s="1" t="s">
        <v>71</v>
      </c>
    </row>
    <row r="2507" customFormat="false" ht="15" hidden="false" customHeight="false" outlineLevel="0" collapsed="false">
      <c r="A2507" s="1" t="s">
        <v>8394</v>
      </c>
      <c r="B2507" s="1" t="s">
        <v>8395</v>
      </c>
      <c r="C2507" s="1" t="s">
        <v>8366</v>
      </c>
      <c r="D2507" s="1" t="s">
        <v>8367</v>
      </c>
      <c r="E2507" s="1" t="s">
        <v>93</v>
      </c>
      <c r="F2507" s="1" t="s">
        <v>6348</v>
      </c>
      <c r="G2507" s="1" t="s">
        <v>493</v>
      </c>
      <c r="H2507" s="1" t="s">
        <v>8387</v>
      </c>
      <c r="K2507" s="1" t="s">
        <v>59</v>
      </c>
      <c r="L2507" s="1" t="s">
        <v>8388</v>
      </c>
      <c r="M2507" s="1" t="s">
        <v>258</v>
      </c>
      <c r="N2507" s="1" t="s">
        <v>8389</v>
      </c>
      <c r="O2507" s="1" t="s">
        <v>8390</v>
      </c>
      <c r="P2507" s="1" t="s">
        <v>8391</v>
      </c>
      <c r="U2507" s="1" t="s">
        <v>8394</v>
      </c>
      <c r="Z2507" s="1" t="s">
        <v>71</v>
      </c>
      <c r="AE2507" s="1" t="s">
        <v>8393</v>
      </c>
      <c r="AH2507" s="1" t="s">
        <v>73</v>
      </c>
      <c r="AK2507" s="1" t="s">
        <v>71</v>
      </c>
      <c r="AM2507" s="1" t="s">
        <v>71</v>
      </c>
      <c r="AN2507" s="1" t="s">
        <v>71</v>
      </c>
      <c r="AS2507" s="1" t="s">
        <v>71</v>
      </c>
      <c r="AX2507" s="1" t="s">
        <v>71</v>
      </c>
      <c r="AY2507" s="1" t="s">
        <v>59</v>
      </c>
      <c r="AZ2507" s="1" t="s">
        <v>74</v>
      </c>
      <c r="BH2507" s="1" t="s">
        <v>71</v>
      </c>
    </row>
    <row r="2508" customFormat="false" ht="15" hidden="false" customHeight="false" outlineLevel="0" collapsed="false">
      <c r="A2508" s="1" t="s">
        <v>8396</v>
      </c>
      <c r="B2508" s="1" t="s">
        <v>8397</v>
      </c>
      <c r="C2508" s="1" t="s">
        <v>2468</v>
      </c>
      <c r="D2508" s="1" t="s">
        <v>5530</v>
      </c>
      <c r="E2508" s="1" t="s">
        <v>61</v>
      </c>
      <c r="F2508" s="1" t="s">
        <v>101</v>
      </c>
      <c r="G2508" s="1" t="s">
        <v>275</v>
      </c>
      <c r="H2508" s="1" t="s">
        <v>276</v>
      </c>
      <c r="K2508" s="1" t="s">
        <v>157</v>
      </c>
      <c r="L2508" s="1" t="s">
        <v>1363</v>
      </c>
      <c r="M2508" s="1" t="s">
        <v>296</v>
      </c>
      <c r="N2508" s="1" t="s">
        <v>5824</v>
      </c>
      <c r="O2508" s="1" t="s">
        <v>5825</v>
      </c>
      <c r="P2508" s="1" t="s">
        <v>5826</v>
      </c>
      <c r="U2508" s="1" t="s">
        <v>8396</v>
      </c>
      <c r="Z2508" s="1" t="s">
        <v>71</v>
      </c>
      <c r="AE2508" s="1" t="s">
        <v>8398</v>
      </c>
      <c r="AH2508" s="1" t="s">
        <v>73</v>
      </c>
      <c r="AK2508" s="1" t="s">
        <v>71</v>
      </c>
      <c r="AM2508" s="1" t="s">
        <v>71</v>
      </c>
      <c r="AN2508" s="1" t="s">
        <v>71</v>
      </c>
      <c r="AS2508" s="1" t="s">
        <v>71</v>
      </c>
      <c r="AX2508" s="1" t="s">
        <v>71</v>
      </c>
      <c r="AY2508" s="1" t="s">
        <v>59</v>
      </c>
      <c r="AZ2508" s="1" t="s">
        <v>74</v>
      </c>
      <c r="BH2508" s="1" t="s">
        <v>71</v>
      </c>
    </row>
    <row r="2509" customFormat="false" ht="15" hidden="false" customHeight="false" outlineLevel="0" collapsed="false">
      <c r="A2509" s="1" t="s">
        <v>8399</v>
      </c>
      <c r="B2509" s="1" t="s">
        <v>8400</v>
      </c>
      <c r="C2509" s="1" t="s">
        <v>265</v>
      </c>
      <c r="D2509" s="1" t="s">
        <v>897</v>
      </c>
      <c r="E2509" s="1" t="s">
        <v>82</v>
      </c>
      <c r="F2509" s="1" t="s">
        <v>391</v>
      </c>
      <c r="G2509" s="1" t="s">
        <v>213</v>
      </c>
      <c r="H2509" s="1" t="s">
        <v>477</v>
      </c>
      <c r="K2509" s="1" t="s">
        <v>478</v>
      </c>
      <c r="L2509" s="1" t="s">
        <v>479</v>
      </c>
      <c r="M2509" s="1" t="s">
        <v>496</v>
      </c>
      <c r="N2509" s="1" t="s">
        <v>8401</v>
      </c>
      <c r="O2509" s="1" t="s">
        <v>8402</v>
      </c>
      <c r="P2509" s="1" t="s">
        <v>8403</v>
      </c>
      <c r="U2509" s="1" t="s">
        <v>8399</v>
      </c>
      <c r="Z2509" s="1" t="s">
        <v>71</v>
      </c>
      <c r="AE2509" s="1" t="s">
        <v>8398</v>
      </c>
      <c r="AH2509" s="1" t="s">
        <v>73</v>
      </c>
      <c r="AK2509" s="1" t="s">
        <v>71</v>
      </c>
      <c r="AM2509" s="1" t="s">
        <v>71</v>
      </c>
      <c r="AN2509" s="1" t="s">
        <v>71</v>
      </c>
      <c r="AS2509" s="1" t="s">
        <v>71</v>
      </c>
      <c r="AX2509" s="1" t="s">
        <v>71</v>
      </c>
      <c r="BH2509" s="1" t="s">
        <v>71</v>
      </c>
    </row>
    <row r="2510" customFormat="false" ht="15" hidden="false" customHeight="false" outlineLevel="0" collapsed="false">
      <c r="A2510" s="1" t="s">
        <v>8404</v>
      </c>
      <c r="B2510" s="1" t="s">
        <v>8405</v>
      </c>
      <c r="C2510" s="1" t="s">
        <v>265</v>
      </c>
      <c r="D2510" s="1" t="s">
        <v>897</v>
      </c>
      <c r="E2510" s="1" t="s">
        <v>82</v>
      </c>
      <c r="F2510" s="1" t="s">
        <v>391</v>
      </c>
      <c r="G2510" s="1" t="s">
        <v>213</v>
      </c>
      <c r="H2510" s="1" t="s">
        <v>477</v>
      </c>
      <c r="K2510" s="1" t="s">
        <v>478</v>
      </c>
      <c r="L2510" s="1" t="s">
        <v>479</v>
      </c>
      <c r="M2510" s="1" t="s">
        <v>496</v>
      </c>
      <c r="N2510" s="1" t="s">
        <v>8406</v>
      </c>
      <c r="O2510" s="1" t="s">
        <v>8407</v>
      </c>
      <c r="P2510" s="1" t="s">
        <v>8408</v>
      </c>
      <c r="U2510" s="1" t="s">
        <v>8404</v>
      </c>
      <c r="Z2510" s="1" t="s">
        <v>71</v>
      </c>
      <c r="AE2510" s="1" t="s">
        <v>8398</v>
      </c>
      <c r="AH2510" s="1" t="s">
        <v>73</v>
      </c>
      <c r="AK2510" s="1" t="s">
        <v>71</v>
      </c>
      <c r="AS2510" s="1" t="s">
        <v>71</v>
      </c>
    </row>
    <row r="2511" customFormat="false" ht="15" hidden="false" customHeight="false" outlineLevel="0" collapsed="false">
      <c r="A2511" s="1" t="s">
        <v>8409</v>
      </c>
      <c r="B2511" s="1" t="s">
        <v>8410</v>
      </c>
      <c r="C2511" s="1" t="s">
        <v>2469</v>
      </c>
      <c r="D2511" s="1" t="s">
        <v>8411</v>
      </c>
      <c r="E2511" s="1" t="s">
        <v>93</v>
      </c>
      <c r="F2511" s="1" t="s">
        <v>6348</v>
      </c>
      <c r="G2511" s="1" t="s">
        <v>152</v>
      </c>
      <c r="H2511" s="1" t="s">
        <v>6368</v>
      </c>
      <c r="K2511" s="1" t="s">
        <v>59</v>
      </c>
      <c r="L2511" s="1" t="s">
        <v>8412</v>
      </c>
      <c r="M2511" s="1" t="s">
        <v>7395</v>
      </c>
      <c r="N2511" s="1" t="s">
        <v>8413</v>
      </c>
      <c r="O2511" s="1" t="s">
        <v>8414</v>
      </c>
      <c r="P2511" s="1" t="s">
        <v>8415</v>
      </c>
      <c r="S2511" s="1" t="s">
        <v>229</v>
      </c>
      <c r="U2511" s="1" t="s">
        <v>8409</v>
      </c>
      <c r="Z2511" s="1" t="s">
        <v>7317</v>
      </c>
      <c r="AE2511" s="1" t="s">
        <v>8416</v>
      </c>
      <c r="AH2511" s="1" t="s">
        <v>73</v>
      </c>
      <c r="AK2511" s="1" t="s">
        <v>71</v>
      </c>
      <c r="AM2511" s="1" t="s">
        <v>71</v>
      </c>
      <c r="AN2511" s="1" t="s">
        <v>71</v>
      </c>
      <c r="AS2511" s="1" t="s">
        <v>71</v>
      </c>
      <c r="AX2511" s="1" t="s">
        <v>71</v>
      </c>
      <c r="AY2511" s="1" t="s">
        <v>59</v>
      </c>
      <c r="AZ2511" s="1" t="s">
        <v>74</v>
      </c>
      <c r="BH2511" s="1" t="s">
        <v>71</v>
      </c>
    </row>
    <row r="2512" customFormat="false" ht="15" hidden="false" customHeight="false" outlineLevel="0" collapsed="false">
      <c r="A2512" s="1" t="s">
        <v>8417</v>
      </c>
      <c r="B2512" s="1" t="s">
        <v>8418</v>
      </c>
      <c r="C2512" s="1" t="s">
        <v>2060</v>
      </c>
      <c r="D2512" s="1" t="s">
        <v>7177</v>
      </c>
      <c r="E2512" s="1" t="s">
        <v>61</v>
      </c>
      <c r="F2512" s="1" t="s">
        <v>101</v>
      </c>
      <c r="G2512" s="1" t="s">
        <v>93</v>
      </c>
      <c r="H2512" s="1" t="s">
        <v>64</v>
      </c>
      <c r="K2512" s="1" t="s">
        <v>1092</v>
      </c>
      <c r="L2512" s="1" t="s">
        <v>1093</v>
      </c>
      <c r="M2512" s="1" t="s">
        <v>592</v>
      </c>
      <c r="N2512" s="1" t="s">
        <v>105</v>
      </c>
      <c r="O2512" s="1" t="s">
        <v>106</v>
      </c>
      <c r="P2512" s="1" t="s">
        <v>3539</v>
      </c>
      <c r="U2512" s="1" t="s">
        <v>8417</v>
      </c>
      <c r="Z2512" s="1" t="s">
        <v>71</v>
      </c>
      <c r="AE2512" s="1" t="s">
        <v>8416</v>
      </c>
      <c r="AH2512" s="1" t="s">
        <v>73</v>
      </c>
      <c r="AK2512" s="1" t="s">
        <v>71</v>
      </c>
      <c r="AM2512" s="1" t="s">
        <v>71</v>
      </c>
      <c r="AN2512" s="1" t="s">
        <v>71</v>
      </c>
      <c r="AS2512" s="1" t="s">
        <v>71</v>
      </c>
      <c r="AX2512" s="1" t="s">
        <v>71</v>
      </c>
      <c r="AY2512" s="1" t="s">
        <v>59</v>
      </c>
      <c r="AZ2512" s="1" t="s">
        <v>74</v>
      </c>
      <c r="BH2512" s="1" t="s">
        <v>71</v>
      </c>
    </row>
    <row r="2513" customFormat="false" ht="15" hidden="false" customHeight="false" outlineLevel="0" collapsed="false">
      <c r="A2513" s="1" t="s">
        <v>8419</v>
      </c>
      <c r="B2513" s="1" t="s">
        <v>8420</v>
      </c>
      <c r="C2513" s="1" t="s">
        <v>2090</v>
      </c>
      <c r="D2513" s="1" t="s">
        <v>7238</v>
      </c>
      <c r="E2513" s="1" t="s">
        <v>61</v>
      </c>
      <c r="F2513" s="1" t="s">
        <v>101</v>
      </c>
      <c r="G2513" s="1" t="s">
        <v>93</v>
      </c>
      <c r="H2513" s="1" t="s">
        <v>64</v>
      </c>
      <c r="K2513" s="1" t="s">
        <v>5290</v>
      </c>
      <c r="L2513" s="1" t="s">
        <v>8421</v>
      </c>
      <c r="M2513" s="1" t="s">
        <v>310</v>
      </c>
      <c r="N2513" s="1" t="s">
        <v>105</v>
      </c>
      <c r="O2513" s="1" t="s">
        <v>106</v>
      </c>
      <c r="P2513" s="1" t="s">
        <v>3539</v>
      </c>
      <c r="U2513" s="1" t="s">
        <v>8419</v>
      </c>
      <c r="Z2513" s="1" t="s">
        <v>71</v>
      </c>
      <c r="AE2513" s="1" t="s">
        <v>8422</v>
      </c>
      <c r="AH2513" s="1" t="s">
        <v>73</v>
      </c>
      <c r="AK2513" s="1" t="s">
        <v>71</v>
      </c>
      <c r="AM2513" s="1" t="s">
        <v>71</v>
      </c>
      <c r="AN2513" s="1" t="s">
        <v>71</v>
      </c>
      <c r="AS2513" s="1" t="s">
        <v>71</v>
      </c>
      <c r="AX2513" s="1" t="s">
        <v>71</v>
      </c>
      <c r="AY2513" s="1" t="s">
        <v>59</v>
      </c>
      <c r="AZ2513" s="1" t="s">
        <v>74</v>
      </c>
      <c r="BH2513" s="1" t="s">
        <v>71</v>
      </c>
    </row>
    <row r="2514" customFormat="false" ht="15" hidden="false" customHeight="false" outlineLevel="0" collapsed="false">
      <c r="A2514" s="1" t="s">
        <v>8423</v>
      </c>
      <c r="B2514" s="1" t="s">
        <v>8424</v>
      </c>
      <c r="C2514" s="1" t="s">
        <v>2090</v>
      </c>
      <c r="D2514" s="1" t="s">
        <v>7238</v>
      </c>
      <c r="E2514" s="1" t="s">
        <v>61</v>
      </c>
      <c r="F2514" s="1" t="s">
        <v>101</v>
      </c>
      <c r="G2514" s="1" t="s">
        <v>115</v>
      </c>
      <c r="H2514" s="1" t="s">
        <v>5689</v>
      </c>
      <c r="K2514" s="1" t="s">
        <v>61</v>
      </c>
      <c r="L2514" s="1" t="s">
        <v>5972</v>
      </c>
      <c r="M2514" s="1" t="s">
        <v>1387</v>
      </c>
      <c r="N2514" s="1" t="s">
        <v>6195</v>
      </c>
      <c r="O2514" s="1" t="s">
        <v>6196</v>
      </c>
      <c r="P2514" s="1" t="s">
        <v>6197</v>
      </c>
      <c r="U2514" s="1" t="s">
        <v>8423</v>
      </c>
      <c r="V2514" s="1" t="s">
        <v>8425</v>
      </c>
      <c r="Z2514" s="1" t="s">
        <v>71</v>
      </c>
      <c r="AE2514" s="1" t="s">
        <v>8422</v>
      </c>
      <c r="AH2514" s="1" t="s">
        <v>73</v>
      </c>
      <c r="AK2514" s="1" t="s">
        <v>71</v>
      </c>
      <c r="AM2514" s="1" t="s">
        <v>71</v>
      </c>
      <c r="AN2514" s="1" t="s">
        <v>71</v>
      </c>
      <c r="AS2514" s="1" t="s">
        <v>71</v>
      </c>
      <c r="AX2514" s="1" t="s">
        <v>71</v>
      </c>
      <c r="AY2514" s="1" t="s">
        <v>59</v>
      </c>
      <c r="AZ2514" s="1" t="s">
        <v>74</v>
      </c>
      <c r="BH2514" s="1" t="s">
        <v>71</v>
      </c>
    </row>
    <row r="2515" customFormat="false" ht="15" hidden="false" customHeight="false" outlineLevel="0" collapsed="false">
      <c r="A2515" s="1" t="s">
        <v>8426</v>
      </c>
      <c r="B2515" s="1" t="s">
        <v>8427</v>
      </c>
      <c r="C2515" s="1" t="s">
        <v>2090</v>
      </c>
      <c r="D2515" s="1" t="s">
        <v>7238</v>
      </c>
      <c r="E2515" s="1" t="s">
        <v>61</v>
      </c>
      <c r="F2515" s="1" t="s">
        <v>101</v>
      </c>
      <c r="G2515" s="1" t="s">
        <v>93</v>
      </c>
      <c r="H2515" s="1" t="s">
        <v>64</v>
      </c>
      <c r="K2515" s="1" t="s">
        <v>251</v>
      </c>
      <c r="L2515" s="1" t="s">
        <v>1084</v>
      </c>
      <c r="M2515" s="1" t="s">
        <v>104</v>
      </c>
      <c r="N2515" s="1" t="s">
        <v>105</v>
      </c>
      <c r="O2515" s="1" t="s">
        <v>106</v>
      </c>
      <c r="P2515" s="1" t="s">
        <v>3539</v>
      </c>
      <c r="U2515" s="1" t="s">
        <v>8426</v>
      </c>
      <c r="Z2515" s="1" t="s">
        <v>71</v>
      </c>
      <c r="AE2515" s="1" t="s">
        <v>8422</v>
      </c>
      <c r="AH2515" s="1" t="s">
        <v>73</v>
      </c>
      <c r="AK2515" s="1" t="s">
        <v>71</v>
      </c>
      <c r="AM2515" s="1" t="s">
        <v>71</v>
      </c>
      <c r="AN2515" s="1" t="s">
        <v>71</v>
      </c>
      <c r="AS2515" s="1" t="s">
        <v>71</v>
      </c>
      <c r="AX2515" s="1" t="s">
        <v>71</v>
      </c>
      <c r="AY2515" s="1" t="s">
        <v>59</v>
      </c>
      <c r="AZ2515" s="1" t="s">
        <v>74</v>
      </c>
      <c r="BH2515" s="1" t="s">
        <v>71</v>
      </c>
    </row>
    <row r="2516" customFormat="false" ht="15" hidden="false" customHeight="false" outlineLevel="0" collapsed="false">
      <c r="A2516" s="1" t="s">
        <v>8428</v>
      </c>
      <c r="B2516" s="1" t="s">
        <v>8429</v>
      </c>
      <c r="C2516" s="1" t="s">
        <v>2090</v>
      </c>
      <c r="D2516" s="1" t="s">
        <v>7238</v>
      </c>
      <c r="E2516" s="1" t="s">
        <v>61</v>
      </c>
      <c r="F2516" s="1" t="s">
        <v>101</v>
      </c>
      <c r="G2516" s="1" t="s">
        <v>93</v>
      </c>
      <c r="H2516" s="1" t="s">
        <v>64</v>
      </c>
      <c r="K2516" s="1" t="s">
        <v>217</v>
      </c>
      <c r="L2516" s="1" t="s">
        <v>218</v>
      </c>
      <c r="M2516" s="1" t="s">
        <v>828</v>
      </c>
      <c r="N2516" s="1" t="s">
        <v>105</v>
      </c>
      <c r="O2516" s="1" t="s">
        <v>106</v>
      </c>
      <c r="P2516" s="1" t="s">
        <v>3539</v>
      </c>
      <c r="U2516" s="1" t="s">
        <v>8428</v>
      </c>
      <c r="Z2516" s="1" t="s">
        <v>71</v>
      </c>
      <c r="AE2516" s="1" t="s">
        <v>8422</v>
      </c>
      <c r="AH2516" s="1" t="s">
        <v>73</v>
      </c>
      <c r="AK2516" s="1" t="s">
        <v>71</v>
      </c>
      <c r="AM2516" s="1" t="s">
        <v>71</v>
      </c>
      <c r="AN2516" s="1" t="s">
        <v>71</v>
      </c>
      <c r="AS2516" s="1" t="s">
        <v>71</v>
      </c>
      <c r="AX2516" s="1" t="s">
        <v>71</v>
      </c>
      <c r="AY2516" s="1" t="s">
        <v>59</v>
      </c>
      <c r="AZ2516" s="1" t="s">
        <v>74</v>
      </c>
      <c r="BH2516" s="1" t="s">
        <v>71</v>
      </c>
    </row>
    <row r="2517" customFormat="false" ht="15" hidden="false" customHeight="false" outlineLevel="0" collapsed="false">
      <c r="A2517" s="1" t="s">
        <v>8430</v>
      </c>
      <c r="B2517" s="1" t="s">
        <v>8431</v>
      </c>
      <c r="C2517" s="1" t="s">
        <v>2483</v>
      </c>
      <c r="D2517" s="1" t="s">
        <v>8432</v>
      </c>
      <c r="E2517" s="1" t="s">
        <v>93</v>
      </c>
      <c r="F2517" s="1" t="s">
        <v>6348</v>
      </c>
      <c r="G2517" s="1" t="s">
        <v>155</v>
      </c>
      <c r="H2517" s="1" t="s">
        <v>8433</v>
      </c>
      <c r="K2517" s="1" t="s">
        <v>59</v>
      </c>
      <c r="L2517" s="1" t="s">
        <v>8434</v>
      </c>
      <c r="M2517" s="1" t="s">
        <v>8435</v>
      </c>
      <c r="N2517" s="1" t="s">
        <v>8436</v>
      </c>
      <c r="O2517" s="1" t="s">
        <v>8437</v>
      </c>
      <c r="P2517" s="1" t="s">
        <v>8438</v>
      </c>
      <c r="S2517" s="1" t="s">
        <v>229</v>
      </c>
      <c r="U2517" s="1" t="s">
        <v>8430</v>
      </c>
      <c r="V2517" s="1" t="s">
        <v>8439</v>
      </c>
      <c r="Z2517" s="1" t="s">
        <v>71</v>
      </c>
      <c r="AE2517" s="1" t="s">
        <v>8440</v>
      </c>
      <c r="AH2517" s="1" t="s">
        <v>73</v>
      </c>
      <c r="AK2517" s="1" t="s">
        <v>71</v>
      </c>
      <c r="AM2517" s="1" t="s">
        <v>71</v>
      </c>
      <c r="AN2517" s="1" t="s">
        <v>71</v>
      </c>
      <c r="AS2517" s="1" t="s">
        <v>71</v>
      </c>
      <c r="AX2517" s="1" t="s">
        <v>71</v>
      </c>
      <c r="AY2517" s="1" t="s">
        <v>59</v>
      </c>
      <c r="AZ2517" s="1" t="s">
        <v>74</v>
      </c>
      <c r="BH2517" s="1" t="s">
        <v>71</v>
      </c>
    </row>
    <row r="2518" customFormat="false" ht="15" hidden="false" customHeight="false" outlineLevel="0" collapsed="false">
      <c r="A2518" s="1" t="s">
        <v>8441</v>
      </c>
      <c r="B2518" s="1" t="s">
        <v>8442</v>
      </c>
      <c r="C2518" s="1" t="s">
        <v>2483</v>
      </c>
      <c r="D2518" s="1" t="s">
        <v>8432</v>
      </c>
      <c r="E2518" s="1" t="s">
        <v>93</v>
      </c>
      <c r="F2518" s="1" t="s">
        <v>6348</v>
      </c>
      <c r="G2518" s="1" t="s">
        <v>155</v>
      </c>
      <c r="H2518" s="1" t="s">
        <v>8433</v>
      </c>
      <c r="K2518" s="1" t="s">
        <v>65</v>
      </c>
      <c r="L2518" s="1" t="s">
        <v>8443</v>
      </c>
      <c r="M2518" s="1" t="s">
        <v>8444</v>
      </c>
      <c r="N2518" s="1" t="s">
        <v>8445</v>
      </c>
      <c r="O2518" s="1" t="s">
        <v>8446</v>
      </c>
      <c r="P2518" s="1" t="s">
        <v>8447</v>
      </c>
      <c r="S2518" s="1" t="s">
        <v>229</v>
      </c>
      <c r="U2518" s="1" t="s">
        <v>8441</v>
      </c>
      <c r="V2518" s="1" t="s">
        <v>8439</v>
      </c>
      <c r="Z2518" s="1" t="s">
        <v>71</v>
      </c>
      <c r="AE2518" s="1" t="s">
        <v>8440</v>
      </c>
      <c r="AH2518" s="1" t="s">
        <v>73</v>
      </c>
      <c r="AK2518" s="1" t="s">
        <v>71</v>
      </c>
      <c r="AM2518" s="1" t="s">
        <v>71</v>
      </c>
      <c r="AN2518" s="1" t="s">
        <v>71</v>
      </c>
      <c r="AS2518" s="1" t="s">
        <v>71</v>
      </c>
      <c r="AX2518" s="1" t="s">
        <v>71</v>
      </c>
      <c r="AY2518" s="1" t="s">
        <v>59</v>
      </c>
      <c r="AZ2518" s="1" t="s">
        <v>74</v>
      </c>
      <c r="BH2518" s="1" t="s">
        <v>71</v>
      </c>
    </row>
    <row r="2519" customFormat="false" ht="15" hidden="false" customHeight="false" outlineLevel="0" collapsed="false">
      <c r="A2519" s="1" t="s">
        <v>8448</v>
      </c>
      <c r="B2519" s="1" t="s">
        <v>8449</v>
      </c>
      <c r="C2519" s="1" t="s">
        <v>2483</v>
      </c>
      <c r="D2519" s="1" t="s">
        <v>8432</v>
      </c>
      <c r="E2519" s="1" t="s">
        <v>93</v>
      </c>
      <c r="F2519" s="1" t="s">
        <v>6348</v>
      </c>
      <c r="G2519" s="1" t="s">
        <v>155</v>
      </c>
      <c r="H2519" s="1" t="s">
        <v>8433</v>
      </c>
      <c r="K2519" s="1" t="s">
        <v>65</v>
      </c>
      <c r="L2519" s="1" t="s">
        <v>8443</v>
      </c>
      <c r="M2519" s="1" t="s">
        <v>242</v>
      </c>
      <c r="N2519" s="1" t="s">
        <v>8445</v>
      </c>
      <c r="O2519" s="1" t="s">
        <v>8446</v>
      </c>
      <c r="P2519" s="1" t="s">
        <v>8447</v>
      </c>
      <c r="S2519" s="1" t="s">
        <v>229</v>
      </c>
      <c r="U2519" s="1" t="s">
        <v>8448</v>
      </c>
      <c r="V2519" s="1" t="s">
        <v>8439</v>
      </c>
      <c r="Z2519" s="1" t="s">
        <v>71</v>
      </c>
      <c r="AE2519" s="1" t="s">
        <v>8440</v>
      </c>
      <c r="AH2519" s="1" t="s">
        <v>73</v>
      </c>
      <c r="AK2519" s="1" t="s">
        <v>71</v>
      </c>
      <c r="AM2519" s="1" t="s">
        <v>71</v>
      </c>
      <c r="AN2519" s="1" t="s">
        <v>71</v>
      </c>
      <c r="AS2519" s="1" t="s">
        <v>71</v>
      </c>
      <c r="AX2519" s="1" t="s">
        <v>71</v>
      </c>
      <c r="AY2519" s="1" t="s">
        <v>59</v>
      </c>
      <c r="AZ2519" s="1" t="s">
        <v>74</v>
      </c>
      <c r="BH2519" s="1" t="s">
        <v>71</v>
      </c>
    </row>
    <row r="2520" customFormat="false" ht="15" hidden="false" customHeight="false" outlineLevel="0" collapsed="false">
      <c r="A2520" s="1" t="s">
        <v>8450</v>
      </c>
      <c r="B2520" s="1" t="s">
        <v>8451</v>
      </c>
      <c r="C2520" s="1" t="s">
        <v>2483</v>
      </c>
      <c r="D2520" s="1" t="s">
        <v>8432</v>
      </c>
      <c r="E2520" s="1" t="s">
        <v>93</v>
      </c>
      <c r="F2520" s="1" t="s">
        <v>6348</v>
      </c>
      <c r="G2520" s="1" t="s">
        <v>155</v>
      </c>
      <c r="H2520" s="1" t="s">
        <v>8433</v>
      </c>
      <c r="K2520" s="1" t="s">
        <v>59</v>
      </c>
      <c r="L2520" s="1" t="s">
        <v>8434</v>
      </c>
      <c r="M2520" s="1" t="s">
        <v>8435</v>
      </c>
      <c r="N2520" s="1" t="s">
        <v>8445</v>
      </c>
      <c r="O2520" s="1" t="s">
        <v>8446</v>
      </c>
      <c r="P2520" s="1" t="s">
        <v>8447</v>
      </c>
      <c r="S2520" s="1" t="s">
        <v>229</v>
      </c>
      <c r="U2520" s="1" t="s">
        <v>8450</v>
      </c>
      <c r="V2520" s="1" t="s">
        <v>8439</v>
      </c>
      <c r="Z2520" s="1" t="s">
        <v>71</v>
      </c>
      <c r="AE2520" s="1" t="s">
        <v>8440</v>
      </c>
      <c r="AH2520" s="1" t="s">
        <v>73</v>
      </c>
      <c r="AK2520" s="1" t="s">
        <v>71</v>
      </c>
      <c r="AM2520" s="1" t="s">
        <v>71</v>
      </c>
      <c r="AN2520" s="1" t="s">
        <v>71</v>
      </c>
      <c r="AS2520" s="1" t="s">
        <v>71</v>
      </c>
      <c r="AX2520" s="1" t="s">
        <v>71</v>
      </c>
      <c r="AY2520" s="1" t="s">
        <v>59</v>
      </c>
      <c r="AZ2520" s="1" t="s">
        <v>74</v>
      </c>
      <c r="BH2520" s="1" t="s">
        <v>71</v>
      </c>
    </row>
    <row r="2521" customFormat="false" ht="15" hidden="false" customHeight="false" outlineLevel="0" collapsed="false">
      <c r="A2521" s="1" t="s">
        <v>8452</v>
      </c>
      <c r="B2521" s="1" t="s">
        <v>8453</v>
      </c>
      <c r="C2521" s="1" t="s">
        <v>389</v>
      </c>
      <c r="D2521" s="1" t="s">
        <v>390</v>
      </c>
      <c r="E2521" s="1" t="s">
        <v>82</v>
      </c>
      <c r="F2521" s="1" t="s">
        <v>391</v>
      </c>
      <c r="G2521" s="1" t="s">
        <v>182</v>
      </c>
      <c r="H2521" s="1" t="s">
        <v>392</v>
      </c>
      <c r="K2521" s="1" t="s">
        <v>65</v>
      </c>
      <c r="L2521" s="1" t="s">
        <v>517</v>
      </c>
      <c r="M2521" s="1" t="s">
        <v>496</v>
      </c>
      <c r="N2521" s="1" t="s">
        <v>3861</v>
      </c>
      <c r="O2521" s="1" t="s">
        <v>400</v>
      </c>
      <c r="P2521" s="1" t="s">
        <v>3862</v>
      </c>
      <c r="U2521" s="1" t="s">
        <v>8452</v>
      </c>
      <c r="Z2521" s="1" t="s">
        <v>71</v>
      </c>
      <c r="AE2521" s="1" t="s">
        <v>8454</v>
      </c>
      <c r="AH2521" s="1" t="s">
        <v>73</v>
      </c>
      <c r="AK2521" s="1" t="s">
        <v>71</v>
      </c>
      <c r="AQ2521" s="1" t="s">
        <v>496</v>
      </c>
      <c r="AR2521" s="1" t="s">
        <v>1275</v>
      </c>
      <c r="AS2521" s="1" t="s">
        <v>71</v>
      </c>
    </row>
    <row r="2522" customFormat="false" ht="15" hidden="false" customHeight="false" outlineLevel="0" collapsed="false">
      <c r="A2522" s="1" t="s">
        <v>8455</v>
      </c>
      <c r="B2522" s="1" t="s">
        <v>8456</v>
      </c>
      <c r="C2522" s="1" t="s">
        <v>2141</v>
      </c>
      <c r="D2522" s="1" t="s">
        <v>7438</v>
      </c>
      <c r="E2522" s="1" t="s">
        <v>82</v>
      </c>
      <c r="F2522" s="1" t="s">
        <v>391</v>
      </c>
      <c r="G2522" s="1" t="s">
        <v>308</v>
      </c>
      <c r="H2522" s="1" t="s">
        <v>1789</v>
      </c>
      <c r="K2522" s="1" t="s">
        <v>1790</v>
      </c>
      <c r="L2522" s="1" t="s">
        <v>1791</v>
      </c>
      <c r="M2522" s="1" t="s">
        <v>496</v>
      </c>
      <c r="N2522" s="1" t="s">
        <v>8457</v>
      </c>
      <c r="O2522" s="1" t="s">
        <v>400</v>
      </c>
      <c r="P2522" s="1" t="s">
        <v>8458</v>
      </c>
      <c r="U2522" s="1" t="s">
        <v>8455</v>
      </c>
      <c r="Z2522" s="1" t="s">
        <v>71</v>
      </c>
      <c r="AE2522" s="1" t="s">
        <v>8459</v>
      </c>
      <c r="AH2522" s="1" t="s">
        <v>73</v>
      </c>
      <c r="AK2522" s="1" t="s">
        <v>71</v>
      </c>
      <c r="AQ2522" s="1" t="s">
        <v>496</v>
      </c>
      <c r="AR2522" s="1" t="s">
        <v>1275</v>
      </c>
      <c r="AS2522" s="1" t="s">
        <v>71</v>
      </c>
    </row>
    <row r="2523" customFormat="false" ht="15" hidden="false" customHeight="false" outlineLevel="0" collapsed="false">
      <c r="A2523" s="1" t="s">
        <v>8460</v>
      </c>
      <c r="B2523" s="1" t="s">
        <v>8461</v>
      </c>
      <c r="C2523" s="1" t="s">
        <v>2141</v>
      </c>
      <c r="D2523" s="1" t="s">
        <v>7438</v>
      </c>
      <c r="E2523" s="1" t="s">
        <v>82</v>
      </c>
      <c r="F2523" s="1" t="s">
        <v>391</v>
      </c>
      <c r="G2523" s="1" t="s">
        <v>308</v>
      </c>
      <c r="H2523" s="1" t="s">
        <v>1789</v>
      </c>
      <c r="M2523" s="1" t="s">
        <v>496</v>
      </c>
      <c r="N2523" s="1" t="s">
        <v>8462</v>
      </c>
      <c r="O2523" s="1" t="s">
        <v>8463</v>
      </c>
      <c r="P2523" s="1" t="s">
        <v>8464</v>
      </c>
      <c r="U2523" s="1" t="s">
        <v>8460</v>
      </c>
      <c r="Z2523" s="1" t="s">
        <v>71</v>
      </c>
      <c r="AE2523" s="1" t="s">
        <v>8459</v>
      </c>
      <c r="AH2523" s="1" t="s">
        <v>73</v>
      </c>
      <c r="AK2523" s="1" t="s">
        <v>71</v>
      </c>
      <c r="AQ2523" s="1" t="s">
        <v>496</v>
      </c>
      <c r="AR2523" s="1" t="s">
        <v>1275</v>
      </c>
      <c r="AS2523" s="1" t="s">
        <v>71</v>
      </c>
    </row>
    <row r="2524" customFormat="false" ht="15" hidden="false" customHeight="false" outlineLevel="0" collapsed="false">
      <c r="A2524" s="1" t="s">
        <v>8465</v>
      </c>
      <c r="B2524" s="1" t="s">
        <v>8466</v>
      </c>
      <c r="C2524" s="1" t="s">
        <v>88</v>
      </c>
      <c r="D2524" s="1" t="s">
        <v>154</v>
      </c>
      <c r="E2524" s="1" t="s">
        <v>59</v>
      </c>
      <c r="F2524" s="1" t="s">
        <v>63</v>
      </c>
      <c r="G2524" s="1" t="s">
        <v>59</v>
      </c>
      <c r="H2524" s="1" t="s">
        <v>64</v>
      </c>
      <c r="K2524" s="1" t="s">
        <v>65</v>
      </c>
      <c r="L2524" s="1" t="s">
        <v>66</v>
      </c>
      <c r="M2524" s="1" t="s">
        <v>382</v>
      </c>
      <c r="N2524" s="1" t="s">
        <v>68</v>
      </c>
      <c r="O2524" s="1" t="s">
        <v>69</v>
      </c>
      <c r="P2524" s="1" t="s">
        <v>4942</v>
      </c>
      <c r="U2524" s="1" t="s">
        <v>8465</v>
      </c>
      <c r="Z2524" s="1" t="s">
        <v>71</v>
      </c>
      <c r="AE2524" s="1" t="s">
        <v>8467</v>
      </c>
      <c r="AH2524" s="1" t="s">
        <v>73</v>
      </c>
      <c r="AK2524" s="1" t="s">
        <v>71</v>
      </c>
      <c r="AM2524" s="1" t="s">
        <v>71</v>
      </c>
      <c r="AN2524" s="1" t="s">
        <v>71</v>
      </c>
      <c r="AS2524" s="1" t="s">
        <v>71</v>
      </c>
      <c r="AX2524" s="1" t="s">
        <v>71</v>
      </c>
      <c r="AY2524" s="1" t="s">
        <v>59</v>
      </c>
      <c r="AZ2524" s="1" t="s">
        <v>74</v>
      </c>
      <c r="BH2524" s="1" t="s">
        <v>71</v>
      </c>
    </row>
    <row r="2525" customFormat="false" ht="15" hidden="false" customHeight="false" outlineLevel="0" collapsed="false">
      <c r="A2525" s="1" t="s">
        <v>8468</v>
      </c>
      <c r="B2525" s="1" t="s">
        <v>8469</v>
      </c>
      <c r="C2525" s="1" t="s">
        <v>2509</v>
      </c>
      <c r="D2525" s="1" t="s">
        <v>8470</v>
      </c>
      <c r="E2525" s="1" t="s">
        <v>93</v>
      </c>
      <c r="F2525" s="1" t="s">
        <v>6348</v>
      </c>
      <c r="G2525" s="1" t="s">
        <v>240</v>
      </c>
      <c r="H2525" s="1" t="s">
        <v>8471</v>
      </c>
      <c r="K2525" s="1" t="s">
        <v>65</v>
      </c>
      <c r="L2525" s="1" t="s">
        <v>8472</v>
      </c>
      <c r="M2525" s="1" t="s">
        <v>6852</v>
      </c>
      <c r="N2525" s="1" t="s">
        <v>7080</v>
      </c>
      <c r="O2525" s="1" t="s">
        <v>7081</v>
      </c>
      <c r="P2525" s="1" t="s">
        <v>7082</v>
      </c>
      <c r="S2525" s="1" t="s">
        <v>229</v>
      </c>
      <c r="U2525" s="1" t="s">
        <v>8468</v>
      </c>
      <c r="V2525" s="1" t="s">
        <v>8473</v>
      </c>
      <c r="Z2525" s="1" t="s">
        <v>71</v>
      </c>
      <c r="AE2525" s="1" t="s">
        <v>8474</v>
      </c>
      <c r="AH2525" s="1" t="s">
        <v>73</v>
      </c>
      <c r="AK2525" s="1" t="s">
        <v>71</v>
      </c>
      <c r="AM2525" s="1" t="s">
        <v>71</v>
      </c>
      <c r="AN2525" s="1" t="s">
        <v>71</v>
      </c>
      <c r="AS2525" s="1" t="s">
        <v>71</v>
      </c>
      <c r="AX2525" s="1" t="s">
        <v>71</v>
      </c>
      <c r="AY2525" s="1" t="s">
        <v>59</v>
      </c>
      <c r="AZ2525" s="1" t="s">
        <v>74</v>
      </c>
      <c r="BH2525" s="1" t="s">
        <v>71</v>
      </c>
    </row>
    <row r="2526" customFormat="false" ht="15" hidden="false" customHeight="false" outlineLevel="0" collapsed="false">
      <c r="A2526" s="1" t="s">
        <v>8475</v>
      </c>
      <c r="B2526" s="1" t="s">
        <v>8476</v>
      </c>
      <c r="C2526" s="1" t="s">
        <v>2509</v>
      </c>
      <c r="D2526" s="1" t="s">
        <v>8470</v>
      </c>
      <c r="E2526" s="1" t="s">
        <v>93</v>
      </c>
      <c r="F2526" s="1" t="s">
        <v>6348</v>
      </c>
      <c r="G2526" s="1" t="s">
        <v>1118</v>
      </c>
      <c r="H2526" s="1" t="s">
        <v>8477</v>
      </c>
      <c r="K2526" s="1" t="s">
        <v>59</v>
      </c>
      <c r="L2526" s="1" t="s">
        <v>8478</v>
      </c>
      <c r="M2526" s="1" t="s">
        <v>1604</v>
      </c>
      <c r="N2526" s="1" t="s">
        <v>8479</v>
      </c>
      <c r="O2526" s="1" t="s">
        <v>8480</v>
      </c>
      <c r="P2526" s="1" t="s">
        <v>8481</v>
      </c>
      <c r="S2526" s="1" t="s">
        <v>229</v>
      </c>
      <c r="U2526" s="1" t="s">
        <v>8475</v>
      </c>
      <c r="V2526" s="1" t="s">
        <v>8473</v>
      </c>
      <c r="Z2526" s="1" t="s">
        <v>71</v>
      </c>
      <c r="AE2526" s="1" t="s">
        <v>8474</v>
      </c>
      <c r="AH2526" s="1" t="s">
        <v>73</v>
      </c>
      <c r="AK2526" s="1" t="s">
        <v>71</v>
      </c>
      <c r="AM2526" s="1" t="s">
        <v>71</v>
      </c>
      <c r="AN2526" s="1" t="s">
        <v>71</v>
      </c>
      <c r="AS2526" s="1" t="s">
        <v>71</v>
      </c>
      <c r="AX2526" s="1" t="s">
        <v>71</v>
      </c>
      <c r="AY2526" s="1" t="s">
        <v>59</v>
      </c>
      <c r="AZ2526" s="1" t="s">
        <v>74</v>
      </c>
      <c r="BH2526" s="1" t="s">
        <v>71</v>
      </c>
    </row>
    <row r="2527" customFormat="false" ht="15" hidden="false" customHeight="false" outlineLevel="0" collapsed="false">
      <c r="A2527" s="1" t="s">
        <v>8482</v>
      </c>
      <c r="B2527" s="1" t="s">
        <v>8483</v>
      </c>
      <c r="C2527" s="1" t="s">
        <v>2509</v>
      </c>
      <c r="D2527" s="1" t="s">
        <v>8470</v>
      </c>
      <c r="E2527" s="1" t="s">
        <v>93</v>
      </c>
      <c r="F2527" s="1" t="s">
        <v>6348</v>
      </c>
      <c r="G2527" s="1" t="s">
        <v>526</v>
      </c>
      <c r="H2527" s="1" t="s">
        <v>8484</v>
      </c>
      <c r="K2527" s="1" t="s">
        <v>59</v>
      </c>
      <c r="L2527" s="1" t="s">
        <v>8485</v>
      </c>
      <c r="M2527" s="1" t="s">
        <v>8486</v>
      </c>
      <c r="N2527" s="1" t="s">
        <v>8487</v>
      </c>
      <c r="O2527" s="1" t="s">
        <v>8488</v>
      </c>
      <c r="P2527" s="1" t="s">
        <v>8489</v>
      </c>
      <c r="S2527" s="1" t="s">
        <v>229</v>
      </c>
      <c r="U2527" s="1" t="s">
        <v>8482</v>
      </c>
      <c r="V2527" s="1" t="s">
        <v>8473</v>
      </c>
      <c r="Z2527" s="1" t="s">
        <v>71</v>
      </c>
      <c r="AE2527" s="1" t="s">
        <v>8474</v>
      </c>
      <c r="AH2527" s="1" t="s">
        <v>73</v>
      </c>
      <c r="AK2527" s="1" t="s">
        <v>71</v>
      </c>
      <c r="AM2527" s="1" t="s">
        <v>71</v>
      </c>
      <c r="AN2527" s="1" t="s">
        <v>71</v>
      </c>
      <c r="AS2527" s="1" t="s">
        <v>71</v>
      </c>
      <c r="AX2527" s="1" t="s">
        <v>71</v>
      </c>
      <c r="AY2527" s="1" t="s">
        <v>59</v>
      </c>
      <c r="AZ2527" s="1" t="s">
        <v>74</v>
      </c>
      <c r="BH2527" s="1" t="s">
        <v>71</v>
      </c>
    </row>
    <row r="2528" customFormat="false" ht="15" hidden="false" customHeight="false" outlineLevel="0" collapsed="false">
      <c r="A2528" s="1" t="s">
        <v>8490</v>
      </c>
      <c r="B2528" s="1" t="s">
        <v>8491</v>
      </c>
      <c r="C2528" s="1" t="s">
        <v>2509</v>
      </c>
      <c r="D2528" s="1" t="s">
        <v>8470</v>
      </c>
      <c r="E2528" s="1" t="s">
        <v>93</v>
      </c>
      <c r="F2528" s="1" t="s">
        <v>6348</v>
      </c>
      <c r="G2528" s="1" t="s">
        <v>144</v>
      </c>
      <c r="H2528" s="1" t="s">
        <v>7646</v>
      </c>
      <c r="K2528" s="1" t="s">
        <v>82</v>
      </c>
      <c r="L2528" s="1" t="s">
        <v>8492</v>
      </c>
      <c r="M2528" s="1" t="s">
        <v>8493</v>
      </c>
      <c r="N2528" s="1" t="s">
        <v>8494</v>
      </c>
      <c r="O2528" s="1" t="s">
        <v>8495</v>
      </c>
      <c r="P2528" s="1" t="s">
        <v>8496</v>
      </c>
      <c r="S2528" s="1" t="s">
        <v>229</v>
      </c>
      <c r="U2528" s="1" t="s">
        <v>8490</v>
      </c>
      <c r="V2528" s="1" t="s">
        <v>8473</v>
      </c>
      <c r="Z2528" s="1" t="s">
        <v>71</v>
      </c>
      <c r="AE2528" s="1" t="s">
        <v>8474</v>
      </c>
      <c r="AH2528" s="1" t="s">
        <v>73</v>
      </c>
      <c r="AK2528" s="1" t="s">
        <v>71</v>
      </c>
      <c r="AM2528" s="1" t="s">
        <v>71</v>
      </c>
      <c r="AN2528" s="1" t="s">
        <v>71</v>
      </c>
      <c r="AS2528" s="1" t="s">
        <v>71</v>
      </c>
      <c r="AX2528" s="1" t="s">
        <v>71</v>
      </c>
      <c r="AY2528" s="1" t="s">
        <v>59</v>
      </c>
      <c r="AZ2528" s="1" t="s">
        <v>74</v>
      </c>
      <c r="BH2528" s="1" t="s">
        <v>71</v>
      </c>
    </row>
    <row r="2529" customFormat="false" ht="15" hidden="false" customHeight="false" outlineLevel="0" collapsed="false">
      <c r="A2529" s="1" t="s">
        <v>8497</v>
      </c>
      <c r="B2529" s="1" t="s">
        <v>8498</v>
      </c>
      <c r="C2529" s="1" t="s">
        <v>2509</v>
      </c>
      <c r="D2529" s="1" t="s">
        <v>8470</v>
      </c>
      <c r="E2529" s="1" t="s">
        <v>93</v>
      </c>
      <c r="F2529" s="1" t="s">
        <v>6348</v>
      </c>
      <c r="G2529" s="1" t="s">
        <v>144</v>
      </c>
      <c r="H2529" s="1" t="s">
        <v>7646</v>
      </c>
      <c r="K2529" s="1" t="s">
        <v>148</v>
      </c>
      <c r="L2529" s="1" t="s">
        <v>8499</v>
      </c>
      <c r="M2529" s="1" t="s">
        <v>8493</v>
      </c>
      <c r="N2529" s="1" t="s">
        <v>8500</v>
      </c>
      <c r="O2529" s="1" t="s">
        <v>8501</v>
      </c>
      <c r="P2529" s="1" t="s">
        <v>8502</v>
      </c>
      <c r="S2529" s="1" t="s">
        <v>229</v>
      </c>
      <c r="U2529" s="1" t="s">
        <v>8497</v>
      </c>
      <c r="V2529" s="1" t="s">
        <v>8473</v>
      </c>
      <c r="Z2529" s="1" t="s">
        <v>71</v>
      </c>
      <c r="AE2529" s="1" t="s">
        <v>8474</v>
      </c>
      <c r="AH2529" s="1" t="s">
        <v>73</v>
      </c>
      <c r="AK2529" s="1" t="s">
        <v>71</v>
      </c>
      <c r="AM2529" s="1" t="s">
        <v>71</v>
      </c>
      <c r="AN2529" s="1" t="s">
        <v>71</v>
      </c>
      <c r="AS2529" s="1" t="s">
        <v>71</v>
      </c>
      <c r="AX2529" s="1" t="s">
        <v>71</v>
      </c>
      <c r="AY2529" s="1" t="s">
        <v>59</v>
      </c>
      <c r="AZ2529" s="1" t="s">
        <v>74</v>
      </c>
      <c r="BH2529" s="1" t="s">
        <v>71</v>
      </c>
    </row>
    <row r="2530" customFormat="false" ht="15" hidden="false" customHeight="false" outlineLevel="0" collapsed="false">
      <c r="A2530" s="1" t="s">
        <v>8503</v>
      </c>
      <c r="B2530" s="1" t="s">
        <v>8504</v>
      </c>
      <c r="C2530" s="1" t="s">
        <v>2509</v>
      </c>
      <c r="D2530" s="1" t="s">
        <v>8470</v>
      </c>
      <c r="E2530" s="1" t="s">
        <v>93</v>
      </c>
      <c r="F2530" s="1" t="s">
        <v>6348</v>
      </c>
      <c r="G2530" s="1" t="s">
        <v>157</v>
      </c>
      <c r="H2530" s="1" t="s">
        <v>8505</v>
      </c>
      <c r="K2530" s="1" t="s">
        <v>59</v>
      </c>
      <c r="L2530" s="1" t="s">
        <v>8506</v>
      </c>
      <c r="M2530" s="1" t="s">
        <v>8507</v>
      </c>
      <c r="N2530" s="1" t="s">
        <v>8445</v>
      </c>
      <c r="O2530" s="1" t="s">
        <v>8446</v>
      </c>
      <c r="P2530" s="1" t="s">
        <v>8447</v>
      </c>
      <c r="S2530" s="1" t="s">
        <v>229</v>
      </c>
      <c r="U2530" s="1" t="s">
        <v>8503</v>
      </c>
      <c r="V2530" s="1" t="s">
        <v>8473</v>
      </c>
      <c r="Z2530" s="1" t="s">
        <v>71</v>
      </c>
      <c r="AE2530" s="1" t="s">
        <v>8474</v>
      </c>
      <c r="AH2530" s="1" t="s">
        <v>73</v>
      </c>
      <c r="AK2530" s="1" t="s">
        <v>71</v>
      </c>
      <c r="AM2530" s="1" t="s">
        <v>71</v>
      </c>
      <c r="AN2530" s="1" t="s">
        <v>71</v>
      </c>
      <c r="AS2530" s="1" t="s">
        <v>71</v>
      </c>
      <c r="AX2530" s="1" t="s">
        <v>71</v>
      </c>
      <c r="AY2530" s="1" t="s">
        <v>59</v>
      </c>
      <c r="AZ2530" s="1" t="s">
        <v>74</v>
      </c>
      <c r="BH2530" s="1" t="s">
        <v>71</v>
      </c>
    </row>
    <row r="2531" customFormat="false" ht="15" hidden="false" customHeight="false" outlineLevel="0" collapsed="false">
      <c r="A2531" s="1" t="s">
        <v>8508</v>
      </c>
      <c r="B2531" s="1" t="s">
        <v>8509</v>
      </c>
      <c r="C2531" s="1" t="s">
        <v>1795</v>
      </c>
      <c r="D2531" s="1" t="s">
        <v>6570</v>
      </c>
      <c r="E2531" s="1" t="s">
        <v>82</v>
      </c>
      <c r="F2531" s="1" t="s">
        <v>391</v>
      </c>
      <c r="G2531" s="1" t="s">
        <v>97</v>
      </c>
      <c r="H2531" s="1" t="s">
        <v>406</v>
      </c>
      <c r="K2531" s="1" t="s">
        <v>407</v>
      </c>
      <c r="L2531" s="1" t="s">
        <v>408</v>
      </c>
      <c r="M2531" s="1" t="s">
        <v>496</v>
      </c>
      <c r="N2531" s="1" t="s">
        <v>2489</v>
      </c>
      <c r="O2531" s="1" t="s">
        <v>2490</v>
      </c>
      <c r="P2531" s="1" t="s">
        <v>8510</v>
      </c>
      <c r="U2531" s="1" t="s">
        <v>8508</v>
      </c>
      <c r="Z2531" s="1" t="s">
        <v>71</v>
      </c>
      <c r="AE2531" s="1" t="s">
        <v>8511</v>
      </c>
      <c r="AF2531" s="1" t="s">
        <v>59</v>
      </c>
      <c r="AH2531" s="1" t="s">
        <v>73</v>
      </c>
      <c r="AK2531" s="1" t="s">
        <v>71</v>
      </c>
      <c r="AS2531" s="1" t="s">
        <v>71</v>
      </c>
    </row>
    <row r="2532" customFormat="false" ht="15" hidden="false" customHeight="false" outlineLevel="0" collapsed="false">
      <c r="A2532" s="1" t="s">
        <v>8512</v>
      </c>
      <c r="B2532" s="1" t="s">
        <v>8513</v>
      </c>
      <c r="C2532" s="1" t="s">
        <v>8060</v>
      </c>
      <c r="D2532" s="1" t="s">
        <v>8061</v>
      </c>
      <c r="E2532" s="1" t="s">
        <v>93</v>
      </c>
      <c r="F2532" s="1" t="s">
        <v>6348</v>
      </c>
      <c r="G2532" s="1" t="s">
        <v>1335</v>
      </c>
      <c r="H2532" s="1" t="s">
        <v>7658</v>
      </c>
      <c r="K2532" s="1" t="s">
        <v>88</v>
      </c>
      <c r="L2532" s="1" t="s">
        <v>8079</v>
      </c>
      <c r="M2532" s="1" t="s">
        <v>8514</v>
      </c>
      <c r="N2532" s="1" t="s">
        <v>8064</v>
      </c>
      <c r="O2532" s="1" t="s">
        <v>8065</v>
      </c>
      <c r="P2532" s="1" t="s">
        <v>8066</v>
      </c>
      <c r="S2532" s="1" t="s">
        <v>229</v>
      </c>
      <c r="U2532" s="1" t="s">
        <v>8512</v>
      </c>
      <c r="Z2532" s="1" t="s">
        <v>71</v>
      </c>
      <c r="AE2532" s="1" t="s">
        <v>8515</v>
      </c>
      <c r="AH2532" s="1" t="s">
        <v>73</v>
      </c>
      <c r="AK2532" s="1" t="s">
        <v>71</v>
      </c>
      <c r="AM2532" s="1" t="s">
        <v>71</v>
      </c>
      <c r="AN2532" s="1" t="s">
        <v>71</v>
      </c>
      <c r="AS2532" s="1" t="s">
        <v>71</v>
      </c>
      <c r="AX2532" s="1" t="s">
        <v>71</v>
      </c>
      <c r="AY2532" s="1" t="s">
        <v>59</v>
      </c>
      <c r="AZ2532" s="1" t="s">
        <v>74</v>
      </c>
      <c r="BH2532" s="1" t="s">
        <v>71</v>
      </c>
    </row>
    <row r="2533" customFormat="false" ht="15" hidden="false" customHeight="false" outlineLevel="0" collapsed="false">
      <c r="A2533" s="1" t="s">
        <v>8516</v>
      </c>
      <c r="B2533" s="1" t="s">
        <v>8517</v>
      </c>
      <c r="C2533" s="1" t="s">
        <v>2517</v>
      </c>
      <c r="D2533" s="1" t="s">
        <v>8518</v>
      </c>
      <c r="E2533" s="1" t="s">
        <v>82</v>
      </c>
      <c r="F2533" s="1" t="s">
        <v>391</v>
      </c>
      <c r="G2533" s="1" t="s">
        <v>97</v>
      </c>
      <c r="H2533" s="1" t="s">
        <v>406</v>
      </c>
      <c r="K2533" s="1" t="s">
        <v>407</v>
      </c>
      <c r="L2533" s="1" t="s">
        <v>408</v>
      </c>
      <c r="M2533" s="1" t="s">
        <v>496</v>
      </c>
      <c r="N2533" s="1" t="s">
        <v>4469</v>
      </c>
      <c r="O2533" s="1" t="s">
        <v>400</v>
      </c>
      <c r="P2533" s="1" t="s">
        <v>4470</v>
      </c>
      <c r="U2533" s="1" t="s">
        <v>8516</v>
      </c>
      <c r="Z2533" s="1" t="s">
        <v>71</v>
      </c>
      <c r="AE2533" s="1" t="s">
        <v>8519</v>
      </c>
      <c r="AF2533" s="1" t="s">
        <v>59</v>
      </c>
      <c r="AH2533" s="1" t="s">
        <v>73</v>
      </c>
      <c r="AK2533" s="1" t="s">
        <v>71</v>
      </c>
      <c r="AS2533" s="1" t="s">
        <v>71</v>
      </c>
    </row>
    <row r="2534" customFormat="false" ht="15" hidden="false" customHeight="false" outlineLevel="0" collapsed="false">
      <c r="A2534" s="1" t="s">
        <v>8520</v>
      </c>
      <c r="B2534" s="1" t="s">
        <v>8521</v>
      </c>
      <c r="C2534" s="1" t="s">
        <v>2517</v>
      </c>
      <c r="D2534" s="1" t="s">
        <v>8518</v>
      </c>
      <c r="E2534" s="1" t="s">
        <v>82</v>
      </c>
      <c r="F2534" s="1" t="s">
        <v>391</v>
      </c>
      <c r="G2534" s="1" t="s">
        <v>97</v>
      </c>
      <c r="H2534" s="1" t="s">
        <v>406</v>
      </c>
      <c r="K2534" s="1" t="s">
        <v>407</v>
      </c>
      <c r="L2534" s="1" t="s">
        <v>408</v>
      </c>
      <c r="M2534" s="1" t="s">
        <v>496</v>
      </c>
      <c r="N2534" s="1" t="s">
        <v>4469</v>
      </c>
      <c r="O2534" s="1" t="s">
        <v>400</v>
      </c>
      <c r="P2534" s="1" t="s">
        <v>4470</v>
      </c>
      <c r="U2534" s="1" t="s">
        <v>8520</v>
      </c>
      <c r="Z2534" s="1" t="s">
        <v>71</v>
      </c>
      <c r="AE2534" s="1" t="s">
        <v>8519</v>
      </c>
      <c r="AF2534" s="1" t="s">
        <v>59</v>
      </c>
      <c r="AH2534" s="1" t="s">
        <v>73</v>
      </c>
      <c r="AK2534" s="1" t="s">
        <v>71</v>
      </c>
      <c r="AS2534" s="1" t="s">
        <v>71</v>
      </c>
    </row>
    <row r="2535" customFormat="false" ht="15" hidden="false" customHeight="false" outlineLevel="0" collapsed="false">
      <c r="A2535" s="1" t="s">
        <v>8522</v>
      </c>
      <c r="B2535" s="1" t="s">
        <v>8523</v>
      </c>
      <c r="C2535" s="1" t="s">
        <v>2517</v>
      </c>
      <c r="D2535" s="1" t="s">
        <v>8518</v>
      </c>
      <c r="E2535" s="1" t="s">
        <v>82</v>
      </c>
      <c r="F2535" s="1" t="s">
        <v>391</v>
      </c>
      <c r="G2535" s="1" t="s">
        <v>97</v>
      </c>
      <c r="H2535" s="1" t="s">
        <v>406</v>
      </c>
      <c r="K2535" s="1" t="s">
        <v>407</v>
      </c>
      <c r="L2535" s="1" t="s">
        <v>408</v>
      </c>
      <c r="M2535" s="1" t="s">
        <v>496</v>
      </c>
      <c r="N2535" s="1" t="s">
        <v>4469</v>
      </c>
      <c r="O2535" s="1" t="s">
        <v>400</v>
      </c>
      <c r="P2535" s="1" t="s">
        <v>4470</v>
      </c>
      <c r="U2535" s="1" t="s">
        <v>8522</v>
      </c>
      <c r="Z2535" s="1" t="s">
        <v>71</v>
      </c>
      <c r="AE2535" s="1" t="s">
        <v>8519</v>
      </c>
      <c r="AF2535" s="1" t="s">
        <v>59</v>
      </c>
      <c r="AH2535" s="1" t="s">
        <v>73</v>
      </c>
      <c r="AK2535" s="1" t="s">
        <v>71</v>
      </c>
      <c r="AS2535" s="1" t="s">
        <v>71</v>
      </c>
    </row>
    <row r="2536" customFormat="false" ht="15" hidden="false" customHeight="false" outlineLevel="0" collapsed="false">
      <c r="A2536" s="1" t="s">
        <v>8524</v>
      </c>
      <c r="B2536" s="1" t="s">
        <v>8525</v>
      </c>
      <c r="C2536" s="1" t="s">
        <v>2517</v>
      </c>
      <c r="D2536" s="1" t="s">
        <v>8518</v>
      </c>
      <c r="E2536" s="1" t="s">
        <v>82</v>
      </c>
      <c r="F2536" s="1" t="s">
        <v>391</v>
      </c>
      <c r="G2536" s="1" t="s">
        <v>97</v>
      </c>
      <c r="H2536" s="1" t="s">
        <v>406</v>
      </c>
      <c r="K2536" s="1" t="s">
        <v>407</v>
      </c>
      <c r="L2536" s="1" t="s">
        <v>408</v>
      </c>
      <c r="M2536" s="1" t="s">
        <v>496</v>
      </c>
      <c r="N2536" s="1" t="s">
        <v>8526</v>
      </c>
      <c r="O2536" s="1" t="s">
        <v>8527</v>
      </c>
      <c r="P2536" s="1" t="s">
        <v>8528</v>
      </c>
      <c r="U2536" s="1" t="s">
        <v>8524</v>
      </c>
      <c r="Z2536" s="1" t="s">
        <v>71</v>
      </c>
      <c r="AE2536" s="1" t="s">
        <v>8519</v>
      </c>
      <c r="AF2536" s="1" t="s">
        <v>59</v>
      </c>
      <c r="AH2536" s="1" t="s">
        <v>73</v>
      </c>
      <c r="AK2536" s="1" t="s">
        <v>71</v>
      </c>
      <c r="AS2536" s="1" t="s">
        <v>71</v>
      </c>
    </row>
    <row r="2537" customFormat="false" ht="15" hidden="false" customHeight="false" outlineLevel="0" collapsed="false">
      <c r="A2537" s="1" t="s">
        <v>8529</v>
      </c>
      <c r="B2537" s="1" t="s">
        <v>8530</v>
      </c>
      <c r="C2537" s="1" t="s">
        <v>142</v>
      </c>
      <c r="D2537" s="1" t="s">
        <v>1102</v>
      </c>
      <c r="E2537" s="1" t="s">
        <v>82</v>
      </c>
      <c r="F2537" s="1" t="s">
        <v>391</v>
      </c>
      <c r="G2537" s="1" t="s">
        <v>182</v>
      </c>
      <c r="H2537" s="1" t="s">
        <v>392</v>
      </c>
      <c r="K2537" s="1" t="s">
        <v>65</v>
      </c>
      <c r="L2537" s="1" t="s">
        <v>517</v>
      </c>
      <c r="M2537" s="1" t="s">
        <v>496</v>
      </c>
      <c r="N2537" s="1" t="s">
        <v>1923</v>
      </c>
      <c r="O2537" s="1" t="s">
        <v>1924</v>
      </c>
      <c r="P2537" s="1" t="s">
        <v>3694</v>
      </c>
      <c r="U2537" s="1" t="s">
        <v>8529</v>
      </c>
      <c r="Z2537" s="1" t="s">
        <v>71</v>
      </c>
      <c r="AE2537" s="1" t="s">
        <v>8531</v>
      </c>
      <c r="AF2537" s="1" t="s">
        <v>59</v>
      </c>
      <c r="AH2537" s="1" t="s">
        <v>73</v>
      </c>
      <c r="AK2537" s="1" t="s">
        <v>71</v>
      </c>
      <c r="AS2537" s="1" t="s">
        <v>71</v>
      </c>
    </row>
    <row r="2538" customFormat="false" ht="15" hidden="false" customHeight="false" outlineLevel="0" collapsed="false">
      <c r="A2538" s="1" t="s">
        <v>8532</v>
      </c>
      <c r="B2538" s="1" t="s">
        <v>8533</v>
      </c>
      <c r="C2538" s="1" t="s">
        <v>142</v>
      </c>
      <c r="D2538" s="1" t="s">
        <v>1102</v>
      </c>
      <c r="E2538" s="1" t="s">
        <v>82</v>
      </c>
      <c r="F2538" s="1" t="s">
        <v>391</v>
      </c>
      <c r="G2538" s="1" t="s">
        <v>182</v>
      </c>
      <c r="H2538" s="1" t="s">
        <v>392</v>
      </c>
      <c r="K2538" s="1" t="s">
        <v>65</v>
      </c>
      <c r="L2538" s="1" t="s">
        <v>517</v>
      </c>
      <c r="M2538" s="1" t="s">
        <v>496</v>
      </c>
      <c r="N2538" s="1" t="s">
        <v>8534</v>
      </c>
      <c r="O2538" s="1" t="s">
        <v>447</v>
      </c>
      <c r="P2538" s="1" t="s">
        <v>8535</v>
      </c>
      <c r="U2538" s="1" t="s">
        <v>8532</v>
      </c>
      <c r="Z2538" s="1" t="s">
        <v>71</v>
      </c>
      <c r="AE2538" s="1" t="s">
        <v>8531</v>
      </c>
      <c r="AF2538" s="1" t="s">
        <v>59</v>
      </c>
      <c r="AH2538" s="1" t="s">
        <v>73</v>
      </c>
      <c r="AK2538" s="1" t="s">
        <v>71</v>
      </c>
      <c r="AS2538" s="1" t="s">
        <v>71</v>
      </c>
    </row>
    <row r="2539" customFormat="false" ht="15" hidden="false" customHeight="false" outlineLevel="0" collapsed="false">
      <c r="A2539" s="1" t="s">
        <v>8536</v>
      </c>
      <c r="B2539" s="1" t="s">
        <v>8537</v>
      </c>
      <c r="C2539" s="1" t="s">
        <v>2519</v>
      </c>
      <c r="D2539" s="1" t="s">
        <v>8538</v>
      </c>
      <c r="E2539" s="1" t="s">
        <v>93</v>
      </c>
      <c r="F2539" s="1" t="s">
        <v>6348</v>
      </c>
      <c r="G2539" s="1" t="s">
        <v>1335</v>
      </c>
      <c r="H2539" s="1" t="s">
        <v>7658</v>
      </c>
      <c r="K2539" s="1" t="s">
        <v>82</v>
      </c>
      <c r="L2539" s="1" t="s">
        <v>8071</v>
      </c>
      <c r="M2539" s="1" t="s">
        <v>258</v>
      </c>
      <c r="N2539" s="1" t="s">
        <v>8389</v>
      </c>
      <c r="O2539" s="1" t="s">
        <v>8390</v>
      </c>
      <c r="P2539" s="1" t="s">
        <v>8391</v>
      </c>
      <c r="S2539" s="1" t="s">
        <v>229</v>
      </c>
      <c r="U2539" s="1" t="s">
        <v>8536</v>
      </c>
      <c r="Z2539" s="1" t="s">
        <v>71</v>
      </c>
      <c r="AE2539" s="1" t="s">
        <v>8531</v>
      </c>
      <c r="AH2539" s="1" t="s">
        <v>73</v>
      </c>
      <c r="AK2539" s="1" t="s">
        <v>71</v>
      </c>
      <c r="AM2539" s="1" t="s">
        <v>71</v>
      </c>
      <c r="AN2539" s="1" t="s">
        <v>71</v>
      </c>
      <c r="AS2539" s="1" t="s">
        <v>71</v>
      </c>
      <c r="AX2539" s="1" t="s">
        <v>71</v>
      </c>
      <c r="AY2539" s="1" t="s">
        <v>59</v>
      </c>
      <c r="AZ2539" s="1" t="s">
        <v>74</v>
      </c>
      <c r="BH2539" s="1" t="s">
        <v>71</v>
      </c>
    </row>
    <row r="2540" customFormat="false" ht="15" hidden="false" customHeight="false" outlineLevel="0" collapsed="false">
      <c r="A2540" s="1" t="s">
        <v>8539</v>
      </c>
      <c r="B2540" s="1" t="s">
        <v>8540</v>
      </c>
      <c r="C2540" s="1" t="s">
        <v>2519</v>
      </c>
      <c r="D2540" s="1" t="s">
        <v>8538</v>
      </c>
      <c r="E2540" s="1" t="s">
        <v>93</v>
      </c>
      <c r="F2540" s="1" t="s">
        <v>6348</v>
      </c>
      <c r="G2540" s="1" t="s">
        <v>159</v>
      </c>
      <c r="H2540" s="1" t="s">
        <v>7621</v>
      </c>
      <c r="K2540" s="1" t="s">
        <v>59</v>
      </c>
      <c r="L2540" s="1" t="s">
        <v>8541</v>
      </c>
      <c r="M2540" s="1" t="s">
        <v>8435</v>
      </c>
      <c r="N2540" s="1" t="s">
        <v>8542</v>
      </c>
      <c r="O2540" s="1" t="s">
        <v>8543</v>
      </c>
      <c r="P2540" s="1" t="s">
        <v>8544</v>
      </c>
      <c r="S2540" s="1" t="s">
        <v>229</v>
      </c>
      <c r="U2540" s="1" t="s">
        <v>8539</v>
      </c>
      <c r="Z2540" s="1" t="s">
        <v>71</v>
      </c>
      <c r="AE2540" s="1" t="s">
        <v>8531</v>
      </c>
      <c r="AH2540" s="1" t="s">
        <v>73</v>
      </c>
      <c r="AK2540" s="1" t="s">
        <v>71</v>
      </c>
      <c r="AM2540" s="1" t="s">
        <v>71</v>
      </c>
      <c r="AN2540" s="1" t="s">
        <v>71</v>
      </c>
      <c r="AS2540" s="1" t="s">
        <v>71</v>
      </c>
      <c r="AX2540" s="1" t="s">
        <v>71</v>
      </c>
      <c r="AY2540" s="1" t="s">
        <v>59</v>
      </c>
      <c r="AZ2540" s="1" t="s">
        <v>74</v>
      </c>
      <c r="BH2540" s="1" t="s">
        <v>71</v>
      </c>
    </row>
    <row r="2541" customFormat="false" ht="15" hidden="false" customHeight="false" outlineLevel="0" collapsed="false">
      <c r="A2541" s="1" t="s">
        <v>8545</v>
      </c>
      <c r="B2541" s="1" t="s">
        <v>8546</v>
      </c>
      <c r="C2541" s="1" t="s">
        <v>2519</v>
      </c>
      <c r="D2541" s="1" t="s">
        <v>8538</v>
      </c>
      <c r="E2541" s="1" t="s">
        <v>93</v>
      </c>
      <c r="F2541" s="1" t="s">
        <v>6348</v>
      </c>
      <c r="G2541" s="1" t="s">
        <v>159</v>
      </c>
      <c r="H2541" s="1" t="s">
        <v>7621</v>
      </c>
      <c r="K2541" s="1" t="s">
        <v>65</v>
      </c>
      <c r="L2541" s="1" t="s">
        <v>8547</v>
      </c>
      <c r="M2541" s="1" t="s">
        <v>6746</v>
      </c>
      <c r="N2541" s="1" t="s">
        <v>8548</v>
      </c>
      <c r="O2541" s="1" t="s">
        <v>8549</v>
      </c>
      <c r="P2541" s="1" t="s">
        <v>8550</v>
      </c>
      <c r="S2541" s="1" t="s">
        <v>229</v>
      </c>
      <c r="U2541" s="1" t="s">
        <v>8545</v>
      </c>
      <c r="Z2541" s="1" t="s">
        <v>71</v>
      </c>
      <c r="AE2541" s="1" t="s">
        <v>8531</v>
      </c>
      <c r="AH2541" s="1" t="s">
        <v>73</v>
      </c>
      <c r="AK2541" s="1" t="s">
        <v>71</v>
      </c>
      <c r="AM2541" s="1" t="s">
        <v>71</v>
      </c>
      <c r="AN2541" s="1" t="s">
        <v>71</v>
      </c>
      <c r="AS2541" s="1" t="s">
        <v>71</v>
      </c>
      <c r="AX2541" s="1" t="s">
        <v>71</v>
      </c>
      <c r="AY2541" s="1" t="s">
        <v>59</v>
      </c>
      <c r="AZ2541" s="1" t="s">
        <v>74</v>
      </c>
      <c r="BH2541" s="1" t="s">
        <v>71</v>
      </c>
    </row>
    <row r="2542" customFormat="false" ht="15" hidden="false" customHeight="false" outlineLevel="0" collapsed="false">
      <c r="A2542" s="1" t="s">
        <v>8551</v>
      </c>
      <c r="B2542" s="1" t="s">
        <v>8552</v>
      </c>
      <c r="C2542" s="1" t="s">
        <v>2519</v>
      </c>
      <c r="D2542" s="1" t="s">
        <v>8538</v>
      </c>
      <c r="E2542" s="1" t="s">
        <v>93</v>
      </c>
      <c r="F2542" s="1" t="s">
        <v>6348</v>
      </c>
      <c r="G2542" s="1" t="s">
        <v>159</v>
      </c>
      <c r="H2542" s="1" t="s">
        <v>7621</v>
      </c>
      <c r="K2542" s="1" t="s">
        <v>61</v>
      </c>
      <c r="L2542" s="1" t="s">
        <v>8553</v>
      </c>
      <c r="M2542" s="1" t="s">
        <v>6746</v>
      </c>
      <c r="N2542" s="1" t="s">
        <v>8554</v>
      </c>
      <c r="O2542" s="1" t="s">
        <v>8555</v>
      </c>
      <c r="P2542" s="1" t="s">
        <v>8556</v>
      </c>
      <c r="S2542" s="1" t="s">
        <v>229</v>
      </c>
      <c r="U2542" s="1" t="s">
        <v>8551</v>
      </c>
      <c r="Z2542" s="1" t="s">
        <v>71</v>
      </c>
      <c r="AE2542" s="1" t="s">
        <v>8531</v>
      </c>
      <c r="AH2542" s="1" t="s">
        <v>73</v>
      </c>
      <c r="AK2542" s="1" t="s">
        <v>71</v>
      </c>
      <c r="AM2542" s="1" t="s">
        <v>71</v>
      </c>
      <c r="AN2542" s="1" t="s">
        <v>71</v>
      </c>
      <c r="AS2542" s="1" t="s">
        <v>71</v>
      </c>
      <c r="AX2542" s="1" t="s">
        <v>71</v>
      </c>
      <c r="AY2542" s="1" t="s">
        <v>59</v>
      </c>
      <c r="AZ2542" s="1" t="s">
        <v>74</v>
      </c>
      <c r="BH2542" s="1" t="s">
        <v>71</v>
      </c>
    </row>
    <row r="2543" customFormat="false" ht="15" hidden="false" customHeight="false" outlineLevel="0" collapsed="false">
      <c r="A2543" s="1" t="s">
        <v>8557</v>
      </c>
      <c r="B2543" s="1" t="s">
        <v>8558</v>
      </c>
      <c r="C2543" s="1" t="s">
        <v>2523</v>
      </c>
      <c r="D2543" s="1" t="s">
        <v>8559</v>
      </c>
      <c r="E2543" s="1" t="s">
        <v>65</v>
      </c>
      <c r="F2543" s="1" t="s">
        <v>119</v>
      </c>
      <c r="G2543" s="1" t="s">
        <v>88</v>
      </c>
      <c r="H2543" s="1" t="s">
        <v>255</v>
      </c>
      <c r="K2543" s="1" t="s">
        <v>256</v>
      </c>
      <c r="L2543" s="1" t="s">
        <v>257</v>
      </c>
      <c r="M2543" s="1" t="s">
        <v>242</v>
      </c>
      <c r="N2543" s="1" t="s">
        <v>259</v>
      </c>
      <c r="O2543" s="1" t="s">
        <v>260</v>
      </c>
      <c r="P2543" s="1" t="s">
        <v>3768</v>
      </c>
      <c r="U2543" s="1" t="s">
        <v>8557</v>
      </c>
      <c r="Z2543" s="1" t="s">
        <v>71</v>
      </c>
      <c r="AE2543" s="1" t="s">
        <v>8560</v>
      </c>
      <c r="AH2543" s="1" t="s">
        <v>73</v>
      </c>
      <c r="AK2543" s="1" t="s">
        <v>71</v>
      </c>
      <c r="AM2543" s="1" t="s">
        <v>71</v>
      </c>
      <c r="AN2543" s="1" t="s">
        <v>71</v>
      </c>
      <c r="AS2543" s="1" t="s">
        <v>71</v>
      </c>
      <c r="AX2543" s="1" t="s">
        <v>71</v>
      </c>
      <c r="AY2543" s="1" t="s">
        <v>59</v>
      </c>
      <c r="AZ2543" s="1" t="s">
        <v>74</v>
      </c>
      <c r="BH2543" s="1" t="s">
        <v>71</v>
      </c>
    </row>
    <row r="2544" customFormat="false" ht="15" hidden="false" customHeight="false" outlineLevel="0" collapsed="false">
      <c r="A2544" s="1" t="s">
        <v>8561</v>
      </c>
      <c r="B2544" s="1" t="s">
        <v>8562</v>
      </c>
      <c r="C2544" s="1" t="s">
        <v>2523</v>
      </c>
      <c r="D2544" s="1" t="s">
        <v>8559</v>
      </c>
      <c r="E2544" s="1" t="s">
        <v>65</v>
      </c>
      <c r="F2544" s="1" t="s">
        <v>119</v>
      </c>
      <c r="G2544" s="1" t="s">
        <v>88</v>
      </c>
      <c r="H2544" s="1" t="s">
        <v>255</v>
      </c>
      <c r="K2544" s="1" t="s">
        <v>215</v>
      </c>
      <c r="L2544" s="1" t="s">
        <v>5567</v>
      </c>
      <c r="M2544" s="1" t="s">
        <v>296</v>
      </c>
      <c r="N2544" s="1" t="s">
        <v>259</v>
      </c>
      <c r="O2544" s="1" t="s">
        <v>260</v>
      </c>
      <c r="P2544" s="1" t="s">
        <v>3768</v>
      </c>
      <c r="U2544" s="1" t="s">
        <v>8561</v>
      </c>
      <c r="Z2544" s="1" t="s">
        <v>71</v>
      </c>
      <c r="AE2544" s="1" t="s">
        <v>8560</v>
      </c>
      <c r="AH2544" s="1" t="s">
        <v>73</v>
      </c>
      <c r="AK2544" s="1" t="s">
        <v>71</v>
      </c>
      <c r="AM2544" s="1" t="s">
        <v>71</v>
      </c>
      <c r="AN2544" s="1" t="s">
        <v>71</v>
      </c>
      <c r="AS2544" s="1" t="s">
        <v>71</v>
      </c>
      <c r="AX2544" s="1" t="s">
        <v>71</v>
      </c>
      <c r="AY2544" s="1" t="s">
        <v>59</v>
      </c>
      <c r="AZ2544" s="1" t="s">
        <v>74</v>
      </c>
      <c r="BH2544" s="1" t="s">
        <v>71</v>
      </c>
    </row>
    <row r="2545" customFormat="false" ht="15" hidden="false" customHeight="false" outlineLevel="0" collapsed="false">
      <c r="A2545" s="1" t="s">
        <v>8563</v>
      </c>
      <c r="B2545" s="1" t="s">
        <v>8564</v>
      </c>
      <c r="C2545" s="1" t="s">
        <v>2523</v>
      </c>
      <c r="D2545" s="1" t="s">
        <v>8559</v>
      </c>
      <c r="E2545" s="1" t="s">
        <v>61</v>
      </c>
      <c r="F2545" s="1" t="s">
        <v>101</v>
      </c>
      <c r="G2545" s="1" t="s">
        <v>148</v>
      </c>
      <c r="H2545" s="1" t="s">
        <v>231</v>
      </c>
      <c r="K2545" s="1" t="s">
        <v>168</v>
      </c>
      <c r="L2545" s="1" t="s">
        <v>1423</v>
      </c>
      <c r="M2545" s="1" t="s">
        <v>1387</v>
      </c>
      <c r="N2545" s="1" t="s">
        <v>243</v>
      </c>
      <c r="O2545" s="1" t="s">
        <v>244</v>
      </c>
      <c r="P2545" s="1" t="s">
        <v>3503</v>
      </c>
      <c r="U2545" s="1" t="s">
        <v>8563</v>
      </c>
      <c r="Z2545" s="1" t="s">
        <v>71</v>
      </c>
      <c r="AE2545" s="1" t="s">
        <v>8560</v>
      </c>
      <c r="AH2545" s="1" t="s">
        <v>73</v>
      </c>
      <c r="AK2545" s="1" t="s">
        <v>71</v>
      </c>
      <c r="AM2545" s="1" t="s">
        <v>71</v>
      </c>
      <c r="AN2545" s="1" t="s">
        <v>71</v>
      </c>
      <c r="AS2545" s="1" t="s">
        <v>71</v>
      </c>
      <c r="AX2545" s="1" t="s">
        <v>71</v>
      </c>
      <c r="AY2545" s="1" t="s">
        <v>59</v>
      </c>
      <c r="AZ2545" s="1" t="s">
        <v>74</v>
      </c>
      <c r="BH2545" s="1" t="s">
        <v>71</v>
      </c>
    </row>
    <row r="2546" customFormat="false" ht="15" hidden="false" customHeight="false" outlineLevel="0" collapsed="false">
      <c r="A2546" s="1" t="s">
        <v>8565</v>
      </c>
      <c r="B2546" s="1" t="s">
        <v>8566</v>
      </c>
      <c r="C2546" s="1" t="s">
        <v>2090</v>
      </c>
      <c r="D2546" s="1" t="s">
        <v>7238</v>
      </c>
      <c r="E2546" s="1" t="s">
        <v>61</v>
      </c>
      <c r="F2546" s="1" t="s">
        <v>101</v>
      </c>
      <c r="G2546" s="1" t="s">
        <v>93</v>
      </c>
      <c r="H2546" s="1" t="s">
        <v>64</v>
      </c>
      <c r="K2546" s="1" t="s">
        <v>290</v>
      </c>
      <c r="L2546" s="1" t="s">
        <v>291</v>
      </c>
      <c r="M2546" s="1" t="s">
        <v>104</v>
      </c>
      <c r="N2546" s="1" t="s">
        <v>105</v>
      </c>
      <c r="O2546" s="1" t="s">
        <v>106</v>
      </c>
      <c r="P2546" s="1" t="s">
        <v>3539</v>
      </c>
      <c r="U2546" s="1" t="s">
        <v>8565</v>
      </c>
      <c r="Z2546" s="1" t="s">
        <v>71</v>
      </c>
      <c r="AE2546" s="1" t="s">
        <v>8560</v>
      </c>
      <c r="AH2546" s="1" t="s">
        <v>73</v>
      </c>
      <c r="AK2546" s="1" t="s">
        <v>71</v>
      </c>
      <c r="AM2546" s="1" t="s">
        <v>71</v>
      </c>
      <c r="AN2546" s="1" t="s">
        <v>71</v>
      </c>
      <c r="AS2546" s="1" t="s">
        <v>71</v>
      </c>
      <c r="AX2546" s="1" t="s">
        <v>71</v>
      </c>
      <c r="AY2546" s="1" t="s">
        <v>59</v>
      </c>
      <c r="AZ2546" s="1" t="s">
        <v>74</v>
      </c>
      <c r="BH2546" s="1" t="s">
        <v>71</v>
      </c>
    </row>
    <row r="2547" customFormat="false" ht="15" hidden="false" customHeight="false" outlineLevel="0" collapsed="false">
      <c r="A2547" s="1" t="s">
        <v>8567</v>
      </c>
      <c r="B2547" s="1" t="s">
        <v>8568</v>
      </c>
      <c r="C2547" s="1" t="s">
        <v>2090</v>
      </c>
      <c r="D2547" s="1" t="s">
        <v>7238</v>
      </c>
      <c r="E2547" s="1" t="s">
        <v>61</v>
      </c>
      <c r="F2547" s="1" t="s">
        <v>101</v>
      </c>
      <c r="G2547" s="1" t="s">
        <v>93</v>
      </c>
      <c r="H2547" s="1" t="s">
        <v>64</v>
      </c>
      <c r="K2547" s="1" t="s">
        <v>108</v>
      </c>
      <c r="L2547" s="1" t="s">
        <v>2547</v>
      </c>
      <c r="M2547" s="1" t="s">
        <v>1387</v>
      </c>
      <c r="N2547" s="1" t="s">
        <v>105</v>
      </c>
      <c r="O2547" s="1" t="s">
        <v>106</v>
      </c>
      <c r="P2547" s="1" t="s">
        <v>3539</v>
      </c>
      <c r="U2547" s="1" t="s">
        <v>8567</v>
      </c>
      <c r="Z2547" s="1" t="s">
        <v>71</v>
      </c>
      <c r="AE2547" s="1" t="s">
        <v>8560</v>
      </c>
      <c r="AH2547" s="1" t="s">
        <v>73</v>
      </c>
      <c r="AK2547" s="1" t="s">
        <v>71</v>
      </c>
      <c r="AM2547" s="1" t="s">
        <v>71</v>
      </c>
      <c r="AN2547" s="1" t="s">
        <v>71</v>
      </c>
      <c r="AS2547" s="1" t="s">
        <v>71</v>
      </c>
      <c r="AX2547" s="1" t="s">
        <v>71</v>
      </c>
      <c r="AY2547" s="1" t="s">
        <v>59</v>
      </c>
      <c r="AZ2547" s="1" t="s">
        <v>74</v>
      </c>
      <c r="BH2547" s="1" t="s">
        <v>71</v>
      </c>
    </row>
    <row r="2548" customFormat="false" ht="15" hidden="false" customHeight="false" outlineLevel="0" collapsed="false">
      <c r="A2548" s="1" t="s">
        <v>8569</v>
      </c>
      <c r="B2548" s="1" t="s">
        <v>8570</v>
      </c>
      <c r="C2548" s="1" t="s">
        <v>2090</v>
      </c>
      <c r="D2548" s="1" t="s">
        <v>7238</v>
      </c>
      <c r="E2548" s="1" t="s">
        <v>61</v>
      </c>
      <c r="F2548" s="1" t="s">
        <v>101</v>
      </c>
      <c r="G2548" s="1" t="s">
        <v>93</v>
      </c>
      <c r="H2548" s="1" t="s">
        <v>64</v>
      </c>
      <c r="K2548" s="1" t="s">
        <v>108</v>
      </c>
      <c r="L2548" s="1" t="s">
        <v>2547</v>
      </c>
      <c r="M2548" s="1" t="s">
        <v>310</v>
      </c>
      <c r="N2548" s="1" t="s">
        <v>105</v>
      </c>
      <c r="O2548" s="1" t="s">
        <v>106</v>
      </c>
      <c r="P2548" s="1" t="s">
        <v>3539</v>
      </c>
      <c r="U2548" s="1" t="s">
        <v>8569</v>
      </c>
      <c r="Z2548" s="1" t="s">
        <v>71</v>
      </c>
      <c r="AE2548" s="1" t="s">
        <v>8560</v>
      </c>
      <c r="AH2548" s="1" t="s">
        <v>73</v>
      </c>
      <c r="AK2548" s="1" t="s">
        <v>71</v>
      </c>
      <c r="AM2548" s="1" t="s">
        <v>71</v>
      </c>
      <c r="AN2548" s="1" t="s">
        <v>71</v>
      </c>
      <c r="AS2548" s="1" t="s">
        <v>71</v>
      </c>
      <c r="AX2548" s="1" t="s">
        <v>71</v>
      </c>
      <c r="AY2548" s="1" t="s">
        <v>59</v>
      </c>
      <c r="AZ2548" s="1" t="s">
        <v>74</v>
      </c>
      <c r="BH2548" s="1" t="s">
        <v>71</v>
      </c>
    </row>
    <row r="2549" customFormat="false" ht="15" hidden="false" customHeight="false" outlineLevel="0" collapsed="false">
      <c r="A2549" s="1" t="s">
        <v>8571</v>
      </c>
      <c r="B2549" s="1" t="s">
        <v>8572</v>
      </c>
      <c r="C2549" s="1" t="s">
        <v>161</v>
      </c>
      <c r="D2549" s="1" t="s">
        <v>162</v>
      </c>
      <c r="E2549" s="1" t="s">
        <v>61</v>
      </c>
      <c r="F2549" s="1" t="s">
        <v>101</v>
      </c>
      <c r="G2549" s="1" t="s">
        <v>93</v>
      </c>
      <c r="H2549" s="1" t="s">
        <v>64</v>
      </c>
      <c r="K2549" s="1" t="s">
        <v>302</v>
      </c>
      <c r="L2549" s="1" t="s">
        <v>303</v>
      </c>
      <c r="M2549" s="1" t="s">
        <v>104</v>
      </c>
      <c r="N2549" s="1" t="s">
        <v>105</v>
      </c>
      <c r="O2549" s="1" t="s">
        <v>106</v>
      </c>
      <c r="P2549" s="1" t="s">
        <v>3539</v>
      </c>
      <c r="U2549" s="1" t="s">
        <v>8571</v>
      </c>
      <c r="Z2549" s="1" t="s">
        <v>71</v>
      </c>
      <c r="AE2549" s="1" t="s">
        <v>8573</v>
      </c>
      <c r="AH2549" s="1" t="s">
        <v>73</v>
      </c>
      <c r="AK2549" s="1" t="s">
        <v>71</v>
      </c>
      <c r="AM2549" s="1" t="s">
        <v>71</v>
      </c>
      <c r="AN2549" s="1" t="s">
        <v>71</v>
      </c>
      <c r="AS2549" s="1" t="s">
        <v>71</v>
      </c>
      <c r="AX2549" s="1" t="s">
        <v>71</v>
      </c>
      <c r="AY2549" s="1" t="s">
        <v>59</v>
      </c>
      <c r="AZ2549" s="1" t="s">
        <v>74</v>
      </c>
      <c r="BH2549" s="1" t="s">
        <v>71</v>
      </c>
    </row>
    <row r="2550" customFormat="false" ht="15" hidden="false" customHeight="false" outlineLevel="0" collapsed="false">
      <c r="A2550" s="1" t="s">
        <v>8574</v>
      </c>
      <c r="B2550" s="1" t="s">
        <v>8575</v>
      </c>
      <c r="C2550" s="1" t="s">
        <v>7951</v>
      </c>
      <c r="D2550" s="1" t="s">
        <v>7952</v>
      </c>
      <c r="E2550" s="1" t="s">
        <v>82</v>
      </c>
      <c r="F2550" s="1" t="s">
        <v>391</v>
      </c>
      <c r="G2550" s="1" t="s">
        <v>97</v>
      </c>
      <c r="H2550" s="1" t="s">
        <v>406</v>
      </c>
      <c r="K2550" s="1" t="s">
        <v>65</v>
      </c>
      <c r="L2550" s="1" t="s">
        <v>860</v>
      </c>
      <c r="M2550" s="1" t="s">
        <v>496</v>
      </c>
      <c r="N2550" s="1" t="s">
        <v>8576</v>
      </c>
      <c r="O2550" s="1" t="s">
        <v>447</v>
      </c>
      <c r="P2550" s="1" t="s">
        <v>8577</v>
      </c>
      <c r="U2550" s="1" t="s">
        <v>8574</v>
      </c>
      <c r="Z2550" s="1" t="s">
        <v>71</v>
      </c>
      <c r="AE2550" s="1" t="s">
        <v>8578</v>
      </c>
      <c r="AF2550" s="1" t="s">
        <v>59</v>
      </c>
      <c r="AH2550" s="1" t="s">
        <v>73</v>
      </c>
      <c r="AK2550" s="1" t="s">
        <v>71</v>
      </c>
      <c r="AS2550" s="1" t="s">
        <v>71</v>
      </c>
    </row>
    <row r="2551" customFormat="false" ht="15" hidden="false" customHeight="false" outlineLevel="0" collapsed="false">
      <c r="A2551" s="1" t="s">
        <v>8579</v>
      </c>
      <c r="B2551" s="1" t="s">
        <v>8580</v>
      </c>
      <c r="C2551" s="1" t="s">
        <v>1795</v>
      </c>
      <c r="D2551" s="1" t="s">
        <v>6570</v>
      </c>
      <c r="E2551" s="1" t="s">
        <v>82</v>
      </c>
      <c r="F2551" s="1" t="s">
        <v>391</v>
      </c>
      <c r="G2551" s="1" t="s">
        <v>97</v>
      </c>
      <c r="H2551" s="1" t="s">
        <v>406</v>
      </c>
      <c r="K2551" s="1" t="s">
        <v>65</v>
      </c>
      <c r="L2551" s="1" t="s">
        <v>860</v>
      </c>
      <c r="M2551" s="1" t="s">
        <v>496</v>
      </c>
      <c r="N2551" s="1" t="s">
        <v>8581</v>
      </c>
      <c r="O2551" s="1" t="s">
        <v>400</v>
      </c>
      <c r="P2551" s="1" t="s">
        <v>8582</v>
      </c>
      <c r="U2551" s="1" t="s">
        <v>8579</v>
      </c>
      <c r="Z2551" s="1" t="s">
        <v>71</v>
      </c>
      <c r="AE2551" s="1" t="s">
        <v>8583</v>
      </c>
      <c r="AF2551" s="1" t="s">
        <v>59</v>
      </c>
      <c r="AH2551" s="1" t="s">
        <v>73</v>
      </c>
      <c r="AK2551" s="1" t="s">
        <v>71</v>
      </c>
      <c r="AS2551" s="1" t="s">
        <v>71</v>
      </c>
    </row>
    <row r="2552" customFormat="false" ht="15" hidden="false" customHeight="false" outlineLevel="0" collapsed="false">
      <c r="A2552" s="1" t="s">
        <v>8584</v>
      </c>
      <c r="B2552" s="1" t="s">
        <v>8585</v>
      </c>
      <c r="C2552" s="1" t="s">
        <v>222</v>
      </c>
      <c r="D2552" s="1" t="s">
        <v>223</v>
      </c>
      <c r="E2552" s="1" t="s">
        <v>61</v>
      </c>
      <c r="F2552" s="1" t="s">
        <v>101</v>
      </c>
      <c r="G2552" s="1" t="s">
        <v>93</v>
      </c>
      <c r="H2552" s="1" t="s">
        <v>64</v>
      </c>
      <c r="K2552" s="1" t="s">
        <v>4298</v>
      </c>
      <c r="L2552" s="1" t="s">
        <v>4299</v>
      </c>
      <c r="M2552" s="1" t="s">
        <v>104</v>
      </c>
      <c r="N2552" s="1" t="s">
        <v>105</v>
      </c>
      <c r="O2552" s="1" t="s">
        <v>106</v>
      </c>
      <c r="P2552" s="1" t="s">
        <v>3539</v>
      </c>
      <c r="U2552" s="1" t="s">
        <v>8584</v>
      </c>
      <c r="Z2552" s="1" t="s">
        <v>71</v>
      </c>
      <c r="AE2552" s="1" t="s">
        <v>8586</v>
      </c>
      <c r="AH2552" s="1" t="s">
        <v>73</v>
      </c>
      <c r="AK2552" s="1" t="s">
        <v>71</v>
      </c>
      <c r="AM2552" s="1" t="s">
        <v>71</v>
      </c>
      <c r="AN2552" s="1" t="s">
        <v>71</v>
      </c>
      <c r="AS2552" s="1" t="s">
        <v>71</v>
      </c>
      <c r="AX2552" s="1" t="s">
        <v>71</v>
      </c>
      <c r="AY2552" s="1" t="s">
        <v>59</v>
      </c>
      <c r="AZ2552" s="1" t="s">
        <v>74</v>
      </c>
      <c r="BH2552" s="1" t="s">
        <v>71</v>
      </c>
    </row>
    <row r="2553" customFormat="false" ht="15" hidden="false" customHeight="false" outlineLevel="0" collapsed="false">
      <c r="A2553" s="1" t="s">
        <v>8587</v>
      </c>
      <c r="B2553" s="1" t="s">
        <v>8588</v>
      </c>
      <c r="C2553" s="1" t="s">
        <v>222</v>
      </c>
      <c r="D2553" s="1" t="s">
        <v>223</v>
      </c>
      <c r="E2553" s="1" t="s">
        <v>61</v>
      </c>
      <c r="F2553" s="1" t="s">
        <v>101</v>
      </c>
      <c r="G2553" s="1" t="s">
        <v>93</v>
      </c>
      <c r="H2553" s="1" t="s">
        <v>64</v>
      </c>
      <c r="K2553" s="1" t="s">
        <v>251</v>
      </c>
      <c r="L2553" s="1" t="s">
        <v>1084</v>
      </c>
      <c r="M2553" s="1" t="s">
        <v>104</v>
      </c>
      <c r="N2553" s="1" t="s">
        <v>105</v>
      </c>
      <c r="O2553" s="1" t="s">
        <v>106</v>
      </c>
      <c r="P2553" s="1" t="s">
        <v>3539</v>
      </c>
      <c r="U2553" s="1" t="s">
        <v>8587</v>
      </c>
      <c r="Z2553" s="1" t="s">
        <v>71</v>
      </c>
      <c r="AE2553" s="1" t="s">
        <v>8586</v>
      </c>
      <c r="AH2553" s="1" t="s">
        <v>73</v>
      </c>
      <c r="AK2553" s="1" t="s">
        <v>71</v>
      </c>
      <c r="AM2553" s="1" t="s">
        <v>71</v>
      </c>
      <c r="AN2553" s="1" t="s">
        <v>71</v>
      </c>
      <c r="AS2553" s="1" t="s">
        <v>71</v>
      </c>
      <c r="AX2553" s="1" t="s">
        <v>71</v>
      </c>
      <c r="AY2553" s="1" t="s">
        <v>59</v>
      </c>
      <c r="AZ2553" s="1" t="s">
        <v>74</v>
      </c>
      <c r="BH2553" s="1" t="s">
        <v>71</v>
      </c>
    </row>
    <row r="2554" customFormat="false" ht="15" hidden="false" customHeight="false" outlineLevel="0" collapsed="false">
      <c r="A2554" s="1" t="s">
        <v>8589</v>
      </c>
      <c r="B2554" s="1" t="s">
        <v>8590</v>
      </c>
      <c r="C2554" s="1" t="s">
        <v>222</v>
      </c>
      <c r="D2554" s="1" t="s">
        <v>223</v>
      </c>
      <c r="E2554" s="1" t="s">
        <v>61</v>
      </c>
      <c r="F2554" s="1" t="s">
        <v>101</v>
      </c>
      <c r="G2554" s="1" t="s">
        <v>93</v>
      </c>
      <c r="H2554" s="1" t="s">
        <v>64</v>
      </c>
      <c r="K2554" s="1" t="s">
        <v>217</v>
      </c>
      <c r="L2554" s="1" t="s">
        <v>218</v>
      </c>
      <c r="M2554" s="1" t="s">
        <v>104</v>
      </c>
      <c r="N2554" s="1" t="s">
        <v>105</v>
      </c>
      <c r="O2554" s="1" t="s">
        <v>106</v>
      </c>
      <c r="P2554" s="1" t="s">
        <v>3539</v>
      </c>
      <c r="U2554" s="1" t="s">
        <v>8589</v>
      </c>
      <c r="Z2554" s="1" t="s">
        <v>71</v>
      </c>
      <c r="AE2554" s="1" t="s">
        <v>8586</v>
      </c>
      <c r="AH2554" s="1" t="s">
        <v>73</v>
      </c>
      <c r="AK2554" s="1" t="s">
        <v>71</v>
      </c>
      <c r="AM2554" s="1" t="s">
        <v>71</v>
      </c>
      <c r="AN2554" s="1" t="s">
        <v>71</v>
      </c>
      <c r="AS2554" s="1" t="s">
        <v>71</v>
      </c>
      <c r="AX2554" s="1" t="s">
        <v>71</v>
      </c>
      <c r="AY2554" s="1" t="s">
        <v>59</v>
      </c>
      <c r="AZ2554" s="1" t="s">
        <v>74</v>
      </c>
      <c r="BH2554" s="1" t="s">
        <v>71</v>
      </c>
    </row>
    <row r="2555" customFormat="false" ht="15" hidden="false" customHeight="false" outlineLevel="0" collapsed="false">
      <c r="A2555" s="1" t="s">
        <v>8591</v>
      </c>
      <c r="B2555" s="1" t="s">
        <v>8592</v>
      </c>
      <c r="C2555" s="1" t="s">
        <v>222</v>
      </c>
      <c r="D2555" s="1" t="s">
        <v>223</v>
      </c>
      <c r="E2555" s="1" t="s">
        <v>61</v>
      </c>
      <c r="F2555" s="1" t="s">
        <v>101</v>
      </c>
      <c r="G2555" s="1" t="s">
        <v>93</v>
      </c>
      <c r="H2555" s="1" t="s">
        <v>64</v>
      </c>
      <c r="K2555" s="1" t="s">
        <v>215</v>
      </c>
      <c r="L2555" s="1" t="s">
        <v>197</v>
      </c>
      <c r="M2555" s="1" t="s">
        <v>104</v>
      </c>
      <c r="N2555" s="1" t="s">
        <v>105</v>
      </c>
      <c r="O2555" s="1" t="s">
        <v>106</v>
      </c>
      <c r="P2555" s="1" t="s">
        <v>3539</v>
      </c>
      <c r="U2555" s="1" t="s">
        <v>8591</v>
      </c>
      <c r="Z2555" s="1" t="s">
        <v>71</v>
      </c>
      <c r="AE2555" s="1" t="s">
        <v>8586</v>
      </c>
      <c r="AH2555" s="1" t="s">
        <v>73</v>
      </c>
      <c r="AK2555" s="1" t="s">
        <v>71</v>
      </c>
      <c r="AM2555" s="1" t="s">
        <v>71</v>
      </c>
      <c r="AN2555" s="1" t="s">
        <v>71</v>
      </c>
      <c r="AS2555" s="1" t="s">
        <v>71</v>
      </c>
      <c r="AX2555" s="1" t="s">
        <v>71</v>
      </c>
      <c r="AY2555" s="1" t="s">
        <v>59</v>
      </c>
      <c r="AZ2555" s="1" t="s">
        <v>74</v>
      </c>
      <c r="BH2555" s="1" t="s">
        <v>71</v>
      </c>
    </row>
    <row r="2556" customFormat="false" ht="15" hidden="false" customHeight="false" outlineLevel="0" collapsed="false">
      <c r="A2556" s="1" t="s">
        <v>8593</v>
      </c>
      <c r="B2556" s="1" t="s">
        <v>8594</v>
      </c>
      <c r="C2556" s="1" t="s">
        <v>2146</v>
      </c>
      <c r="D2556" s="1" t="s">
        <v>7457</v>
      </c>
      <c r="E2556" s="1" t="s">
        <v>61</v>
      </c>
      <c r="F2556" s="1" t="s">
        <v>101</v>
      </c>
      <c r="G2556" s="1" t="s">
        <v>93</v>
      </c>
      <c r="H2556" s="1" t="s">
        <v>64</v>
      </c>
      <c r="K2556" s="1" t="s">
        <v>126</v>
      </c>
      <c r="L2556" s="1" t="s">
        <v>335</v>
      </c>
      <c r="M2556" s="1" t="s">
        <v>1555</v>
      </c>
      <c r="N2556" s="1" t="s">
        <v>105</v>
      </c>
      <c r="O2556" s="1" t="s">
        <v>106</v>
      </c>
      <c r="P2556" s="1" t="s">
        <v>3539</v>
      </c>
      <c r="U2556" s="1" t="s">
        <v>8593</v>
      </c>
      <c r="Z2556" s="1" t="s">
        <v>71</v>
      </c>
      <c r="AE2556" s="1" t="s">
        <v>8595</v>
      </c>
      <c r="AH2556" s="1" t="s">
        <v>73</v>
      </c>
      <c r="AK2556" s="1" t="s">
        <v>71</v>
      </c>
      <c r="AM2556" s="1" t="s">
        <v>71</v>
      </c>
      <c r="AN2556" s="1" t="s">
        <v>71</v>
      </c>
      <c r="AS2556" s="1" t="s">
        <v>71</v>
      </c>
      <c r="AX2556" s="1" t="s">
        <v>71</v>
      </c>
      <c r="AY2556" s="1" t="s">
        <v>59</v>
      </c>
      <c r="AZ2556" s="1" t="s">
        <v>74</v>
      </c>
      <c r="BH2556" s="1" t="s">
        <v>71</v>
      </c>
    </row>
    <row r="2557" customFormat="false" ht="15" hidden="false" customHeight="false" outlineLevel="0" collapsed="false">
      <c r="A2557" s="1" t="s">
        <v>8596</v>
      </c>
      <c r="B2557" s="1" t="s">
        <v>8597</v>
      </c>
      <c r="C2557" s="1" t="s">
        <v>2146</v>
      </c>
      <c r="D2557" s="1" t="s">
        <v>7457</v>
      </c>
      <c r="E2557" s="1" t="s">
        <v>61</v>
      </c>
      <c r="F2557" s="1" t="s">
        <v>101</v>
      </c>
      <c r="G2557" s="1" t="s">
        <v>93</v>
      </c>
      <c r="H2557" s="1" t="s">
        <v>64</v>
      </c>
      <c r="K2557" s="1" t="s">
        <v>126</v>
      </c>
      <c r="L2557" s="1" t="s">
        <v>335</v>
      </c>
      <c r="M2557" s="1" t="s">
        <v>1555</v>
      </c>
      <c r="N2557" s="1" t="s">
        <v>105</v>
      </c>
      <c r="O2557" s="1" t="s">
        <v>106</v>
      </c>
      <c r="P2557" s="1" t="s">
        <v>3539</v>
      </c>
      <c r="U2557" s="1" t="s">
        <v>8596</v>
      </c>
      <c r="Z2557" s="1" t="s">
        <v>71</v>
      </c>
      <c r="AE2557" s="1" t="s">
        <v>8595</v>
      </c>
      <c r="AH2557" s="1" t="s">
        <v>73</v>
      </c>
      <c r="AK2557" s="1" t="s">
        <v>71</v>
      </c>
      <c r="AM2557" s="1" t="s">
        <v>71</v>
      </c>
      <c r="AN2557" s="1" t="s">
        <v>71</v>
      </c>
      <c r="AS2557" s="1" t="s">
        <v>71</v>
      </c>
      <c r="AX2557" s="1" t="s">
        <v>71</v>
      </c>
      <c r="AY2557" s="1" t="s">
        <v>59</v>
      </c>
      <c r="AZ2557" s="1" t="s">
        <v>74</v>
      </c>
      <c r="BH2557" s="1" t="s">
        <v>71</v>
      </c>
    </row>
    <row r="2558" customFormat="false" ht="15" hidden="false" customHeight="false" outlineLevel="0" collapsed="false">
      <c r="A2558" s="1" t="s">
        <v>8598</v>
      </c>
      <c r="B2558" s="1" t="s">
        <v>8599</v>
      </c>
      <c r="C2558" s="1" t="s">
        <v>2146</v>
      </c>
      <c r="D2558" s="1" t="s">
        <v>7457</v>
      </c>
      <c r="E2558" s="1" t="s">
        <v>61</v>
      </c>
      <c r="F2558" s="1" t="s">
        <v>101</v>
      </c>
      <c r="G2558" s="1" t="s">
        <v>93</v>
      </c>
      <c r="H2558" s="1" t="s">
        <v>64</v>
      </c>
      <c r="K2558" s="1" t="s">
        <v>126</v>
      </c>
      <c r="L2558" s="1" t="s">
        <v>335</v>
      </c>
      <c r="M2558" s="1" t="s">
        <v>1555</v>
      </c>
      <c r="N2558" s="1" t="s">
        <v>105</v>
      </c>
      <c r="O2558" s="1" t="s">
        <v>106</v>
      </c>
      <c r="P2558" s="1" t="s">
        <v>3539</v>
      </c>
      <c r="U2558" s="1" t="s">
        <v>8598</v>
      </c>
      <c r="Z2558" s="1" t="s">
        <v>71</v>
      </c>
      <c r="AE2558" s="1" t="s">
        <v>8595</v>
      </c>
      <c r="AH2558" s="1" t="s">
        <v>73</v>
      </c>
      <c r="AK2558" s="1" t="s">
        <v>71</v>
      </c>
      <c r="AM2558" s="1" t="s">
        <v>71</v>
      </c>
      <c r="AN2558" s="1" t="s">
        <v>71</v>
      </c>
      <c r="AS2558" s="1" t="s">
        <v>71</v>
      </c>
      <c r="AX2558" s="1" t="s">
        <v>71</v>
      </c>
      <c r="AY2558" s="1" t="s">
        <v>59</v>
      </c>
      <c r="AZ2558" s="1" t="s">
        <v>74</v>
      </c>
      <c r="BH2558" s="1" t="s">
        <v>71</v>
      </c>
    </row>
    <row r="2559" customFormat="false" ht="15" hidden="false" customHeight="false" outlineLevel="0" collapsed="false">
      <c r="A2559" s="1" t="s">
        <v>8600</v>
      </c>
      <c r="B2559" s="1" t="s">
        <v>8601</v>
      </c>
      <c r="C2559" s="1" t="s">
        <v>2519</v>
      </c>
      <c r="D2559" s="1" t="s">
        <v>8538</v>
      </c>
      <c r="E2559" s="1" t="s">
        <v>93</v>
      </c>
      <c r="F2559" s="1" t="s">
        <v>6348</v>
      </c>
      <c r="G2559" s="1" t="s">
        <v>159</v>
      </c>
      <c r="H2559" s="1" t="s">
        <v>7621</v>
      </c>
      <c r="K2559" s="1" t="s">
        <v>82</v>
      </c>
      <c r="L2559" s="1" t="s">
        <v>8602</v>
      </c>
      <c r="M2559" s="1" t="s">
        <v>6746</v>
      </c>
      <c r="N2559" s="1" t="s">
        <v>8548</v>
      </c>
      <c r="O2559" s="1" t="s">
        <v>8549</v>
      </c>
      <c r="P2559" s="1" t="s">
        <v>8550</v>
      </c>
      <c r="S2559" s="1" t="s">
        <v>229</v>
      </c>
      <c r="U2559" s="1" t="s">
        <v>8600</v>
      </c>
      <c r="Z2559" s="1" t="s">
        <v>71</v>
      </c>
      <c r="AE2559" s="1" t="s">
        <v>8603</v>
      </c>
      <c r="AH2559" s="1" t="s">
        <v>73</v>
      </c>
      <c r="AK2559" s="1" t="s">
        <v>71</v>
      </c>
      <c r="AM2559" s="1" t="s">
        <v>71</v>
      </c>
      <c r="AN2559" s="1" t="s">
        <v>71</v>
      </c>
      <c r="AS2559" s="1" t="s">
        <v>71</v>
      </c>
      <c r="AX2559" s="1" t="s">
        <v>71</v>
      </c>
      <c r="AY2559" s="1" t="s">
        <v>59</v>
      </c>
      <c r="AZ2559" s="1" t="s">
        <v>74</v>
      </c>
      <c r="BH2559" s="1" t="s">
        <v>71</v>
      </c>
    </row>
    <row r="2560" customFormat="false" ht="15" hidden="false" customHeight="false" outlineLevel="0" collapsed="false">
      <c r="A2560" s="1" t="s">
        <v>8604</v>
      </c>
      <c r="B2560" s="1" t="s">
        <v>8605</v>
      </c>
      <c r="C2560" s="1" t="s">
        <v>2519</v>
      </c>
      <c r="D2560" s="1" t="s">
        <v>8538</v>
      </c>
      <c r="E2560" s="1" t="s">
        <v>93</v>
      </c>
      <c r="F2560" s="1" t="s">
        <v>6348</v>
      </c>
      <c r="G2560" s="1" t="s">
        <v>159</v>
      </c>
      <c r="H2560" s="1" t="s">
        <v>7621</v>
      </c>
      <c r="K2560" s="1" t="s">
        <v>82</v>
      </c>
      <c r="L2560" s="1" t="s">
        <v>8602</v>
      </c>
      <c r="M2560" s="1" t="s">
        <v>5708</v>
      </c>
      <c r="N2560" s="1" t="s">
        <v>8606</v>
      </c>
      <c r="O2560" s="1" t="s">
        <v>8607</v>
      </c>
      <c r="P2560" s="1" t="s">
        <v>8608</v>
      </c>
      <c r="S2560" s="1" t="s">
        <v>229</v>
      </c>
      <c r="U2560" s="1" t="s">
        <v>8604</v>
      </c>
      <c r="Z2560" s="1" t="s">
        <v>71</v>
      </c>
      <c r="AE2560" s="1" t="s">
        <v>8603</v>
      </c>
      <c r="AH2560" s="1" t="s">
        <v>73</v>
      </c>
      <c r="AK2560" s="1" t="s">
        <v>71</v>
      </c>
      <c r="AM2560" s="1" t="s">
        <v>71</v>
      </c>
      <c r="AN2560" s="1" t="s">
        <v>71</v>
      </c>
      <c r="AS2560" s="1" t="s">
        <v>71</v>
      </c>
      <c r="AX2560" s="1" t="s">
        <v>71</v>
      </c>
      <c r="AY2560" s="1" t="s">
        <v>59</v>
      </c>
      <c r="AZ2560" s="1" t="s">
        <v>74</v>
      </c>
      <c r="BH2560" s="1" t="s">
        <v>71</v>
      </c>
    </row>
    <row r="2561" customFormat="false" ht="15" hidden="false" customHeight="false" outlineLevel="0" collapsed="false">
      <c r="A2561" s="1" t="s">
        <v>8609</v>
      </c>
      <c r="B2561" s="1" t="s">
        <v>8610</v>
      </c>
      <c r="C2561" s="1" t="s">
        <v>2491</v>
      </c>
      <c r="D2561" s="1" t="s">
        <v>8611</v>
      </c>
      <c r="E2561" s="1" t="s">
        <v>82</v>
      </c>
      <c r="F2561" s="1" t="s">
        <v>391</v>
      </c>
      <c r="G2561" s="1" t="s">
        <v>213</v>
      </c>
      <c r="H2561" s="1" t="s">
        <v>477</v>
      </c>
      <c r="K2561" s="1" t="s">
        <v>478</v>
      </c>
      <c r="L2561" s="1" t="s">
        <v>479</v>
      </c>
      <c r="M2561" s="1" t="s">
        <v>496</v>
      </c>
      <c r="N2561" s="1" t="s">
        <v>518</v>
      </c>
      <c r="O2561" s="1" t="s">
        <v>519</v>
      </c>
      <c r="P2561" s="1" t="s">
        <v>4181</v>
      </c>
      <c r="U2561" s="1" t="s">
        <v>8609</v>
      </c>
      <c r="Z2561" s="1" t="s">
        <v>71</v>
      </c>
      <c r="AE2561" s="1" t="s">
        <v>8612</v>
      </c>
      <c r="AH2561" s="1" t="s">
        <v>73</v>
      </c>
      <c r="AK2561" s="1" t="s">
        <v>71</v>
      </c>
      <c r="AS2561" s="1" t="s">
        <v>71</v>
      </c>
    </row>
    <row r="2562" customFormat="false" ht="15" hidden="false" customHeight="false" outlineLevel="0" collapsed="false">
      <c r="A2562" s="1" t="s">
        <v>8613</v>
      </c>
      <c r="B2562" s="1" t="s">
        <v>8614</v>
      </c>
      <c r="C2562" s="1" t="s">
        <v>2491</v>
      </c>
      <c r="D2562" s="1" t="s">
        <v>8611</v>
      </c>
      <c r="E2562" s="1" t="s">
        <v>82</v>
      </c>
      <c r="F2562" s="1" t="s">
        <v>391</v>
      </c>
      <c r="G2562" s="1" t="s">
        <v>213</v>
      </c>
      <c r="H2562" s="1" t="s">
        <v>477</v>
      </c>
      <c r="K2562" s="1" t="s">
        <v>478</v>
      </c>
      <c r="L2562" s="1" t="s">
        <v>479</v>
      </c>
      <c r="M2562" s="1" t="s">
        <v>496</v>
      </c>
      <c r="N2562" s="1" t="s">
        <v>518</v>
      </c>
      <c r="O2562" s="1" t="s">
        <v>519</v>
      </c>
      <c r="P2562" s="1" t="s">
        <v>4181</v>
      </c>
      <c r="U2562" s="1" t="s">
        <v>8613</v>
      </c>
      <c r="Z2562" s="1" t="s">
        <v>71</v>
      </c>
      <c r="AE2562" s="1" t="s">
        <v>8612</v>
      </c>
      <c r="AH2562" s="1" t="s">
        <v>73</v>
      </c>
      <c r="AK2562" s="1" t="s">
        <v>71</v>
      </c>
      <c r="AS2562" s="1" t="s">
        <v>71</v>
      </c>
    </row>
    <row r="2563" customFormat="false" ht="15" hidden="false" customHeight="false" outlineLevel="0" collapsed="false">
      <c r="A2563" s="1" t="s">
        <v>8615</v>
      </c>
      <c r="B2563" s="1" t="s">
        <v>8616</v>
      </c>
      <c r="C2563" s="1" t="s">
        <v>389</v>
      </c>
      <c r="D2563" s="1" t="s">
        <v>390</v>
      </c>
      <c r="E2563" s="1" t="s">
        <v>82</v>
      </c>
      <c r="F2563" s="1" t="s">
        <v>391</v>
      </c>
      <c r="G2563" s="1" t="s">
        <v>182</v>
      </c>
      <c r="H2563" s="1" t="s">
        <v>392</v>
      </c>
      <c r="K2563" s="1" t="s">
        <v>65</v>
      </c>
      <c r="L2563" s="1" t="s">
        <v>517</v>
      </c>
      <c r="M2563" s="1" t="s">
        <v>496</v>
      </c>
      <c r="N2563" s="1" t="s">
        <v>8617</v>
      </c>
      <c r="O2563" s="1" t="s">
        <v>8618</v>
      </c>
      <c r="P2563" s="1" t="s">
        <v>8619</v>
      </c>
      <c r="U2563" s="1" t="s">
        <v>8615</v>
      </c>
      <c r="Z2563" s="1" t="s">
        <v>71</v>
      </c>
      <c r="AE2563" s="1" t="s">
        <v>8612</v>
      </c>
      <c r="AF2563" s="1" t="s">
        <v>59</v>
      </c>
      <c r="AH2563" s="1" t="s">
        <v>73</v>
      </c>
      <c r="AK2563" s="1" t="s">
        <v>71</v>
      </c>
      <c r="AS2563" s="1" t="s">
        <v>71</v>
      </c>
    </row>
    <row r="2564" customFormat="false" ht="15" hidden="false" customHeight="false" outlineLevel="0" collapsed="false">
      <c r="A2564" s="1" t="s">
        <v>8620</v>
      </c>
      <c r="B2564" s="1" t="s">
        <v>8621</v>
      </c>
      <c r="C2564" s="1" t="s">
        <v>389</v>
      </c>
      <c r="D2564" s="1" t="s">
        <v>390</v>
      </c>
      <c r="E2564" s="1" t="s">
        <v>82</v>
      </c>
      <c r="F2564" s="1" t="s">
        <v>391</v>
      </c>
      <c r="G2564" s="1" t="s">
        <v>182</v>
      </c>
      <c r="H2564" s="1" t="s">
        <v>392</v>
      </c>
      <c r="K2564" s="1" t="s">
        <v>65</v>
      </c>
      <c r="L2564" s="1" t="s">
        <v>517</v>
      </c>
      <c r="M2564" s="1" t="s">
        <v>496</v>
      </c>
      <c r="N2564" s="1" t="s">
        <v>2032</v>
      </c>
      <c r="O2564" s="1" t="s">
        <v>447</v>
      </c>
      <c r="P2564" s="1" t="s">
        <v>3474</v>
      </c>
      <c r="U2564" s="1" t="s">
        <v>8620</v>
      </c>
      <c r="Z2564" s="1" t="s">
        <v>71</v>
      </c>
      <c r="AE2564" s="1" t="s">
        <v>8612</v>
      </c>
      <c r="AF2564" s="1" t="s">
        <v>59</v>
      </c>
      <c r="AH2564" s="1" t="s">
        <v>73</v>
      </c>
      <c r="AK2564" s="1" t="s">
        <v>71</v>
      </c>
      <c r="AS2564" s="1" t="s">
        <v>71</v>
      </c>
    </row>
    <row r="2565" customFormat="false" ht="15" hidden="false" customHeight="false" outlineLevel="0" collapsed="false">
      <c r="A2565" s="1" t="s">
        <v>8622</v>
      </c>
      <c r="B2565" s="1" t="s">
        <v>8623</v>
      </c>
      <c r="C2565" s="1" t="s">
        <v>389</v>
      </c>
      <c r="D2565" s="1" t="s">
        <v>390</v>
      </c>
      <c r="E2565" s="1" t="s">
        <v>82</v>
      </c>
      <c r="F2565" s="1" t="s">
        <v>391</v>
      </c>
      <c r="G2565" s="1" t="s">
        <v>182</v>
      </c>
      <c r="H2565" s="1" t="s">
        <v>392</v>
      </c>
      <c r="K2565" s="1" t="s">
        <v>65</v>
      </c>
      <c r="L2565" s="1" t="s">
        <v>517</v>
      </c>
      <c r="M2565" s="1" t="s">
        <v>496</v>
      </c>
      <c r="N2565" s="1" t="s">
        <v>2796</v>
      </c>
      <c r="O2565" s="1" t="s">
        <v>2797</v>
      </c>
      <c r="P2565" s="1" t="s">
        <v>4294</v>
      </c>
      <c r="U2565" s="1" t="s">
        <v>8622</v>
      </c>
      <c r="Z2565" s="1" t="s">
        <v>71</v>
      </c>
      <c r="AE2565" s="1" t="s">
        <v>8612</v>
      </c>
      <c r="AF2565" s="1" t="s">
        <v>59</v>
      </c>
      <c r="AH2565" s="1" t="s">
        <v>73</v>
      </c>
      <c r="AK2565" s="1" t="s">
        <v>71</v>
      </c>
      <c r="AS2565" s="1" t="s">
        <v>71</v>
      </c>
    </row>
    <row r="2566" customFormat="false" ht="15" hidden="false" customHeight="false" outlineLevel="0" collapsed="false">
      <c r="A2566" s="1" t="s">
        <v>8624</v>
      </c>
      <c r="B2566" s="1" t="s">
        <v>8625</v>
      </c>
      <c r="C2566" s="1" t="s">
        <v>389</v>
      </c>
      <c r="D2566" s="1" t="s">
        <v>390</v>
      </c>
      <c r="E2566" s="1" t="s">
        <v>82</v>
      </c>
      <c r="F2566" s="1" t="s">
        <v>391</v>
      </c>
      <c r="G2566" s="1" t="s">
        <v>182</v>
      </c>
      <c r="H2566" s="1" t="s">
        <v>392</v>
      </c>
      <c r="K2566" s="1" t="s">
        <v>65</v>
      </c>
      <c r="L2566" s="1" t="s">
        <v>517</v>
      </c>
      <c r="M2566" s="1" t="s">
        <v>496</v>
      </c>
      <c r="N2566" s="1" t="s">
        <v>8626</v>
      </c>
      <c r="O2566" s="1" t="s">
        <v>400</v>
      </c>
      <c r="P2566" s="1" t="s">
        <v>8627</v>
      </c>
      <c r="U2566" s="1" t="s">
        <v>8624</v>
      </c>
      <c r="Z2566" s="1" t="s">
        <v>71</v>
      </c>
      <c r="AE2566" s="1" t="s">
        <v>8612</v>
      </c>
      <c r="AF2566" s="1" t="s">
        <v>59</v>
      </c>
      <c r="AH2566" s="1" t="s">
        <v>73</v>
      </c>
      <c r="AK2566" s="1" t="s">
        <v>71</v>
      </c>
      <c r="AS2566" s="1" t="s">
        <v>71</v>
      </c>
    </row>
    <row r="2567" customFormat="false" ht="15" hidden="false" customHeight="false" outlineLevel="0" collapsed="false">
      <c r="A2567" s="1" t="s">
        <v>8628</v>
      </c>
      <c r="B2567" s="1" t="s">
        <v>8629</v>
      </c>
      <c r="C2567" s="1" t="s">
        <v>389</v>
      </c>
      <c r="D2567" s="1" t="s">
        <v>390</v>
      </c>
      <c r="E2567" s="1" t="s">
        <v>82</v>
      </c>
      <c r="F2567" s="1" t="s">
        <v>391</v>
      </c>
      <c r="G2567" s="1" t="s">
        <v>182</v>
      </c>
      <c r="H2567" s="1" t="s">
        <v>392</v>
      </c>
      <c r="K2567" s="1" t="s">
        <v>65</v>
      </c>
      <c r="L2567" s="1" t="s">
        <v>517</v>
      </c>
      <c r="M2567" s="1" t="s">
        <v>496</v>
      </c>
      <c r="N2567" s="1" t="s">
        <v>3075</v>
      </c>
      <c r="O2567" s="1" t="s">
        <v>3076</v>
      </c>
      <c r="P2567" s="1" t="s">
        <v>4798</v>
      </c>
      <c r="U2567" s="1" t="s">
        <v>8628</v>
      </c>
      <c r="Z2567" s="1" t="s">
        <v>71</v>
      </c>
      <c r="AE2567" s="1" t="s">
        <v>8612</v>
      </c>
      <c r="AF2567" s="1" t="s">
        <v>59</v>
      </c>
      <c r="AH2567" s="1" t="s">
        <v>73</v>
      </c>
      <c r="AK2567" s="1" t="s">
        <v>71</v>
      </c>
      <c r="AS2567" s="1" t="s">
        <v>71</v>
      </c>
    </row>
    <row r="2568" customFormat="false" ht="15" hidden="false" customHeight="false" outlineLevel="0" collapsed="false">
      <c r="A2568" s="1" t="s">
        <v>8630</v>
      </c>
      <c r="B2568" s="1" t="s">
        <v>8631</v>
      </c>
      <c r="C2568" s="1" t="s">
        <v>2521</v>
      </c>
      <c r="D2568" s="1" t="s">
        <v>8632</v>
      </c>
      <c r="E2568" s="1" t="s">
        <v>82</v>
      </c>
      <c r="F2568" s="1" t="s">
        <v>391</v>
      </c>
      <c r="G2568" s="1" t="s">
        <v>182</v>
      </c>
      <c r="H2568" s="1" t="s">
        <v>392</v>
      </c>
      <c r="K2568" s="1" t="s">
        <v>65</v>
      </c>
      <c r="L2568" s="1" t="s">
        <v>517</v>
      </c>
      <c r="M2568" s="1" t="s">
        <v>496</v>
      </c>
      <c r="N2568" s="1" t="s">
        <v>2558</v>
      </c>
      <c r="O2568" s="1" t="s">
        <v>400</v>
      </c>
      <c r="P2568" s="1" t="s">
        <v>8633</v>
      </c>
      <c r="U2568" s="1" t="s">
        <v>8630</v>
      </c>
      <c r="Z2568" s="1" t="s">
        <v>71</v>
      </c>
      <c r="AE2568" s="1" t="s">
        <v>8612</v>
      </c>
      <c r="AF2568" s="1" t="s">
        <v>59</v>
      </c>
      <c r="AH2568" s="1" t="s">
        <v>73</v>
      </c>
      <c r="AK2568" s="1" t="s">
        <v>71</v>
      </c>
      <c r="AS2568" s="1" t="s">
        <v>71</v>
      </c>
    </row>
    <row r="2569" customFormat="false" ht="15" hidden="false" customHeight="false" outlineLevel="0" collapsed="false">
      <c r="A2569" s="1" t="s">
        <v>8634</v>
      </c>
      <c r="B2569" s="1" t="s">
        <v>8635</v>
      </c>
      <c r="C2569" s="1" t="s">
        <v>2152</v>
      </c>
      <c r="D2569" s="1" t="s">
        <v>7486</v>
      </c>
      <c r="E2569" s="1" t="s">
        <v>61</v>
      </c>
      <c r="F2569" s="1" t="s">
        <v>101</v>
      </c>
      <c r="G2569" s="1" t="s">
        <v>108</v>
      </c>
      <c r="H2569" s="1" t="s">
        <v>1495</v>
      </c>
      <c r="K2569" s="1" t="s">
        <v>159</v>
      </c>
      <c r="L2569" s="1" t="s">
        <v>8636</v>
      </c>
      <c r="M2569" s="1" t="s">
        <v>8637</v>
      </c>
      <c r="N2569" s="1" t="s">
        <v>5709</v>
      </c>
      <c r="O2569" s="1" t="s">
        <v>5710</v>
      </c>
      <c r="P2569" s="1" t="s">
        <v>5711</v>
      </c>
      <c r="U2569" s="1" t="s">
        <v>8634</v>
      </c>
      <c r="V2569" s="1" t="s">
        <v>7487</v>
      </c>
      <c r="Z2569" s="1" t="s">
        <v>71</v>
      </c>
      <c r="AE2569" s="1" t="s">
        <v>8638</v>
      </c>
      <c r="AH2569" s="1" t="s">
        <v>73</v>
      </c>
      <c r="AK2569" s="1" t="s">
        <v>71</v>
      </c>
      <c r="AM2569" s="1" t="s">
        <v>71</v>
      </c>
      <c r="AN2569" s="1" t="s">
        <v>71</v>
      </c>
      <c r="AS2569" s="1" t="s">
        <v>71</v>
      </c>
      <c r="AX2569" s="1" t="s">
        <v>71</v>
      </c>
      <c r="AY2569" s="1" t="s">
        <v>59</v>
      </c>
      <c r="AZ2569" s="1" t="s">
        <v>74</v>
      </c>
      <c r="BH2569" s="1" t="s">
        <v>71</v>
      </c>
    </row>
    <row r="2570" customFormat="false" ht="15" hidden="false" customHeight="false" outlineLevel="0" collapsed="false">
      <c r="A2570" s="1" t="s">
        <v>8639</v>
      </c>
      <c r="B2570" s="1" t="s">
        <v>8640</v>
      </c>
      <c r="C2570" s="1" t="s">
        <v>2152</v>
      </c>
      <c r="D2570" s="1" t="s">
        <v>7486</v>
      </c>
      <c r="E2570" s="1" t="s">
        <v>61</v>
      </c>
      <c r="F2570" s="1" t="s">
        <v>101</v>
      </c>
      <c r="G2570" s="1" t="s">
        <v>108</v>
      </c>
      <c r="H2570" s="1" t="s">
        <v>1495</v>
      </c>
      <c r="K2570" s="1" t="s">
        <v>157</v>
      </c>
      <c r="L2570" s="1" t="s">
        <v>8641</v>
      </c>
      <c r="M2570" s="1" t="s">
        <v>8637</v>
      </c>
      <c r="N2570" s="1" t="s">
        <v>5709</v>
      </c>
      <c r="O2570" s="1" t="s">
        <v>5710</v>
      </c>
      <c r="P2570" s="1" t="s">
        <v>5711</v>
      </c>
      <c r="U2570" s="1" t="s">
        <v>8639</v>
      </c>
      <c r="V2570" s="1" t="s">
        <v>7487</v>
      </c>
      <c r="Z2570" s="1" t="s">
        <v>71</v>
      </c>
      <c r="AE2570" s="1" t="s">
        <v>8638</v>
      </c>
      <c r="AH2570" s="1" t="s">
        <v>73</v>
      </c>
      <c r="AK2570" s="1" t="s">
        <v>71</v>
      </c>
      <c r="AM2570" s="1" t="s">
        <v>71</v>
      </c>
      <c r="AN2570" s="1" t="s">
        <v>71</v>
      </c>
      <c r="AS2570" s="1" t="s">
        <v>71</v>
      </c>
      <c r="AX2570" s="1" t="s">
        <v>71</v>
      </c>
      <c r="AY2570" s="1" t="s">
        <v>59</v>
      </c>
      <c r="AZ2570" s="1" t="s">
        <v>74</v>
      </c>
      <c r="BH2570" s="1" t="s">
        <v>71</v>
      </c>
    </row>
    <row r="2571" customFormat="false" ht="15" hidden="false" customHeight="false" outlineLevel="0" collapsed="false">
      <c r="A2571" s="1" t="s">
        <v>8642</v>
      </c>
      <c r="B2571" s="1" t="s">
        <v>8643</v>
      </c>
      <c r="C2571" s="1" t="s">
        <v>2550</v>
      </c>
      <c r="D2571" s="1" t="s">
        <v>8644</v>
      </c>
      <c r="E2571" s="1" t="s">
        <v>93</v>
      </c>
      <c r="F2571" s="1" t="s">
        <v>6348</v>
      </c>
      <c r="G2571" s="1" t="s">
        <v>657</v>
      </c>
      <c r="H2571" s="1" t="s">
        <v>1812</v>
      </c>
      <c r="K2571" s="1" t="s">
        <v>59</v>
      </c>
      <c r="L2571" s="1" t="s">
        <v>8645</v>
      </c>
      <c r="M2571" s="1" t="s">
        <v>8646</v>
      </c>
      <c r="N2571" s="1" t="s">
        <v>8647</v>
      </c>
      <c r="O2571" s="1" t="s">
        <v>8648</v>
      </c>
      <c r="P2571" s="1" t="s">
        <v>8649</v>
      </c>
      <c r="U2571" s="1" t="s">
        <v>8642</v>
      </c>
      <c r="Z2571" s="1" t="s">
        <v>71</v>
      </c>
      <c r="AE2571" s="1" t="s">
        <v>8650</v>
      </c>
      <c r="AH2571" s="1" t="s">
        <v>73</v>
      </c>
      <c r="AK2571" s="1" t="s">
        <v>71</v>
      </c>
      <c r="AM2571" s="1" t="s">
        <v>71</v>
      </c>
      <c r="AN2571" s="1" t="s">
        <v>71</v>
      </c>
      <c r="AS2571" s="1" t="s">
        <v>71</v>
      </c>
      <c r="AX2571" s="1" t="s">
        <v>71</v>
      </c>
      <c r="AY2571" s="1" t="s">
        <v>59</v>
      </c>
      <c r="AZ2571" s="1" t="s">
        <v>74</v>
      </c>
      <c r="BH2571" s="1" t="s">
        <v>71</v>
      </c>
    </row>
    <row r="2572" customFormat="false" ht="15" hidden="false" customHeight="false" outlineLevel="0" collapsed="false">
      <c r="A2572" s="1" t="s">
        <v>8651</v>
      </c>
      <c r="B2572" s="1" t="s">
        <v>8652</v>
      </c>
      <c r="C2572" s="1" t="s">
        <v>2550</v>
      </c>
      <c r="D2572" s="1" t="s">
        <v>8644</v>
      </c>
      <c r="E2572" s="1" t="s">
        <v>93</v>
      </c>
      <c r="F2572" s="1" t="s">
        <v>6348</v>
      </c>
      <c r="G2572" s="1" t="s">
        <v>657</v>
      </c>
      <c r="H2572" s="1" t="s">
        <v>1812</v>
      </c>
      <c r="K2572" s="1" t="s">
        <v>59</v>
      </c>
      <c r="L2572" s="1" t="s">
        <v>8645</v>
      </c>
      <c r="M2572" s="1" t="s">
        <v>8653</v>
      </c>
      <c r="N2572" s="1" t="s">
        <v>8647</v>
      </c>
      <c r="O2572" s="1" t="s">
        <v>8648</v>
      </c>
      <c r="P2572" s="1" t="s">
        <v>8649</v>
      </c>
      <c r="U2572" s="1" t="s">
        <v>8651</v>
      </c>
      <c r="Z2572" s="1" t="s">
        <v>71</v>
      </c>
      <c r="AE2572" s="1" t="s">
        <v>8650</v>
      </c>
      <c r="AH2572" s="1" t="s">
        <v>73</v>
      </c>
      <c r="AK2572" s="1" t="s">
        <v>71</v>
      </c>
      <c r="AM2572" s="1" t="s">
        <v>71</v>
      </c>
      <c r="AN2572" s="1" t="s">
        <v>71</v>
      </c>
      <c r="AS2572" s="1" t="s">
        <v>71</v>
      </c>
      <c r="AX2572" s="1" t="s">
        <v>71</v>
      </c>
      <c r="AY2572" s="1" t="s">
        <v>59</v>
      </c>
      <c r="AZ2572" s="1" t="s">
        <v>74</v>
      </c>
      <c r="BH2572" s="1" t="s">
        <v>71</v>
      </c>
    </row>
    <row r="2573" customFormat="false" ht="15" hidden="false" customHeight="false" outlineLevel="0" collapsed="false">
      <c r="A2573" s="1" t="s">
        <v>8654</v>
      </c>
      <c r="B2573" s="1" t="s">
        <v>8655</v>
      </c>
      <c r="C2573" s="1" t="s">
        <v>1795</v>
      </c>
      <c r="D2573" s="1" t="s">
        <v>6570</v>
      </c>
      <c r="E2573" s="1" t="s">
        <v>82</v>
      </c>
      <c r="F2573" s="1" t="s">
        <v>391</v>
      </c>
      <c r="G2573" s="1" t="s">
        <v>97</v>
      </c>
      <c r="H2573" s="1" t="s">
        <v>406</v>
      </c>
      <c r="K2573" s="1" t="s">
        <v>65</v>
      </c>
      <c r="L2573" s="1" t="s">
        <v>860</v>
      </c>
      <c r="M2573" s="1" t="s">
        <v>496</v>
      </c>
      <c r="N2573" s="1" t="s">
        <v>8656</v>
      </c>
      <c r="O2573" s="1" t="s">
        <v>447</v>
      </c>
      <c r="P2573" s="1" t="s">
        <v>8657</v>
      </c>
      <c r="U2573" s="1" t="s">
        <v>8654</v>
      </c>
      <c r="Z2573" s="1" t="s">
        <v>71</v>
      </c>
      <c r="AE2573" s="1" t="s">
        <v>8658</v>
      </c>
      <c r="AF2573" s="1" t="s">
        <v>59</v>
      </c>
      <c r="AH2573" s="1" t="s">
        <v>73</v>
      </c>
      <c r="AK2573" s="1" t="s">
        <v>71</v>
      </c>
      <c r="AS2573" s="1" t="s">
        <v>71</v>
      </c>
    </row>
    <row r="2574" customFormat="false" ht="15" hidden="false" customHeight="false" outlineLevel="0" collapsed="false">
      <c r="A2574" s="1" t="s">
        <v>8659</v>
      </c>
      <c r="B2574" s="1" t="s">
        <v>8660</v>
      </c>
      <c r="C2574" s="1" t="s">
        <v>1795</v>
      </c>
      <c r="D2574" s="1" t="s">
        <v>6570</v>
      </c>
      <c r="E2574" s="1" t="s">
        <v>82</v>
      </c>
      <c r="F2574" s="1" t="s">
        <v>391</v>
      </c>
      <c r="G2574" s="1" t="s">
        <v>97</v>
      </c>
      <c r="H2574" s="1" t="s">
        <v>406</v>
      </c>
      <c r="K2574" s="1" t="s">
        <v>65</v>
      </c>
      <c r="L2574" s="1" t="s">
        <v>860</v>
      </c>
      <c r="M2574" s="1" t="s">
        <v>496</v>
      </c>
      <c r="N2574" s="1" t="s">
        <v>4113</v>
      </c>
      <c r="O2574" s="1" t="s">
        <v>4114</v>
      </c>
      <c r="P2574" s="1" t="s">
        <v>4115</v>
      </c>
      <c r="U2574" s="1" t="s">
        <v>8659</v>
      </c>
      <c r="Z2574" s="1" t="s">
        <v>71</v>
      </c>
      <c r="AE2574" s="1" t="s">
        <v>8658</v>
      </c>
      <c r="AF2574" s="1" t="s">
        <v>59</v>
      </c>
      <c r="AH2574" s="1" t="s">
        <v>73</v>
      </c>
      <c r="AK2574" s="1" t="s">
        <v>71</v>
      </c>
      <c r="AS2574" s="1" t="s">
        <v>71</v>
      </c>
    </row>
    <row r="2575" customFormat="false" ht="15" hidden="false" customHeight="false" outlineLevel="0" collapsed="false">
      <c r="A2575" s="1" t="s">
        <v>8661</v>
      </c>
      <c r="B2575" s="1" t="s">
        <v>8662</v>
      </c>
      <c r="C2575" s="1" t="s">
        <v>2550</v>
      </c>
      <c r="D2575" s="1" t="s">
        <v>8644</v>
      </c>
      <c r="E2575" s="1" t="s">
        <v>93</v>
      </c>
      <c r="F2575" s="1" t="s">
        <v>6348</v>
      </c>
      <c r="G2575" s="1" t="s">
        <v>657</v>
      </c>
      <c r="H2575" s="1" t="s">
        <v>1812</v>
      </c>
      <c r="K2575" s="1" t="s">
        <v>65</v>
      </c>
      <c r="L2575" s="1" t="s">
        <v>8663</v>
      </c>
      <c r="M2575" s="1" t="s">
        <v>8664</v>
      </c>
      <c r="N2575" s="1" t="s">
        <v>7080</v>
      </c>
      <c r="O2575" s="1" t="s">
        <v>7081</v>
      </c>
      <c r="P2575" s="1" t="s">
        <v>7082</v>
      </c>
      <c r="U2575" s="1" t="s">
        <v>8661</v>
      </c>
      <c r="Z2575" s="1" t="s">
        <v>71</v>
      </c>
      <c r="AE2575" s="1" t="s">
        <v>8658</v>
      </c>
      <c r="AH2575" s="1" t="s">
        <v>73</v>
      </c>
      <c r="AK2575" s="1" t="s">
        <v>71</v>
      </c>
      <c r="AM2575" s="1" t="s">
        <v>71</v>
      </c>
      <c r="AN2575" s="1" t="s">
        <v>71</v>
      </c>
      <c r="AS2575" s="1" t="s">
        <v>71</v>
      </c>
      <c r="AX2575" s="1" t="s">
        <v>71</v>
      </c>
      <c r="AY2575" s="1" t="s">
        <v>59</v>
      </c>
      <c r="AZ2575" s="1" t="s">
        <v>74</v>
      </c>
      <c r="BH2575" s="1" t="s">
        <v>71</v>
      </c>
    </row>
    <row r="2576" customFormat="false" ht="15" hidden="false" customHeight="false" outlineLevel="0" collapsed="false">
      <c r="A2576" s="1" t="s">
        <v>8665</v>
      </c>
      <c r="B2576" s="1" t="s">
        <v>8666</v>
      </c>
      <c r="C2576" s="1" t="s">
        <v>2560</v>
      </c>
      <c r="D2576" s="1" t="s">
        <v>8667</v>
      </c>
      <c r="E2576" s="1" t="s">
        <v>82</v>
      </c>
      <c r="F2576" s="1" t="s">
        <v>391</v>
      </c>
      <c r="G2576" s="1" t="s">
        <v>97</v>
      </c>
      <c r="H2576" s="1" t="s">
        <v>406</v>
      </c>
      <c r="K2576" s="1" t="s">
        <v>65</v>
      </c>
      <c r="L2576" s="1" t="s">
        <v>860</v>
      </c>
      <c r="M2576" s="1" t="s">
        <v>496</v>
      </c>
      <c r="N2576" s="1" t="s">
        <v>3210</v>
      </c>
      <c r="O2576" s="1" t="s">
        <v>3211</v>
      </c>
      <c r="P2576" s="1" t="s">
        <v>8668</v>
      </c>
      <c r="U2576" s="1" t="s">
        <v>8665</v>
      </c>
      <c r="Z2576" s="1" t="s">
        <v>71</v>
      </c>
      <c r="AE2576" s="1" t="s">
        <v>8669</v>
      </c>
      <c r="AF2576" s="1" t="s">
        <v>59</v>
      </c>
      <c r="AH2576" s="1" t="s">
        <v>73</v>
      </c>
      <c r="AK2576" s="1" t="s">
        <v>71</v>
      </c>
      <c r="AS2576" s="1" t="s">
        <v>71</v>
      </c>
    </row>
    <row r="2577" customFormat="false" ht="15" hidden="false" customHeight="false" outlineLevel="0" collapsed="false">
      <c r="A2577" s="1" t="s">
        <v>8670</v>
      </c>
      <c r="B2577" s="1" t="s">
        <v>8671</v>
      </c>
      <c r="C2577" s="1" t="s">
        <v>8204</v>
      </c>
      <c r="D2577" s="1" t="s">
        <v>8205</v>
      </c>
      <c r="E2577" s="1" t="s">
        <v>82</v>
      </c>
      <c r="F2577" s="1" t="s">
        <v>391</v>
      </c>
      <c r="G2577" s="1" t="s">
        <v>213</v>
      </c>
      <c r="H2577" s="1" t="s">
        <v>477</v>
      </c>
      <c r="K2577" s="1" t="s">
        <v>478</v>
      </c>
      <c r="L2577" s="1" t="s">
        <v>479</v>
      </c>
      <c r="M2577" s="1" t="s">
        <v>496</v>
      </c>
      <c r="N2577" s="1" t="s">
        <v>8672</v>
      </c>
      <c r="O2577" s="1" t="s">
        <v>8673</v>
      </c>
      <c r="P2577" s="1" t="s">
        <v>8674</v>
      </c>
      <c r="U2577" s="1" t="s">
        <v>8670</v>
      </c>
      <c r="Z2577" s="1" t="s">
        <v>71</v>
      </c>
      <c r="AE2577" s="1" t="s">
        <v>8675</v>
      </c>
      <c r="AH2577" s="1" t="s">
        <v>73</v>
      </c>
      <c r="AK2577" s="1" t="s">
        <v>71</v>
      </c>
      <c r="AS2577" s="1" t="s">
        <v>71</v>
      </c>
    </row>
    <row r="2578" customFormat="false" ht="15" hidden="false" customHeight="false" outlineLevel="0" collapsed="false">
      <c r="A2578" s="1" t="s">
        <v>8676</v>
      </c>
      <c r="B2578" s="1" t="s">
        <v>8677</v>
      </c>
      <c r="C2578" s="1" t="s">
        <v>8678</v>
      </c>
      <c r="D2578" s="1" t="s">
        <v>8679</v>
      </c>
      <c r="E2578" s="1" t="s">
        <v>82</v>
      </c>
      <c r="F2578" s="1" t="s">
        <v>391</v>
      </c>
      <c r="G2578" s="1" t="s">
        <v>97</v>
      </c>
      <c r="H2578" s="1" t="s">
        <v>406</v>
      </c>
      <c r="K2578" s="1" t="s">
        <v>65</v>
      </c>
      <c r="L2578" s="1" t="s">
        <v>860</v>
      </c>
      <c r="M2578" s="1" t="s">
        <v>496</v>
      </c>
      <c r="N2578" s="1" t="s">
        <v>2298</v>
      </c>
      <c r="O2578" s="1" t="s">
        <v>2299</v>
      </c>
      <c r="P2578" s="1" t="s">
        <v>8680</v>
      </c>
      <c r="U2578" s="1" t="s">
        <v>8676</v>
      </c>
      <c r="Z2578" s="1" t="s">
        <v>71</v>
      </c>
      <c r="AE2578" s="1" t="s">
        <v>8681</v>
      </c>
      <c r="AF2578" s="1" t="s">
        <v>59</v>
      </c>
      <c r="AH2578" s="1" t="s">
        <v>73</v>
      </c>
      <c r="AK2578" s="1" t="s">
        <v>71</v>
      </c>
      <c r="AS2578" s="1" t="s">
        <v>71</v>
      </c>
    </row>
    <row r="2579" customFormat="false" ht="15" hidden="false" customHeight="false" outlineLevel="0" collapsed="false">
      <c r="A2579" s="1" t="s">
        <v>8682</v>
      </c>
      <c r="B2579" s="1" t="s">
        <v>8683</v>
      </c>
      <c r="C2579" s="1" t="s">
        <v>2568</v>
      </c>
      <c r="D2579" s="1" t="s">
        <v>8684</v>
      </c>
      <c r="E2579" s="1" t="s">
        <v>82</v>
      </c>
      <c r="F2579" s="1" t="s">
        <v>391</v>
      </c>
      <c r="G2579" s="1" t="s">
        <v>308</v>
      </c>
      <c r="H2579" s="1" t="s">
        <v>1789</v>
      </c>
      <c r="M2579" s="1" t="s">
        <v>496</v>
      </c>
      <c r="N2579" s="1" t="s">
        <v>8685</v>
      </c>
      <c r="O2579" s="1" t="s">
        <v>7925</v>
      </c>
      <c r="P2579" s="1" t="s">
        <v>8686</v>
      </c>
      <c r="U2579" s="1" t="s">
        <v>8682</v>
      </c>
      <c r="Z2579" s="1" t="s">
        <v>71</v>
      </c>
      <c r="AE2579" s="1" t="s">
        <v>8687</v>
      </c>
      <c r="AH2579" s="1" t="s">
        <v>73</v>
      </c>
      <c r="AK2579" s="1" t="s">
        <v>71</v>
      </c>
      <c r="AQ2579" s="1" t="s">
        <v>496</v>
      </c>
      <c r="AR2579" s="1" t="s">
        <v>1275</v>
      </c>
      <c r="AS2579" s="1" t="s">
        <v>71</v>
      </c>
    </row>
    <row r="2580" customFormat="false" ht="15" hidden="false" customHeight="false" outlineLevel="0" collapsed="false">
      <c r="A2580" s="1" t="s">
        <v>8688</v>
      </c>
      <c r="B2580" s="1" t="s">
        <v>8689</v>
      </c>
      <c r="C2580" s="1" t="s">
        <v>2568</v>
      </c>
      <c r="D2580" s="1" t="s">
        <v>8684</v>
      </c>
      <c r="E2580" s="1" t="s">
        <v>82</v>
      </c>
      <c r="F2580" s="1" t="s">
        <v>391</v>
      </c>
      <c r="G2580" s="1" t="s">
        <v>308</v>
      </c>
      <c r="H2580" s="1" t="s">
        <v>1789</v>
      </c>
      <c r="M2580" s="1" t="s">
        <v>496</v>
      </c>
      <c r="N2580" s="1" t="s">
        <v>8690</v>
      </c>
      <c r="O2580" s="1" t="s">
        <v>8691</v>
      </c>
      <c r="P2580" s="1" t="s">
        <v>8692</v>
      </c>
      <c r="U2580" s="1" t="s">
        <v>8688</v>
      </c>
      <c r="Z2580" s="1" t="s">
        <v>71</v>
      </c>
      <c r="AE2580" s="1" t="s">
        <v>8687</v>
      </c>
      <c r="AH2580" s="1" t="s">
        <v>73</v>
      </c>
      <c r="AK2580" s="1" t="s">
        <v>71</v>
      </c>
      <c r="AQ2580" s="1" t="s">
        <v>496</v>
      </c>
      <c r="AR2580" s="1" t="s">
        <v>1275</v>
      </c>
      <c r="AS2580" s="1" t="s">
        <v>71</v>
      </c>
    </row>
    <row r="2581" customFormat="false" ht="15" hidden="false" customHeight="false" outlineLevel="0" collapsed="false">
      <c r="A2581" s="1" t="s">
        <v>8693</v>
      </c>
      <c r="B2581" s="1" t="s">
        <v>8694</v>
      </c>
      <c r="C2581" s="1" t="s">
        <v>2568</v>
      </c>
      <c r="D2581" s="1" t="s">
        <v>8684</v>
      </c>
      <c r="E2581" s="1" t="s">
        <v>82</v>
      </c>
      <c r="F2581" s="1" t="s">
        <v>391</v>
      </c>
      <c r="G2581" s="1" t="s">
        <v>308</v>
      </c>
      <c r="H2581" s="1" t="s">
        <v>1789</v>
      </c>
      <c r="M2581" s="1" t="s">
        <v>496</v>
      </c>
      <c r="N2581" s="1" t="s">
        <v>8695</v>
      </c>
      <c r="O2581" s="1" t="s">
        <v>8696</v>
      </c>
      <c r="P2581" s="1" t="s">
        <v>8697</v>
      </c>
      <c r="U2581" s="1" t="s">
        <v>8693</v>
      </c>
      <c r="Z2581" s="1" t="s">
        <v>71</v>
      </c>
      <c r="AE2581" s="1" t="s">
        <v>8687</v>
      </c>
      <c r="AH2581" s="1" t="s">
        <v>73</v>
      </c>
      <c r="AK2581" s="1" t="s">
        <v>71</v>
      </c>
      <c r="AQ2581" s="1" t="s">
        <v>496</v>
      </c>
      <c r="AR2581" s="1" t="s">
        <v>1275</v>
      </c>
      <c r="AS2581" s="1" t="s">
        <v>71</v>
      </c>
    </row>
    <row r="2582" customFormat="false" ht="15" hidden="false" customHeight="false" outlineLevel="0" collapsed="false">
      <c r="A2582" s="1" t="s">
        <v>8698</v>
      </c>
      <c r="B2582" s="1" t="s">
        <v>8699</v>
      </c>
      <c r="C2582" s="1" t="s">
        <v>2175</v>
      </c>
      <c r="D2582" s="1" t="s">
        <v>7519</v>
      </c>
      <c r="E2582" s="1" t="s">
        <v>61</v>
      </c>
      <c r="F2582" s="1" t="s">
        <v>101</v>
      </c>
      <c r="G2582" s="1" t="s">
        <v>93</v>
      </c>
      <c r="H2582" s="1" t="s">
        <v>64</v>
      </c>
      <c r="K2582" s="1" t="s">
        <v>5548</v>
      </c>
      <c r="L2582" s="1" t="s">
        <v>5549</v>
      </c>
      <c r="M2582" s="1" t="s">
        <v>242</v>
      </c>
      <c r="N2582" s="1" t="s">
        <v>5592</v>
      </c>
      <c r="O2582" s="1" t="s">
        <v>5593</v>
      </c>
      <c r="P2582" s="1" t="s">
        <v>5594</v>
      </c>
      <c r="U2582" s="1" t="s">
        <v>8698</v>
      </c>
      <c r="Z2582" s="1" t="s">
        <v>71</v>
      </c>
      <c r="AE2582" s="1" t="s">
        <v>8687</v>
      </c>
      <c r="AH2582" s="1" t="s">
        <v>73</v>
      </c>
      <c r="AK2582" s="1" t="s">
        <v>71</v>
      </c>
      <c r="AM2582" s="1" t="s">
        <v>71</v>
      </c>
      <c r="AN2582" s="1" t="s">
        <v>71</v>
      </c>
      <c r="AS2582" s="1" t="s">
        <v>71</v>
      </c>
      <c r="AX2582" s="1" t="s">
        <v>71</v>
      </c>
      <c r="AY2582" s="1" t="s">
        <v>59</v>
      </c>
      <c r="AZ2582" s="1" t="s">
        <v>74</v>
      </c>
      <c r="BH2582" s="1" t="s">
        <v>71</v>
      </c>
    </row>
    <row r="2583" customFormat="false" ht="15" hidden="false" customHeight="false" outlineLevel="0" collapsed="false">
      <c r="A2583" s="1" t="s">
        <v>8700</v>
      </c>
      <c r="B2583" s="1" t="s">
        <v>8701</v>
      </c>
      <c r="C2583" s="1" t="s">
        <v>2060</v>
      </c>
      <c r="D2583" s="1" t="s">
        <v>7177</v>
      </c>
      <c r="E2583" s="1" t="s">
        <v>61</v>
      </c>
      <c r="F2583" s="1" t="s">
        <v>101</v>
      </c>
      <c r="G2583" s="1" t="s">
        <v>93</v>
      </c>
      <c r="H2583" s="1" t="s">
        <v>64</v>
      </c>
      <c r="K2583" s="1" t="s">
        <v>1784</v>
      </c>
      <c r="L2583" s="1" t="s">
        <v>1785</v>
      </c>
      <c r="M2583" s="1" t="s">
        <v>592</v>
      </c>
      <c r="N2583" s="1" t="s">
        <v>105</v>
      </c>
      <c r="O2583" s="1" t="s">
        <v>106</v>
      </c>
      <c r="P2583" s="1" t="s">
        <v>3539</v>
      </c>
      <c r="U2583" s="1" t="s">
        <v>8700</v>
      </c>
      <c r="Z2583" s="1" t="s">
        <v>71</v>
      </c>
      <c r="AE2583" s="1" t="s">
        <v>8702</v>
      </c>
      <c r="AH2583" s="1" t="s">
        <v>73</v>
      </c>
      <c r="AK2583" s="1" t="s">
        <v>71</v>
      </c>
      <c r="AM2583" s="1" t="s">
        <v>71</v>
      </c>
      <c r="AN2583" s="1" t="s">
        <v>71</v>
      </c>
      <c r="AS2583" s="1" t="s">
        <v>71</v>
      </c>
      <c r="AX2583" s="1" t="s">
        <v>71</v>
      </c>
      <c r="AY2583" s="1" t="s">
        <v>59</v>
      </c>
      <c r="AZ2583" s="1" t="s">
        <v>74</v>
      </c>
      <c r="BH2583" s="1" t="s">
        <v>71</v>
      </c>
    </row>
    <row r="2584" customFormat="false" ht="15" hidden="false" customHeight="false" outlineLevel="0" collapsed="false">
      <c r="A2584" s="1" t="s">
        <v>8703</v>
      </c>
      <c r="B2584" s="1" t="s">
        <v>8704</v>
      </c>
      <c r="C2584" s="1" t="s">
        <v>2509</v>
      </c>
      <c r="D2584" s="1" t="s">
        <v>8470</v>
      </c>
      <c r="E2584" s="1" t="s">
        <v>93</v>
      </c>
      <c r="F2584" s="1" t="s">
        <v>6348</v>
      </c>
      <c r="G2584" s="1" t="s">
        <v>256</v>
      </c>
      <c r="H2584" s="1" t="s">
        <v>8705</v>
      </c>
      <c r="K2584" s="1" t="s">
        <v>59</v>
      </c>
      <c r="L2584" s="1" t="s">
        <v>8706</v>
      </c>
      <c r="M2584" s="1" t="s">
        <v>8707</v>
      </c>
      <c r="N2584" s="1" t="s">
        <v>8708</v>
      </c>
      <c r="O2584" s="1" t="s">
        <v>8709</v>
      </c>
      <c r="P2584" s="1" t="s">
        <v>8710</v>
      </c>
      <c r="S2584" s="1" t="s">
        <v>229</v>
      </c>
      <c r="U2584" s="1" t="s">
        <v>8703</v>
      </c>
      <c r="Z2584" s="1" t="s">
        <v>71</v>
      </c>
      <c r="AE2584" s="1" t="s">
        <v>8711</v>
      </c>
      <c r="AH2584" s="1" t="s">
        <v>73</v>
      </c>
      <c r="AK2584" s="1" t="s">
        <v>71</v>
      </c>
      <c r="AM2584" s="1" t="s">
        <v>71</v>
      </c>
      <c r="AN2584" s="1" t="s">
        <v>71</v>
      </c>
      <c r="AS2584" s="1" t="s">
        <v>71</v>
      </c>
      <c r="AX2584" s="1" t="s">
        <v>71</v>
      </c>
      <c r="AY2584" s="1" t="s">
        <v>59</v>
      </c>
      <c r="AZ2584" s="1" t="s">
        <v>74</v>
      </c>
      <c r="BH2584" s="1" t="s">
        <v>71</v>
      </c>
    </row>
    <row r="2585" customFormat="false" ht="15" hidden="false" customHeight="false" outlineLevel="0" collapsed="false">
      <c r="A2585" s="1" t="s">
        <v>8712</v>
      </c>
      <c r="B2585" s="1" t="s">
        <v>8713</v>
      </c>
      <c r="C2585" s="1" t="s">
        <v>2509</v>
      </c>
      <c r="D2585" s="1" t="s">
        <v>8470</v>
      </c>
      <c r="E2585" s="1" t="s">
        <v>93</v>
      </c>
      <c r="F2585" s="1" t="s">
        <v>6348</v>
      </c>
      <c r="G2585" s="1" t="s">
        <v>290</v>
      </c>
      <c r="H2585" s="1" t="s">
        <v>8714</v>
      </c>
      <c r="K2585" s="1" t="s">
        <v>59</v>
      </c>
      <c r="L2585" s="1" t="s">
        <v>8714</v>
      </c>
      <c r="M2585" s="1" t="s">
        <v>8715</v>
      </c>
      <c r="N2585" s="1" t="s">
        <v>8191</v>
      </c>
      <c r="O2585" s="1" t="s">
        <v>400</v>
      </c>
      <c r="P2585" s="1" t="s">
        <v>8192</v>
      </c>
      <c r="S2585" s="1" t="s">
        <v>229</v>
      </c>
      <c r="U2585" s="1" t="s">
        <v>8712</v>
      </c>
      <c r="Z2585" s="1" t="s">
        <v>71</v>
      </c>
      <c r="AE2585" s="1" t="s">
        <v>8711</v>
      </c>
      <c r="AH2585" s="1" t="s">
        <v>73</v>
      </c>
      <c r="AK2585" s="1" t="s">
        <v>71</v>
      </c>
      <c r="AM2585" s="1" t="s">
        <v>71</v>
      </c>
      <c r="AN2585" s="1" t="s">
        <v>71</v>
      </c>
      <c r="AS2585" s="1" t="s">
        <v>71</v>
      </c>
      <c r="AX2585" s="1" t="s">
        <v>71</v>
      </c>
      <c r="AY2585" s="1" t="s">
        <v>59</v>
      </c>
      <c r="AZ2585" s="1" t="s">
        <v>74</v>
      </c>
      <c r="BH2585" s="1" t="s">
        <v>71</v>
      </c>
    </row>
    <row r="2586" customFormat="false" ht="15" hidden="false" customHeight="false" outlineLevel="0" collapsed="false">
      <c r="A2586" s="1" t="s">
        <v>8716</v>
      </c>
      <c r="B2586" s="1" t="s">
        <v>8717</v>
      </c>
      <c r="C2586" s="1" t="s">
        <v>2509</v>
      </c>
      <c r="D2586" s="1" t="s">
        <v>8470</v>
      </c>
      <c r="E2586" s="1" t="s">
        <v>93</v>
      </c>
      <c r="F2586" s="1" t="s">
        <v>6348</v>
      </c>
      <c r="G2586" s="1" t="s">
        <v>240</v>
      </c>
      <c r="H2586" s="1" t="s">
        <v>8471</v>
      </c>
      <c r="K2586" s="1" t="s">
        <v>59</v>
      </c>
      <c r="L2586" s="1" t="s">
        <v>8718</v>
      </c>
      <c r="M2586" s="1" t="s">
        <v>8719</v>
      </c>
      <c r="N2586" s="1" t="s">
        <v>8720</v>
      </c>
      <c r="O2586" s="1" t="s">
        <v>8721</v>
      </c>
      <c r="P2586" s="1" t="s">
        <v>8722</v>
      </c>
      <c r="S2586" s="1" t="s">
        <v>229</v>
      </c>
      <c r="U2586" s="1" t="s">
        <v>8716</v>
      </c>
      <c r="Z2586" s="1" t="s">
        <v>71</v>
      </c>
      <c r="AE2586" s="1" t="s">
        <v>8711</v>
      </c>
      <c r="AH2586" s="1" t="s">
        <v>73</v>
      </c>
      <c r="AK2586" s="1" t="s">
        <v>71</v>
      </c>
      <c r="AM2586" s="1" t="s">
        <v>71</v>
      </c>
      <c r="AN2586" s="1" t="s">
        <v>71</v>
      </c>
      <c r="AS2586" s="1" t="s">
        <v>71</v>
      </c>
      <c r="AX2586" s="1" t="s">
        <v>71</v>
      </c>
      <c r="AY2586" s="1" t="s">
        <v>59</v>
      </c>
      <c r="AZ2586" s="1" t="s">
        <v>74</v>
      </c>
      <c r="BH2586" s="1" t="s">
        <v>71</v>
      </c>
    </row>
    <row r="2587" customFormat="false" ht="15" hidden="false" customHeight="false" outlineLevel="0" collapsed="false">
      <c r="A2587" s="1" t="s">
        <v>8723</v>
      </c>
      <c r="B2587" s="1" t="s">
        <v>8724</v>
      </c>
      <c r="C2587" s="1" t="s">
        <v>2509</v>
      </c>
      <c r="D2587" s="1" t="s">
        <v>8470</v>
      </c>
      <c r="E2587" s="1" t="s">
        <v>93</v>
      </c>
      <c r="F2587" s="1" t="s">
        <v>6348</v>
      </c>
      <c r="G2587" s="1" t="s">
        <v>1118</v>
      </c>
      <c r="H2587" s="1" t="s">
        <v>8477</v>
      </c>
      <c r="K2587" s="1" t="s">
        <v>59</v>
      </c>
      <c r="L2587" s="1" t="s">
        <v>8478</v>
      </c>
      <c r="M2587" s="1" t="s">
        <v>8725</v>
      </c>
      <c r="N2587" s="1" t="s">
        <v>8479</v>
      </c>
      <c r="O2587" s="1" t="s">
        <v>8480</v>
      </c>
      <c r="P2587" s="1" t="s">
        <v>8481</v>
      </c>
      <c r="S2587" s="1" t="s">
        <v>229</v>
      </c>
      <c r="U2587" s="1" t="s">
        <v>8723</v>
      </c>
      <c r="Z2587" s="1" t="s">
        <v>7317</v>
      </c>
      <c r="AE2587" s="1" t="s">
        <v>8711</v>
      </c>
      <c r="AH2587" s="1" t="s">
        <v>73</v>
      </c>
      <c r="AK2587" s="1" t="s">
        <v>71</v>
      </c>
      <c r="AM2587" s="1" t="s">
        <v>71</v>
      </c>
      <c r="AN2587" s="1" t="s">
        <v>71</v>
      </c>
      <c r="AS2587" s="1" t="s">
        <v>71</v>
      </c>
      <c r="AX2587" s="1" t="s">
        <v>71</v>
      </c>
      <c r="AY2587" s="1" t="s">
        <v>59</v>
      </c>
      <c r="AZ2587" s="1" t="s">
        <v>74</v>
      </c>
      <c r="BH2587" s="1" t="s">
        <v>71</v>
      </c>
    </row>
    <row r="2588" customFormat="false" ht="15" hidden="false" customHeight="false" outlineLevel="0" collapsed="false">
      <c r="A2588" s="1" t="s">
        <v>8726</v>
      </c>
      <c r="B2588" s="1" t="s">
        <v>8727</v>
      </c>
      <c r="C2588" s="1" t="s">
        <v>2509</v>
      </c>
      <c r="D2588" s="1" t="s">
        <v>8470</v>
      </c>
      <c r="E2588" s="1" t="s">
        <v>93</v>
      </c>
      <c r="F2588" s="1" t="s">
        <v>6348</v>
      </c>
      <c r="G2588" s="1" t="s">
        <v>1118</v>
      </c>
      <c r="H2588" s="1" t="s">
        <v>8477</v>
      </c>
      <c r="K2588" s="1" t="s">
        <v>59</v>
      </c>
      <c r="L2588" s="1" t="s">
        <v>8478</v>
      </c>
      <c r="M2588" s="1" t="s">
        <v>8725</v>
      </c>
      <c r="N2588" s="1" t="s">
        <v>8479</v>
      </c>
      <c r="O2588" s="1" t="s">
        <v>8480</v>
      </c>
      <c r="P2588" s="1" t="s">
        <v>8481</v>
      </c>
      <c r="S2588" s="1" t="s">
        <v>229</v>
      </c>
      <c r="U2588" s="1" t="s">
        <v>8726</v>
      </c>
      <c r="Z2588" s="1" t="s">
        <v>7317</v>
      </c>
      <c r="AE2588" s="1" t="s">
        <v>8711</v>
      </c>
      <c r="AH2588" s="1" t="s">
        <v>73</v>
      </c>
      <c r="AK2588" s="1" t="s">
        <v>71</v>
      </c>
      <c r="AM2588" s="1" t="s">
        <v>71</v>
      </c>
      <c r="AN2588" s="1" t="s">
        <v>71</v>
      </c>
      <c r="AS2588" s="1" t="s">
        <v>71</v>
      </c>
      <c r="AX2588" s="1" t="s">
        <v>71</v>
      </c>
      <c r="AY2588" s="1" t="s">
        <v>59</v>
      </c>
      <c r="AZ2588" s="1" t="s">
        <v>74</v>
      </c>
      <c r="BH2588" s="1" t="s">
        <v>71</v>
      </c>
    </row>
    <row r="2589" customFormat="false" ht="15" hidden="false" customHeight="false" outlineLevel="0" collapsed="false">
      <c r="A2589" s="1" t="s">
        <v>8728</v>
      </c>
      <c r="B2589" s="1" t="s">
        <v>8729</v>
      </c>
      <c r="C2589" s="1" t="s">
        <v>2509</v>
      </c>
      <c r="D2589" s="1" t="s">
        <v>8470</v>
      </c>
      <c r="E2589" s="1" t="s">
        <v>93</v>
      </c>
      <c r="F2589" s="1" t="s">
        <v>6348</v>
      </c>
      <c r="G2589" s="1" t="s">
        <v>5548</v>
      </c>
      <c r="H2589" s="1" t="s">
        <v>8730</v>
      </c>
      <c r="K2589" s="1" t="s">
        <v>59</v>
      </c>
      <c r="L2589" s="1" t="s">
        <v>8731</v>
      </c>
      <c r="M2589" s="1" t="s">
        <v>8725</v>
      </c>
      <c r="N2589" s="1" t="s">
        <v>8732</v>
      </c>
      <c r="O2589" s="1" t="s">
        <v>8733</v>
      </c>
      <c r="P2589" s="1" t="s">
        <v>8734</v>
      </c>
      <c r="S2589" s="1" t="s">
        <v>229</v>
      </c>
      <c r="U2589" s="1" t="s">
        <v>8728</v>
      </c>
      <c r="Z2589" s="1" t="s">
        <v>7317</v>
      </c>
      <c r="AE2589" s="1" t="s">
        <v>8711</v>
      </c>
      <c r="AH2589" s="1" t="s">
        <v>73</v>
      </c>
      <c r="AK2589" s="1" t="s">
        <v>71</v>
      </c>
      <c r="AM2589" s="1" t="s">
        <v>71</v>
      </c>
      <c r="AN2589" s="1" t="s">
        <v>71</v>
      </c>
      <c r="AS2589" s="1" t="s">
        <v>71</v>
      </c>
      <c r="AX2589" s="1" t="s">
        <v>71</v>
      </c>
      <c r="AY2589" s="1" t="s">
        <v>59</v>
      </c>
      <c r="AZ2589" s="1" t="s">
        <v>74</v>
      </c>
      <c r="BH2589" s="1" t="s">
        <v>71</v>
      </c>
    </row>
    <row r="2590" customFormat="false" ht="15" hidden="false" customHeight="false" outlineLevel="0" collapsed="false">
      <c r="A2590" s="1" t="s">
        <v>8735</v>
      </c>
      <c r="B2590" s="1" t="s">
        <v>8736</v>
      </c>
      <c r="C2590" s="1" t="s">
        <v>2509</v>
      </c>
      <c r="D2590" s="1" t="s">
        <v>8470</v>
      </c>
      <c r="E2590" s="1" t="s">
        <v>93</v>
      </c>
      <c r="F2590" s="1" t="s">
        <v>6348</v>
      </c>
      <c r="G2590" s="1" t="s">
        <v>157</v>
      </c>
      <c r="H2590" s="1" t="s">
        <v>8505</v>
      </c>
      <c r="K2590" s="1" t="s">
        <v>65</v>
      </c>
      <c r="L2590" s="1" t="s">
        <v>8737</v>
      </c>
      <c r="M2590" s="1" t="s">
        <v>8507</v>
      </c>
      <c r="N2590" s="1" t="s">
        <v>8445</v>
      </c>
      <c r="O2590" s="1" t="s">
        <v>8446</v>
      </c>
      <c r="P2590" s="1" t="s">
        <v>8447</v>
      </c>
      <c r="S2590" s="1" t="s">
        <v>229</v>
      </c>
      <c r="U2590" s="1" t="s">
        <v>8735</v>
      </c>
      <c r="Z2590" s="1" t="s">
        <v>71</v>
      </c>
      <c r="AE2590" s="1" t="s">
        <v>8711</v>
      </c>
      <c r="AH2590" s="1" t="s">
        <v>73</v>
      </c>
      <c r="AK2590" s="1" t="s">
        <v>71</v>
      </c>
      <c r="AM2590" s="1" t="s">
        <v>71</v>
      </c>
      <c r="AN2590" s="1" t="s">
        <v>71</v>
      </c>
      <c r="AS2590" s="1" t="s">
        <v>71</v>
      </c>
      <c r="AX2590" s="1" t="s">
        <v>71</v>
      </c>
      <c r="AY2590" s="1" t="s">
        <v>59</v>
      </c>
      <c r="AZ2590" s="1" t="s">
        <v>74</v>
      </c>
      <c r="BH2590" s="1" t="s">
        <v>71</v>
      </c>
    </row>
    <row r="2591" customFormat="false" ht="15" hidden="false" customHeight="false" outlineLevel="0" collapsed="false">
      <c r="A2591" s="1" t="s">
        <v>8738</v>
      </c>
      <c r="B2591" s="1" t="s">
        <v>8739</v>
      </c>
      <c r="C2591" s="1" t="s">
        <v>2509</v>
      </c>
      <c r="D2591" s="1" t="s">
        <v>8470</v>
      </c>
      <c r="E2591" s="1" t="s">
        <v>93</v>
      </c>
      <c r="F2591" s="1" t="s">
        <v>6348</v>
      </c>
      <c r="G2591" s="1" t="s">
        <v>657</v>
      </c>
      <c r="H2591" s="1" t="s">
        <v>1812</v>
      </c>
      <c r="K2591" s="1" t="s">
        <v>65</v>
      </c>
      <c r="L2591" s="1" t="s">
        <v>8663</v>
      </c>
      <c r="M2591" s="1" t="s">
        <v>8664</v>
      </c>
      <c r="N2591" s="1" t="s">
        <v>7080</v>
      </c>
      <c r="O2591" s="1" t="s">
        <v>7081</v>
      </c>
      <c r="P2591" s="1" t="s">
        <v>7082</v>
      </c>
      <c r="U2591" s="1" t="s">
        <v>8738</v>
      </c>
      <c r="Z2591" s="1" t="s">
        <v>71</v>
      </c>
      <c r="AE2591" s="1" t="s">
        <v>8711</v>
      </c>
      <c r="AH2591" s="1" t="s">
        <v>73</v>
      </c>
      <c r="AK2591" s="1" t="s">
        <v>71</v>
      </c>
      <c r="AM2591" s="1" t="s">
        <v>71</v>
      </c>
      <c r="AN2591" s="1" t="s">
        <v>71</v>
      </c>
      <c r="AS2591" s="1" t="s">
        <v>71</v>
      </c>
      <c r="AX2591" s="1" t="s">
        <v>71</v>
      </c>
      <c r="AY2591" s="1" t="s">
        <v>59</v>
      </c>
      <c r="AZ2591" s="1" t="s">
        <v>74</v>
      </c>
      <c r="BH2591" s="1" t="s">
        <v>71</v>
      </c>
    </row>
    <row r="2592" customFormat="false" ht="15" hidden="false" customHeight="false" outlineLevel="0" collapsed="false">
      <c r="A2592" s="1" t="s">
        <v>8740</v>
      </c>
      <c r="B2592" s="1" t="s">
        <v>8741</v>
      </c>
      <c r="C2592" s="1" t="s">
        <v>2509</v>
      </c>
      <c r="D2592" s="1" t="s">
        <v>8470</v>
      </c>
      <c r="E2592" s="1" t="s">
        <v>93</v>
      </c>
      <c r="F2592" s="1" t="s">
        <v>6348</v>
      </c>
      <c r="G2592" s="1" t="s">
        <v>1335</v>
      </c>
      <c r="H2592" s="1" t="s">
        <v>7658</v>
      </c>
      <c r="K2592" s="1" t="s">
        <v>59</v>
      </c>
      <c r="L2592" s="1" t="s">
        <v>7659</v>
      </c>
      <c r="M2592" s="1" t="s">
        <v>6852</v>
      </c>
      <c r="N2592" s="1" t="s">
        <v>8742</v>
      </c>
      <c r="O2592" s="1" t="s">
        <v>8743</v>
      </c>
      <c r="P2592" s="1" t="s">
        <v>8744</v>
      </c>
      <c r="U2592" s="1" t="s">
        <v>8740</v>
      </c>
      <c r="Z2592" s="1" t="s">
        <v>71</v>
      </c>
      <c r="AE2592" s="1" t="s">
        <v>8711</v>
      </c>
      <c r="AH2592" s="1" t="s">
        <v>73</v>
      </c>
      <c r="AK2592" s="1" t="s">
        <v>71</v>
      </c>
      <c r="AM2592" s="1" t="s">
        <v>71</v>
      </c>
      <c r="AN2592" s="1" t="s">
        <v>71</v>
      </c>
      <c r="AS2592" s="1" t="s">
        <v>71</v>
      </c>
      <c r="AX2592" s="1" t="s">
        <v>71</v>
      </c>
      <c r="AY2592" s="1" t="s">
        <v>59</v>
      </c>
      <c r="AZ2592" s="1" t="s">
        <v>74</v>
      </c>
      <c r="BH2592" s="1" t="s">
        <v>71</v>
      </c>
    </row>
    <row r="2593" customFormat="false" ht="15" hidden="false" customHeight="false" outlineLevel="0" collapsed="false">
      <c r="A2593" s="1" t="s">
        <v>8745</v>
      </c>
      <c r="B2593" s="1" t="s">
        <v>8746</v>
      </c>
      <c r="C2593" s="1" t="s">
        <v>2509</v>
      </c>
      <c r="D2593" s="1" t="s">
        <v>8470</v>
      </c>
      <c r="E2593" s="1" t="s">
        <v>93</v>
      </c>
      <c r="F2593" s="1" t="s">
        <v>6348</v>
      </c>
      <c r="G2593" s="1" t="s">
        <v>1335</v>
      </c>
      <c r="H2593" s="1" t="s">
        <v>7658</v>
      </c>
      <c r="K2593" s="1" t="s">
        <v>59</v>
      </c>
      <c r="L2593" s="1" t="s">
        <v>7659</v>
      </c>
      <c r="M2593" s="1" t="s">
        <v>8719</v>
      </c>
      <c r="N2593" s="1" t="s">
        <v>8742</v>
      </c>
      <c r="O2593" s="1" t="s">
        <v>8743</v>
      </c>
      <c r="P2593" s="1" t="s">
        <v>8744</v>
      </c>
      <c r="S2593" s="1" t="s">
        <v>229</v>
      </c>
      <c r="U2593" s="1" t="s">
        <v>8745</v>
      </c>
      <c r="Z2593" s="1" t="s">
        <v>71</v>
      </c>
      <c r="AE2593" s="1" t="s">
        <v>8711</v>
      </c>
      <c r="AH2593" s="1" t="s">
        <v>73</v>
      </c>
      <c r="AK2593" s="1" t="s">
        <v>71</v>
      </c>
      <c r="AM2593" s="1" t="s">
        <v>71</v>
      </c>
      <c r="AN2593" s="1" t="s">
        <v>71</v>
      </c>
      <c r="AS2593" s="1" t="s">
        <v>71</v>
      </c>
      <c r="AX2593" s="1" t="s">
        <v>71</v>
      </c>
      <c r="AY2593" s="1" t="s">
        <v>59</v>
      </c>
      <c r="AZ2593" s="1" t="s">
        <v>74</v>
      </c>
      <c r="BH2593" s="1" t="s">
        <v>71</v>
      </c>
    </row>
    <row r="2594" customFormat="false" ht="15" hidden="false" customHeight="false" outlineLevel="0" collapsed="false">
      <c r="A2594" s="1" t="s">
        <v>8747</v>
      </c>
      <c r="B2594" s="1" t="s">
        <v>8748</v>
      </c>
      <c r="C2594" s="1" t="s">
        <v>2509</v>
      </c>
      <c r="D2594" s="1" t="s">
        <v>8470</v>
      </c>
      <c r="E2594" s="1" t="s">
        <v>93</v>
      </c>
      <c r="F2594" s="1" t="s">
        <v>6348</v>
      </c>
      <c r="G2594" s="1" t="s">
        <v>372</v>
      </c>
      <c r="H2594" s="1" t="s">
        <v>5583</v>
      </c>
      <c r="K2594" s="1" t="s">
        <v>65</v>
      </c>
      <c r="L2594" s="1" t="s">
        <v>8749</v>
      </c>
      <c r="M2594" s="1" t="s">
        <v>6953</v>
      </c>
      <c r="N2594" s="1" t="s">
        <v>8750</v>
      </c>
      <c r="O2594" s="1" t="s">
        <v>8751</v>
      </c>
      <c r="P2594" s="1" t="s">
        <v>8752</v>
      </c>
      <c r="U2594" s="1" t="s">
        <v>8747</v>
      </c>
      <c r="Z2594" s="1" t="s">
        <v>71</v>
      </c>
      <c r="AE2594" s="1" t="s">
        <v>8711</v>
      </c>
      <c r="AH2594" s="1" t="s">
        <v>73</v>
      </c>
      <c r="AK2594" s="1" t="s">
        <v>71</v>
      </c>
      <c r="AM2594" s="1" t="s">
        <v>71</v>
      </c>
      <c r="AN2594" s="1" t="s">
        <v>71</v>
      </c>
      <c r="AS2594" s="1" t="s">
        <v>71</v>
      </c>
      <c r="AX2594" s="1" t="s">
        <v>71</v>
      </c>
      <c r="AY2594" s="1" t="s">
        <v>59</v>
      </c>
      <c r="AZ2594" s="1" t="s">
        <v>74</v>
      </c>
      <c r="BH2594" s="1" t="s">
        <v>71</v>
      </c>
    </row>
    <row r="2595" customFormat="false" ht="15" hidden="false" customHeight="false" outlineLevel="0" collapsed="false">
      <c r="A2595" s="1" t="s">
        <v>8753</v>
      </c>
      <c r="B2595" s="1" t="s">
        <v>8754</v>
      </c>
      <c r="C2595" s="1" t="s">
        <v>2509</v>
      </c>
      <c r="D2595" s="1" t="s">
        <v>8470</v>
      </c>
      <c r="E2595" s="1" t="s">
        <v>93</v>
      </c>
      <c r="F2595" s="1" t="s">
        <v>6348</v>
      </c>
      <c r="G2595" s="1" t="s">
        <v>144</v>
      </c>
      <c r="H2595" s="1" t="s">
        <v>7646</v>
      </c>
      <c r="K2595" s="1" t="s">
        <v>275</v>
      </c>
      <c r="L2595" s="1" t="s">
        <v>8755</v>
      </c>
      <c r="M2595" s="1" t="s">
        <v>8507</v>
      </c>
      <c r="N2595" s="1" t="s">
        <v>8756</v>
      </c>
      <c r="O2595" s="1" t="s">
        <v>8757</v>
      </c>
      <c r="P2595" s="1" t="s">
        <v>8758</v>
      </c>
      <c r="S2595" s="1" t="s">
        <v>229</v>
      </c>
      <c r="U2595" s="1" t="s">
        <v>8753</v>
      </c>
      <c r="Z2595" s="1" t="s">
        <v>71</v>
      </c>
      <c r="AE2595" s="1" t="s">
        <v>8711</v>
      </c>
      <c r="AH2595" s="1" t="s">
        <v>73</v>
      </c>
      <c r="AK2595" s="1" t="s">
        <v>71</v>
      </c>
      <c r="AM2595" s="1" t="s">
        <v>71</v>
      </c>
      <c r="AN2595" s="1" t="s">
        <v>71</v>
      </c>
      <c r="AS2595" s="1" t="s">
        <v>71</v>
      </c>
      <c r="AX2595" s="1" t="s">
        <v>71</v>
      </c>
      <c r="AY2595" s="1" t="s">
        <v>59</v>
      </c>
      <c r="AZ2595" s="1" t="s">
        <v>74</v>
      </c>
      <c r="BH2595" s="1" t="s">
        <v>71</v>
      </c>
    </row>
    <row r="2596" customFormat="false" ht="15" hidden="false" customHeight="false" outlineLevel="0" collapsed="false">
      <c r="A2596" s="1" t="s">
        <v>8759</v>
      </c>
      <c r="B2596" s="1" t="s">
        <v>8760</v>
      </c>
      <c r="C2596" s="1" t="s">
        <v>2509</v>
      </c>
      <c r="D2596" s="1" t="s">
        <v>8470</v>
      </c>
      <c r="E2596" s="1" t="s">
        <v>93</v>
      </c>
      <c r="F2596" s="1" t="s">
        <v>6348</v>
      </c>
      <c r="G2596" s="1" t="s">
        <v>1385</v>
      </c>
      <c r="H2596" s="1" t="s">
        <v>8761</v>
      </c>
      <c r="K2596" s="1" t="s">
        <v>59</v>
      </c>
      <c r="L2596" s="1" t="s">
        <v>8762</v>
      </c>
      <c r="M2596" s="1" t="s">
        <v>8763</v>
      </c>
      <c r="N2596" s="1" t="s">
        <v>8764</v>
      </c>
      <c r="O2596" s="1" t="s">
        <v>8765</v>
      </c>
      <c r="P2596" s="1" t="s">
        <v>8766</v>
      </c>
      <c r="U2596" s="1" t="s">
        <v>8759</v>
      </c>
      <c r="Z2596" s="1" t="s">
        <v>71</v>
      </c>
      <c r="AE2596" s="1" t="s">
        <v>8711</v>
      </c>
      <c r="AH2596" s="1" t="s">
        <v>73</v>
      </c>
      <c r="AK2596" s="1" t="s">
        <v>71</v>
      </c>
      <c r="AM2596" s="1" t="s">
        <v>71</v>
      </c>
      <c r="AN2596" s="1" t="s">
        <v>71</v>
      </c>
      <c r="AS2596" s="1" t="s">
        <v>71</v>
      </c>
      <c r="AX2596" s="1" t="s">
        <v>71</v>
      </c>
      <c r="AY2596" s="1" t="s">
        <v>59</v>
      </c>
      <c r="AZ2596" s="1" t="s">
        <v>74</v>
      </c>
      <c r="BH2596" s="1" t="s">
        <v>71</v>
      </c>
    </row>
    <row r="2597" customFormat="false" ht="15" hidden="false" customHeight="false" outlineLevel="0" collapsed="false">
      <c r="A2597" s="1" t="s">
        <v>8767</v>
      </c>
      <c r="B2597" s="1" t="s">
        <v>8768</v>
      </c>
      <c r="C2597" s="1" t="s">
        <v>1361</v>
      </c>
      <c r="D2597" s="1" t="s">
        <v>4847</v>
      </c>
      <c r="E2597" s="1" t="s">
        <v>82</v>
      </c>
      <c r="F2597" s="1" t="s">
        <v>391</v>
      </c>
      <c r="G2597" s="1" t="s">
        <v>97</v>
      </c>
      <c r="H2597" s="1" t="s">
        <v>406</v>
      </c>
      <c r="K2597" s="1" t="s">
        <v>65</v>
      </c>
      <c r="L2597" s="1" t="s">
        <v>860</v>
      </c>
      <c r="M2597" s="1" t="s">
        <v>496</v>
      </c>
      <c r="N2597" s="1" t="s">
        <v>8769</v>
      </c>
      <c r="O2597" s="1" t="s">
        <v>8770</v>
      </c>
      <c r="P2597" s="1" t="s">
        <v>8771</v>
      </c>
      <c r="U2597" s="1" t="s">
        <v>8767</v>
      </c>
      <c r="Z2597" s="1" t="s">
        <v>71</v>
      </c>
      <c r="AE2597" s="1" t="s">
        <v>8772</v>
      </c>
      <c r="AF2597" s="1" t="s">
        <v>59</v>
      </c>
      <c r="AH2597" s="1" t="s">
        <v>73</v>
      </c>
      <c r="AK2597" s="1" t="s">
        <v>71</v>
      </c>
      <c r="AS2597" s="1" t="s">
        <v>71</v>
      </c>
    </row>
    <row r="2598" customFormat="false" ht="15" hidden="false" customHeight="false" outlineLevel="0" collapsed="false">
      <c r="A2598" s="1" t="s">
        <v>8773</v>
      </c>
      <c r="B2598" s="1" t="s">
        <v>8774</v>
      </c>
      <c r="C2598" s="1" t="s">
        <v>2090</v>
      </c>
      <c r="D2598" s="1" t="s">
        <v>7238</v>
      </c>
      <c r="E2598" s="1" t="s">
        <v>61</v>
      </c>
      <c r="F2598" s="1" t="s">
        <v>101</v>
      </c>
      <c r="G2598" s="1" t="s">
        <v>93</v>
      </c>
      <c r="H2598" s="1" t="s">
        <v>64</v>
      </c>
      <c r="K2598" s="1" t="s">
        <v>1784</v>
      </c>
      <c r="L2598" s="1" t="s">
        <v>1785</v>
      </c>
      <c r="M2598" s="1" t="s">
        <v>104</v>
      </c>
      <c r="N2598" s="1" t="s">
        <v>105</v>
      </c>
      <c r="O2598" s="1" t="s">
        <v>106</v>
      </c>
      <c r="P2598" s="1" t="s">
        <v>3539</v>
      </c>
      <c r="U2598" s="1" t="s">
        <v>8773</v>
      </c>
      <c r="Z2598" s="1" t="s">
        <v>71</v>
      </c>
      <c r="AE2598" s="1" t="s">
        <v>8775</v>
      </c>
      <c r="AH2598" s="1" t="s">
        <v>73</v>
      </c>
      <c r="AK2598" s="1" t="s">
        <v>71</v>
      </c>
      <c r="AM2598" s="1" t="s">
        <v>71</v>
      </c>
      <c r="AN2598" s="1" t="s">
        <v>71</v>
      </c>
      <c r="AS2598" s="1" t="s">
        <v>71</v>
      </c>
      <c r="AX2598" s="1" t="s">
        <v>71</v>
      </c>
      <c r="AY2598" s="1" t="s">
        <v>59</v>
      </c>
      <c r="AZ2598" s="1" t="s">
        <v>74</v>
      </c>
      <c r="BH2598" s="1" t="s">
        <v>71</v>
      </c>
    </row>
    <row r="2599" customFormat="false" ht="15" hidden="false" customHeight="false" outlineLevel="0" collapsed="false">
      <c r="A2599" s="1" t="s">
        <v>8776</v>
      </c>
      <c r="B2599" s="1" t="s">
        <v>8777</v>
      </c>
      <c r="C2599" s="1" t="s">
        <v>2090</v>
      </c>
      <c r="D2599" s="1" t="s">
        <v>7238</v>
      </c>
      <c r="E2599" s="1" t="s">
        <v>61</v>
      </c>
      <c r="F2599" s="1" t="s">
        <v>101</v>
      </c>
      <c r="G2599" s="1" t="s">
        <v>93</v>
      </c>
      <c r="H2599" s="1" t="s">
        <v>64</v>
      </c>
      <c r="K2599" s="1" t="s">
        <v>1092</v>
      </c>
      <c r="L2599" s="1" t="s">
        <v>1093</v>
      </c>
      <c r="M2599" s="1" t="s">
        <v>104</v>
      </c>
      <c r="N2599" s="1" t="s">
        <v>105</v>
      </c>
      <c r="O2599" s="1" t="s">
        <v>106</v>
      </c>
      <c r="P2599" s="1" t="s">
        <v>3539</v>
      </c>
      <c r="U2599" s="1" t="s">
        <v>8776</v>
      </c>
      <c r="Z2599" s="1" t="s">
        <v>71</v>
      </c>
      <c r="AE2599" s="1" t="s">
        <v>8775</v>
      </c>
      <c r="AH2599" s="1" t="s">
        <v>73</v>
      </c>
      <c r="AK2599" s="1" t="s">
        <v>71</v>
      </c>
      <c r="AM2599" s="1" t="s">
        <v>71</v>
      </c>
      <c r="AN2599" s="1" t="s">
        <v>71</v>
      </c>
      <c r="AS2599" s="1" t="s">
        <v>71</v>
      </c>
      <c r="AX2599" s="1" t="s">
        <v>71</v>
      </c>
      <c r="AY2599" s="1" t="s">
        <v>59</v>
      </c>
      <c r="AZ2599" s="1" t="s">
        <v>74</v>
      </c>
      <c r="BH2599" s="1" t="s">
        <v>71</v>
      </c>
    </row>
    <row r="2600" customFormat="false" ht="15" hidden="false" customHeight="false" outlineLevel="0" collapsed="false">
      <c r="A2600" s="1" t="s">
        <v>8778</v>
      </c>
      <c r="B2600" s="1" t="s">
        <v>8779</v>
      </c>
      <c r="C2600" s="1" t="s">
        <v>2090</v>
      </c>
      <c r="D2600" s="1" t="s">
        <v>7238</v>
      </c>
      <c r="E2600" s="1" t="s">
        <v>61</v>
      </c>
      <c r="F2600" s="1" t="s">
        <v>101</v>
      </c>
      <c r="G2600" s="1" t="s">
        <v>93</v>
      </c>
      <c r="H2600" s="1" t="s">
        <v>64</v>
      </c>
      <c r="K2600" s="1" t="s">
        <v>290</v>
      </c>
      <c r="L2600" s="1" t="s">
        <v>291</v>
      </c>
      <c r="M2600" s="1" t="s">
        <v>104</v>
      </c>
      <c r="N2600" s="1" t="s">
        <v>105</v>
      </c>
      <c r="O2600" s="1" t="s">
        <v>106</v>
      </c>
      <c r="P2600" s="1" t="s">
        <v>3539</v>
      </c>
      <c r="U2600" s="1" t="s">
        <v>8778</v>
      </c>
      <c r="Z2600" s="1" t="s">
        <v>71</v>
      </c>
      <c r="AE2600" s="1" t="s">
        <v>8775</v>
      </c>
      <c r="AH2600" s="1" t="s">
        <v>73</v>
      </c>
      <c r="AK2600" s="1" t="s">
        <v>71</v>
      </c>
      <c r="AM2600" s="1" t="s">
        <v>71</v>
      </c>
      <c r="AN2600" s="1" t="s">
        <v>71</v>
      </c>
      <c r="AS2600" s="1" t="s">
        <v>71</v>
      </c>
      <c r="AX2600" s="1" t="s">
        <v>71</v>
      </c>
      <c r="AY2600" s="1" t="s">
        <v>59</v>
      </c>
      <c r="AZ2600" s="1" t="s">
        <v>74</v>
      </c>
      <c r="BH2600" s="1" t="s">
        <v>71</v>
      </c>
    </row>
    <row r="2601" customFormat="false" ht="15" hidden="false" customHeight="false" outlineLevel="0" collapsed="false">
      <c r="A2601" s="1" t="s">
        <v>8780</v>
      </c>
      <c r="B2601" s="1" t="s">
        <v>8781</v>
      </c>
      <c r="C2601" s="1" t="s">
        <v>2090</v>
      </c>
      <c r="D2601" s="1" t="s">
        <v>7238</v>
      </c>
      <c r="E2601" s="1" t="s">
        <v>61</v>
      </c>
      <c r="F2601" s="1" t="s">
        <v>101</v>
      </c>
      <c r="G2601" s="1" t="s">
        <v>93</v>
      </c>
      <c r="H2601" s="1" t="s">
        <v>64</v>
      </c>
      <c r="K2601" s="1" t="s">
        <v>249</v>
      </c>
      <c r="L2601" s="1" t="s">
        <v>250</v>
      </c>
      <c r="M2601" s="1" t="s">
        <v>104</v>
      </c>
      <c r="N2601" s="1" t="s">
        <v>105</v>
      </c>
      <c r="O2601" s="1" t="s">
        <v>106</v>
      </c>
      <c r="P2601" s="1" t="s">
        <v>3539</v>
      </c>
      <c r="U2601" s="1" t="s">
        <v>8780</v>
      </c>
      <c r="Z2601" s="1" t="s">
        <v>71</v>
      </c>
      <c r="AE2601" s="1" t="s">
        <v>8775</v>
      </c>
      <c r="AH2601" s="1" t="s">
        <v>73</v>
      </c>
      <c r="AK2601" s="1" t="s">
        <v>71</v>
      </c>
      <c r="AM2601" s="1" t="s">
        <v>71</v>
      </c>
      <c r="AN2601" s="1" t="s">
        <v>71</v>
      </c>
      <c r="AS2601" s="1" t="s">
        <v>71</v>
      </c>
      <c r="AX2601" s="1" t="s">
        <v>71</v>
      </c>
      <c r="AY2601" s="1" t="s">
        <v>59</v>
      </c>
      <c r="AZ2601" s="1" t="s">
        <v>74</v>
      </c>
      <c r="BH2601" s="1" t="s">
        <v>71</v>
      </c>
    </row>
    <row r="2602" customFormat="false" ht="15" hidden="false" customHeight="false" outlineLevel="0" collapsed="false">
      <c r="A2602" s="1" t="s">
        <v>8782</v>
      </c>
      <c r="B2602" s="1" t="s">
        <v>8783</v>
      </c>
      <c r="C2602" s="1" t="s">
        <v>2090</v>
      </c>
      <c r="D2602" s="1" t="s">
        <v>7238</v>
      </c>
      <c r="E2602" s="1" t="s">
        <v>61</v>
      </c>
      <c r="F2602" s="1" t="s">
        <v>101</v>
      </c>
      <c r="G2602" s="1" t="s">
        <v>93</v>
      </c>
      <c r="H2602" s="1" t="s">
        <v>64</v>
      </c>
      <c r="K2602" s="1" t="s">
        <v>290</v>
      </c>
      <c r="L2602" s="1" t="s">
        <v>291</v>
      </c>
      <c r="M2602" s="1" t="s">
        <v>1555</v>
      </c>
      <c r="N2602" s="1" t="s">
        <v>105</v>
      </c>
      <c r="O2602" s="1" t="s">
        <v>106</v>
      </c>
      <c r="P2602" s="1" t="s">
        <v>3539</v>
      </c>
      <c r="U2602" s="1" t="s">
        <v>8782</v>
      </c>
      <c r="Z2602" s="1" t="s">
        <v>71</v>
      </c>
      <c r="AE2602" s="1" t="s">
        <v>8775</v>
      </c>
      <c r="AH2602" s="1" t="s">
        <v>73</v>
      </c>
      <c r="AK2602" s="1" t="s">
        <v>71</v>
      </c>
      <c r="AM2602" s="1" t="s">
        <v>71</v>
      </c>
      <c r="AN2602" s="1" t="s">
        <v>71</v>
      </c>
      <c r="AS2602" s="1" t="s">
        <v>71</v>
      </c>
      <c r="AX2602" s="1" t="s">
        <v>71</v>
      </c>
      <c r="AY2602" s="1" t="s">
        <v>59</v>
      </c>
      <c r="AZ2602" s="1" t="s">
        <v>74</v>
      </c>
      <c r="BH2602" s="1" t="s">
        <v>71</v>
      </c>
    </row>
    <row r="2603" customFormat="false" ht="15" hidden="false" customHeight="false" outlineLevel="0" collapsed="false">
      <c r="A2603" s="1" t="s">
        <v>8784</v>
      </c>
      <c r="B2603" s="1" t="s">
        <v>8785</v>
      </c>
      <c r="C2603" s="1" t="s">
        <v>2090</v>
      </c>
      <c r="D2603" s="1" t="s">
        <v>7238</v>
      </c>
      <c r="E2603" s="1" t="s">
        <v>61</v>
      </c>
      <c r="F2603" s="1" t="s">
        <v>101</v>
      </c>
      <c r="G2603" s="1" t="s">
        <v>93</v>
      </c>
      <c r="H2603" s="1" t="s">
        <v>64</v>
      </c>
      <c r="K2603" s="1" t="s">
        <v>108</v>
      </c>
      <c r="L2603" s="1" t="s">
        <v>2547</v>
      </c>
      <c r="M2603" s="1" t="s">
        <v>1387</v>
      </c>
      <c r="N2603" s="1" t="s">
        <v>105</v>
      </c>
      <c r="O2603" s="1" t="s">
        <v>106</v>
      </c>
      <c r="P2603" s="1" t="s">
        <v>3539</v>
      </c>
      <c r="U2603" s="1" t="s">
        <v>8784</v>
      </c>
      <c r="Z2603" s="1" t="s">
        <v>71</v>
      </c>
      <c r="AE2603" s="1" t="s">
        <v>8775</v>
      </c>
      <c r="AH2603" s="1" t="s">
        <v>73</v>
      </c>
      <c r="AK2603" s="1" t="s">
        <v>71</v>
      </c>
      <c r="AM2603" s="1" t="s">
        <v>71</v>
      </c>
      <c r="AN2603" s="1" t="s">
        <v>71</v>
      </c>
      <c r="AS2603" s="1" t="s">
        <v>71</v>
      </c>
      <c r="AX2603" s="1" t="s">
        <v>71</v>
      </c>
      <c r="AY2603" s="1" t="s">
        <v>59</v>
      </c>
      <c r="AZ2603" s="1" t="s">
        <v>74</v>
      </c>
      <c r="BH2603" s="1" t="s">
        <v>71</v>
      </c>
    </row>
    <row r="2604" customFormat="false" ht="15" hidden="false" customHeight="false" outlineLevel="0" collapsed="false">
      <c r="A2604" s="1" t="s">
        <v>8786</v>
      </c>
      <c r="B2604" s="1" t="s">
        <v>8787</v>
      </c>
      <c r="C2604" s="1" t="s">
        <v>2090</v>
      </c>
      <c r="D2604" s="1" t="s">
        <v>7238</v>
      </c>
      <c r="E2604" s="1" t="s">
        <v>61</v>
      </c>
      <c r="F2604" s="1" t="s">
        <v>101</v>
      </c>
      <c r="G2604" s="1" t="s">
        <v>93</v>
      </c>
      <c r="H2604" s="1" t="s">
        <v>64</v>
      </c>
      <c r="K2604" s="1" t="s">
        <v>229</v>
      </c>
      <c r="L2604" s="1" t="s">
        <v>605</v>
      </c>
      <c r="M2604" s="1" t="s">
        <v>310</v>
      </c>
      <c r="N2604" s="1" t="s">
        <v>105</v>
      </c>
      <c r="O2604" s="1" t="s">
        <v>106</v>
      </c>
      <c r="P2604" s="1" t="s">
        <v>3539</v>
      </c>
      <c r="U2604" s="1" t="s">
        <v>8786</v>
      </c>
      <c r="Z2604" s="1" t="s">
        <v>71</v>
      </c>
      <c r="AE2604" s="1" t="s">
        <v>8775</v>
      </c>
      <c r="AH2604" s="1" t="s">
        <v>73</v>
      </c>
      <c r="AK2604" s="1" t="s">
        <v>71</v>
      </c>
      <c r="AM2604" s="1" t="s">
        <v>71</v>
      </c>
      <c r="AN2604" s="1" t="s">
        <v>71</v>
      </c>
      <c r="AS2604" s="1" t="s">
        <v>71</v>
      </c>
      <c r="AX2604" s="1" t="s">
        <v>71</v>
      </c>
      <c r="AY2604" s="1" t="s">
        <v>59</v>
      </c>
      <c r="AZ2604" s="1" t="s">
        <v>74</v>
      </c>
      <c r="BH2604" s="1" t="s">
        <v>71</v>
      </c>
    </row>
    <row r="2605" customFormat="false" ht="15" hidden="false" customHeight="false" outlineLevel="0" collapsed="false">
      <c r="A2605" s="1" t="s">
        <v>8788</v>
      </c>
      <c r="B2605" s="1" t="s">
        <v>8789</v>
      </c>
      <c r="C2605" s="1" t="s">
        <v>2090</v>
      </c>
      <c r="D2605" s="1" t="s">
        <v>7238</v>
      </c>
      <c r="E2605" s="1" t="s">
        <v>61</v>
      </c>
      <c r="F2605" s="1" t="s">
        <v>101</v>
      </c>
      <c r="G2605" s="1" t="s">
        <v>115</v>
      </c>
      <c r="H2605" s="1" t="s">
        <v>5689</v>
      </c>
      <c r="K2605" s="1" t="s">
        <v>61</v>
      </c>
      <c r="L2605" s="1" t="s">
        <v>5972</v>
      </c>
      <c r="M2605" s="1" t="s">
        <v>1387</v>
      </c>
      <c r="N2605" s="1" t="s">
        <v>5692</v>
      </c>
      <c r="O2605" s="1" t="s">
        <v>5693</v>
      </c>
      <c r="P2605" s="1" t="s">
        <v>5694</v>
      </c>
      <c r="U2605" s="1" t="s">
        <v>8788</v>
      </c>
      <c r="Z2605" s="1" t="s">
        <v>71</v>
      </c>
      <c r="AE2605" s="1" t="s">
        <v>8775</v>
      </c>
      <c r="AH2605" s="1" t="s">
        <v>73</v>
      </c>
      <c r="AK2605" s="1" t="s">
        <v>71</v>
      </c>
      <c r="AM2605" s="1" t="s">
        <v>71</v>
      </c>
      <c r="AN2605" s="1" t="s">
        <v>71</v>
      </c>
      <c r="AS2605" s="1" t="s">
        <v>71</v>
      </c>
      <c r="AX2605" s="1" t="s">
        <v>71</v>
      </c>
      <c r="AY2605" s="1" t="s">
        <v>59</v>
      </c>
      <c r="AZ2605" s="1" t="s">
        <v>74</v>
      </c>
      <c r="BH2605" s="1" t="s">
        <v>71</v>
      </c>
    </row>
    <row r="2606" customFormat="false" ht="15" hidden="false" customHeight="false" outlineLevel="0" collapsed="false">
      <c r="A2606" s="1" t="s">
        <v>8790</v>
      </c>
      <c r="B2606" s="1" t="s">
        <v>8791</v>
      </c>
      <c r="C2606" s="1" t="s">
        <v>2090</v>
      </c>
      <c r="D2606" s="1" t="s">
        <v>7238</v>
      </c>
      <c r="E2606" s="1" t="s">
        <v>61</v>
      </c>
      <c r="F2606" s="1" t="s">
        <v>101</v>
      </c>
      <c r="G2606" s="1" t="s">
        <v>115</v>
      </c>
      <c r="H2606" s="1" t="s">
        <v>5689</v>
      </c>
      <c r="K2606" s="1" t="s">
        <v>59</v>
      </c>
      <c r="L2606" s="1" t="s">
        <v>5690</v>
      </c>
      <c r="M2606" s="1" t="s">
        <v>310</v>
      </c>
      <c r="N2606" s="1" t="s">
        <v>8792</v>
      </c>
      <c r="O2606" s="1" t="s">
        <v>8793</v>
      </c>
      <c r="P2606" s="1" t="s">
        <v>8794</v>
      </c>
      <c r="U2606" s="1" t="s">
        <v>8790</v>
      </c>
      <c r="Z2606" s="1" t="s">
        <v>71</v>
      </c>
      <c r="AE2606" s="1" t="s">
        <v>8775</v>
      </c>
      <c r="AH2606" s="1" t="s">
        <v>73</v>
      </c>
      <c r="AK2606" s="1" t="s">
        <v>71</v>
      </c>
      <c r="AM2606" s="1" t="s">
        <v>71</v>
      </c>
      <c r="AN2606" s="1" t="s">
        <v>71</v>
      </c>
      <c r="AS2606" s="1" t="s">
        <v>71</v>
      </c>
      <c r="AX2606" s="1" t="s">
        <v>71</v>
      </c>
      <c r="AY2606" s="1" t="s">
        <v>59</v>
      </c>
      <c r="AZ2606" s="1" t="s">
        <v>74</v>
      </c>
      <c r="BH2606" s="1" t="s">
        <v>71</v>
      </c>
    </row>
    <row r="2607" customFormat="false" ht="15" hidden="false" customHeight="false" outlineLevel="0" collapsed="false">
      <c r="A2607" s="1" t="s">
        <v>8795</v>
      </c>
      <c r="B2607" s="1" t="s">
        <v>8796</v>
      </c>
      <c r="C2607" s="1" t="s">
        <v>2090</v>
      </c>
      <c r="D2607" s="1" t="s">
        <v>7238</v>
      </c>
      <c r="E2607" s="1" t="s">
        <v>61</v>
      </c>
      <c r="F2607" s="1" t="s">
        <v>101</v>
      </c>
      <c r="G2607" s="1" t="s">
        <v>115</v>
      </c>
      <c r="H2607" s="1" t="s">
        <v>5689</v>
      </c>
      <c r="K2607" s="1" t="s">
        <v>275</v>
      </c>
      <c r="L2607" s="1" t="s">
        <v>8797</v>
      </c>
      <c r="M2607" s="1" t="s">
        <v>1387</v>
      </c>
      <c r="N2607" s="1" t="s">
        <v>8798</v>
      </c>
      <c r="O2607" s="1" t="s">
        <v>8799</v>
      </c>
      <c r="P2607" s="1" t="s">
        <v>8800</v>
      </c>
      <c r="U2607" s="1" t="s">
        <v>8795</v>
      </c>
      <c r="Z2607" s="1" t="s">
        <v>71</v>
      </c>
      <c r="AE2607" s="1" t="s">
        <v>8775</v>
      </c>
      <c r="AH2607" s="1" t="s">
        <v>73</v>
      </c>
      <c r="AK2607" s="1" t="s">
        <v>71</v>
      </c>
      <c r="AM2607" s="1" t="s">
        <v>71</v>
      </c>
      <c r="AN2607" s="1" t="s">
        <v>71</v>
      </c>
      <c r="AS2607" s="1" t="s">
        <v>71</v>
      </c>
      <c r="AX2607" s="1" t="s">
        <v>71</v>
      </c>
      <c r="AY2607" s="1" t="s">
        <v>59</v>
      </c>
      <c r="AZ2607" s="1" t="s">
        <v>74</v>
      </c>
      <c r="BH2607" s="1" t="s">
        <v>71</v>
      </c>
    </row>
    <row r="2608" customFormat="false" ht="15" hidden="false" customHeight="false" outlineLevel="0" collapsed="false">
      <c r="A2608" s="1" t="s">
        <v>8801</v>
      </c>
      <c r="B2608" s="1" t="s">
        <v>8802</v>
      </c>
      <c r="C2608" s="1" t="s">
        <v>2090</v>
      </c>
      <c r="D2608" s="1" t="s">
        <v>7238</v>
      </c>
      <c r="E2608" s="1" t="s">
        <v>61</v>
      </c>
      <c r="F2608" s="1" t="s">
        <v>101</v>
      </c>
      <c r="G2608" s="1" t="s">
        <v>115</v>
      </c>
      <c r="H2608" s="1" t="s">
        <v>5689</v>
      </c>
      <c r="K2608" s="1" t="s">
        <v>59</v>
      </c>
      <c r="L2608" s="1" t="s">
        <v>5690</v>
      </c>
      <c r="M2608" s="1" t="s">
        <v>310</v>
      </c>
      <c r="N2608" s="1" t="s">
        <v>8803</v>
      </c>
      <c r="O2608" s="1" t="s">
        <v>8804</v>
      </c>
      <c r="P2608" s="1" t="s">
        <v>8805</v>
      </c>
      <c r="U2608" s="1" t="s">
        <v>8801</v>
      </c>
      <c r="Z2608" s="1" t="s">
        <v>71</v>
      </c>
      <c r="AE2608" s="1" t="s">
        <v>8775</v>
      </c>
      <c r="AH2608" s="1" t="s">
        <v>73</v>
      </c>
      <c r="AK2608" s="1" t="s">
        <v>71</v>
      </c>
      <c r="AM2608" s="1" t="s">
        <v>71</v>
      </c>
      <c r="AN2608" s="1" t="s">
        <v>71</v>
      </c>
      <c r="AS2608" s="1" t="s">
        <v>71</v>
      </c>
      <c r="AX2608" s="1" t="s">
        <v>71</v>
      </c>
      <c r="AY2608" s="1" t="s">
        <v>59</v>
      </c>
      <c r="AZ2608" s="1" t="s">
        <v>74</v>
      </c>
      <c r="BH2608" s="1" t="s">
        <v>71</v>
      </c>
    </row>
    <row r="2609" customFormat="false" ht="15" hidden="false" customHeight="false" outlineLevel="0" collapsed="false">
      <c r="A2609" s="1" t="s">
        <v>8806</v>
      </c>
      <c r="B2609" s="1" t="s">
        <v>8807</v>
      </c>
      <c r="C2609" s="1" t="s">
        <v>2090</v>
      </c>
      <c r="D2609" s="1" t="s">
        <v>7238</v>
      </c>
      <c r="E2609" s="1" t="s">
        <v>61</v>
      </c>
      <c r="F2609" s="1" t="s">
        <v>101</v>
      </c>
      <c r="G2609" s="1" t="s">
        <v>93</v>
      </c>
      <c r="H2609" s="1" t="s">
        <v>64</v>
      </c>
      <c r="K2609" s="1" t="s">
        <v>582</v>
      </c>
      <c r="L2609" s="1" t="s">
        <v>4731</v>
      </c>
      <c r="M2609" s="1" t="s">
        <v>314</v>
      </c>
      <c r="N2609" s="1" t="s">
        <v>1177</v>
      </c>
      <c r="O2609" s="1" t="s">
        <v>1178</v>
      </c>
      <c r="P2609" s="1" t="s">
        <v>4732</v>
      </c>
      <c r="U2609" s="1" t="s">
        <v>8806</v>
      </c>
      <c r="Z2609" s="1" t="s">
        <v>71</v>
      </c>
      <c r="AE2609" s="1" t="s">
        <v>8775</v>
      </c>
      <c r="AH2609" s="1" t="s">
        <v>73</v>
      </c>
      <c r="AK2609" s="1" t="s">
        <v>71</v>
      </c>
      <c r="AM2609" s="1" t="s">
        <v>71</v>
      </c>
      <c r="AN2609" s="1" t="s">
        <v>71</v>
      </c>
      <c r="AS2609" s="1" t="s">
        <v>71</v>
      </c>
      <c r="AX2609" s="1" t="s">
        <v>71</v>
      </c>
      <c r="AY2609" s="1" t="s">
        <v>59</v>
      </c>
      <c r="AZ2609" s="1" t="s">
        <v>74</v>
      </c>
      <c r="BH2609" s="1" t="s">
        <v>71</v>
      </c>
    </row>
    <row r="2610" customFormat="false" ht="15" hidden="false" customHeight="false" outlineLevel="0" collapsed="false">
      <c r="A2610" s="1" t="s">
        <v>8808</v>
      </c>
      <c r="B2610" s="1" t="s">
        <v>8809</v>
      </c>
      <c r="C2610" s="1" t="s">
        <v>2090</v>
      </c>
      <c r="D2610" s="1" t="s">
        <v>7238</v>
      </c>
      <c r="E2610" s="1" t="s">
        <v>61</v>
      </c>
      <c r="F2610" s="1" t="s">
        <v>101</v>
      </c>
      <c r="G2610" s="1" t="s">
        <v>93</v>
      </c>
      <c r="H2610" s="1" t="s">
        <v>64</v>
      </c>
      <c r="K2610" s="1" t="s">
        <v>582</v>
      </c>
      <c r="L2610" s="1" t="s">
        <v>4731</v>
      </c>
      <c r="M2610" s="1" t="s">
        <v>314</v>
      </c>
      <c r="N2610" s="1" t="s">
        <v>1177</v>
      </c>
      <c r="O2610" s="1" t="s">
        <v>1178</v>
      </c>
      <c r="P2610" s="1" t="s">
        <v>4732</v>
      </c>
      <c r="U2610" s="1" t="s">
        <v>8808</v>
      </c>
      <c r="Z2610" s="1" t="s">
        <v>71</v>
      </c>
      <c r="AE2610" s="1" t="s">
        <v>8775</v>
      </c>
      <c r="AH2610" s="1" t="s">
        <v>73</v>
      </c>
      <c r="AK2610" s="1" t="s">
        <v>71</v>
      </c>
      <c r="AM2610" s="1" t="s">
        <v>71</v>
      </c>
      <c r="AN2610" s="1" t="s">
        <v>71</v>
      </c>
      <c r="AS2610" s="1" t="s">
        <v>71</v>
      </c>
      <c r="AX2610" s="1" t="s">
        <v>71</v>
      </c>
      <c r="AY2610" s="1" t="s">
        <v>59</v>
      </c>
      <c r="AZ2610" s="1" t="s">
        <v>74</v>
      </c>
      <c r="BH2610" s="1" t="s">
        <v>71</v>
      </c>
    </row>
    <row r="2611" customFormat="false" ht="15" hidden="false" customHeight="false" outlineLevel="0" collapsed="false">
      <c r="A2611" s="1" t="s">
        <v>8810</v>
      </c>
      <c r="B2611" s="1" t="s">
        <v>8811</v>
      </c>
      <c r="C2611" s="1" t="s">
        <v>2090</v>
      </c>
      <c r="D2611" s="1" t="s">
        <v>7238</v>
      </c>
      <c r="E2611" s="1" t="s">
        <v>61</v>
      </c>
      <c r="F2611" s="1" t="s">
        <v>101</v>
      </c>
      <c r="G2611" s="1" t="s">
        <v>93</v>
      </c>
      <c r="H2611" s="1" t="s">
        <v>64</v>
      </c>
      <c r="K2611" s="1" t="s">
        <v>229</v>
      </c>
      <c r="L2611" s="1" t="s">
        <v>605</v>
      </c>
      <c r="M2611" s="1" t="s">
        <v>310</v>
      </c>
      <c r="N2611" s="1" t="s">
        <v>105</v>
      </c>
      <c r="O2611" s="1" t="s">
        <v>106</v>
      </c>
      <c r="P2611" s="1" t="s">
        <v>3539</v>
      </c>
      <c r="U2611" s="1" t="s">
        <v>8810</v>
      </c>
      <c r="Z2611" s="1" t="s">
        <v>71</v>
      </c>
      <c r="AE2611" s="1" t="s">
        <v>8775</v>
      </c>
      <c r="AH2611" s="1" t="s">
        <v>73</v>
      </c>
      <c r="AK2611" s="1" t="s">
        <v>71</v>
      </c>
      <c r="AM2611" s="1" t="s">
        <v>71</v>
      </c>
      <c r="AN2611" s="1" t="s">
        <v>71</v>
      </c>
      <c r="AS2611" s="1" t="s">
        <v>71</v>
      </c>
      <c r="AX2611" s="1" t="s">
        <v>71</v>
      </c>
      <c r="AY2611" s="1" t="s">
        <v>59</v>
      </c>
      <c r="AZ2611" s="1" t="s">
        <v>74</v>
      </c>
      <c r="BH2611" s="1" t="s">
        <v>71</v>
      </c>
    </row>
    <row r="2612" customFormat="false" ht="15" hidden="false" customHeight="false" outlineLevel="0" collapsed="false">
      <c r="A2612" s="1" t="s">
        <v>8812</v>
      </c>
      <c r="B2612" s="1" t="s">
        <v>8813</v>
      </c>
      <c r="C2612" s="1" t="s">
        <v>2090</v>
      </c>
      <c r="D2612" s="1" t="s">
        <v>7238</v>
      </c>
      <c r="E2612" s="1" t="s">
        <v>61</v>
      </c>
      <c r="F2612" s="1" t="s">
        <v>101</v>
      </c>
      <c r="G2612" s="1" t="s">
        <v>93</v>
      </c>
      <c r="H2612" s="1" t="s">
        <v>64</v>
      </c>
      <c r="K2612" s="1" t="s">
        <v>582</v>
      </c>
      <c r="L2612" s="1" t="s">
        <v>4731</v>
      </c>
      <c r="M2612" s="1" t="s">
        <v>314</v>
      </c>
      <c r="N2612" s="1" t="s">
        <v>1177</v>
      </c>
      <c r="O2612" s="1" t="s">
        <v>1178</v>
      </c>
      <c r="P2612" s="1" t="s">
        <v>4732</v>
      </c>
      <c r="U2612" s="1" t="s">
        <v>8812</v>
      </c>
      <c r="Z2612" s="1" t="s">
        <v>71</v>
      </c>
      <c r="AE2612" s="1" t="s">
        <v>8775</v>
      </c>
      <c r="AH2612" s="1" t="s">
        <v>73</v>
      </c>
      <c r="AK2612" s="1" t="s">
        <v>71</v>
      </c>
      <c r="AM2612" s="1" t="s">
        <v>71</v>
      </c>
      <c r="AN2612" s="1" t="s">
        <v>71</v>
      </c>
      <c r="AS2612" s="1" t="s">
        <v>71</v>
      </c>
      <c r="AX2612" s="1" t="s">
        <v>71</v>
      </c>
      <c r="AY2612" s="1" t="s">
        <v>59</v>
      </c>
      <c r="AZ2612" s="1" t="s">
        <v>74</v>
      </c>
      <c r="BH2612" s="1" t="s">
        <v>71</v>
      </c>
    </row>
    <row r="2613" customFormat="false" ht="15" hidden="false" customHeight="false" outlineLevel="0" collapsed="false">
      <c r="A2613" s="1" t="s">
        <v>8814</v>
      </c>
      <c r="B2613" s="1" t="s">
        <v>8815</v>
      </c>
      <c r="C2613" s="1" t="s">
        <v>2090</v>
      </c>
      <c r="D2613" s="1" t="s">
        <v>7238</v>
      </c>
      <c r="E2613" s="1" t="s">
        <v>61</v>
      </c>
      <c r="F2613" s="1" t="s">
        <v>101</v>
      </c>
      <c r="G2613" s="1" t="s">
        <v>93</v>
      </c>
      <c r="H2613" s="1" t="s">
        <v>64</v>
      </c>
      <c r="K2613" s="1" t="s">
        <v>2113</v>
      </c>
      <c r="L2613" s="1" t="s">
        <v>4189</v>
      </c>
      <c r="M2613" s="1" t="s">
        <v>1555</v>
      </c>
      <c r="N2613" s="1" t="s">
        <v>105</v>
      </c>
      <c r="O2613" s="1" t="s">
        <v>106</v>
      </c>
      <c r="P2613" s="1" t="s">
        <v>3539</v>
      </c>
      <c r="U2613" s="1" t="s">
        <v>8814</v>
      </c>
      <c r="Z2613" s="1" t="s">
        <v>71</v>
      </c>
      <c r="AE2613" s="1" t="s">
        <v>8775</v>
      </c>
      <c r="AH2613" s="1" t="s">
        <v>73</v>
      </c>
      <c r="AK2613" s="1" t="s">
        <v>71</v>
      </c>
      <c r="AM2613" s="1" t="s">
        <v>71</v>
      </c>
      <c r="AN2613" s="1" t="s">
        <v>71</v>
      </c>
      <c r="AS2613" s="1" t="s">
        <v>71</v>
      </c>
      <c r="AX2613" s="1" t="s">
        <v>71</v>
      </c>
      <c r="AY2613" s="1" t="s">
        <v>59</v>
      </c>
      <c r="AZ2613" s="1" t="s">
        <v>74</v>
      </c>
      <c r="BH2613" s="1" t="s">
        <v>71</v>
      </c>
    </row>
    <row r="2614" customFormat="false" ht="15" hidden="false" customHeight="false" outlineLevel="0" collapsed="false">
      <c r="A2614" s="1" t="s">
        <v>8816</v>
      </c>
      <c r="B2614" s="1" t="s">
        <v>8817</v>
      </c>
      <c r="C2614" s="1" t="s">
        <v>2090</v>
      </c>
      <c r="D2614" s="1" t="s">
        <v>7238</v>
      </c>
      <c r="E2614" s="1" t="s">
        <v>61</v>
      </c>
      <c r="F2614" s="1" t="s">
        <v>101</v>
      </c>
      <c r="G2614" s="1" t="s">
        <v>108</v>
      </c>
      <c r="H2614" s="1" t="s">
        <v>1495</v>
      </c>
      <c r="K2614" s="1" t="s">
        <v>155</v>
      </c>
      <c r="L2614" s="1" t="s">
        <v>7015</v>
      </c>
      <c r="M2614" s="1" t="s">
        <v>7046</v>
      </c>
      <c r="N2614" s="1" t="s">
        <v>105</v>
      </c>
      <c r="O2614" s="1" t="s">
        <v>106</v>
      </c>
      <c r="P2614" s="1" t="s">
        <v>3539</v>
      </c>
      <c r="U2614" s="1" t="s">
        <v>8816</v>
      </c>
      <c r="Z2614" s="1" t="s">
        <v>71</v>
      </c>
      <c r="AE2614" s="1" t="s">
        <v>8775</v>
      </c>
      <c r="AH2614" s="1" t="s">
        <v>73</v>
      </c>
      <c r="AK2614" s="1" t="s">
        <v>71</v>
      </c>
      <c r="AM2614" s="1" t="s">
        <v>71</v>
      </c>
      <c r="AN2614" s="1" t="s">
        <v>71</v>
      </c>
      <c r="AS2614" s="1" t="s">
        <v>71</v>
      </c>
      <c r="AX2614" s="1" t="s">
        <v>71</v>
      </c>
      <c r="AY2614" s="1" t="s">
        <v>59</v>
      </c>
      <c r="AZ2614" s="1" t="s">
        <v>74</v>
      </c>
      <c r="BH2614" s="1" t="s">
        <v>71</v>
      </c>
    </row>
    <row r="2615" customFormat="false" ht="15" hidden="false" customHeight="false" outlineLevel="0" collapsed="false">
      <c r="A2615" s="1" t="s">
        <v>8818</v>
      </c>
      <c r="B2615" s="1" t="s">
        <v>8819</v>
      </c>
      <c r="C2615" s="1" t="s">
        <v>2090</v>
      </c>
      <c r="D2615" s="1" t="s">
        <v>7238</v>
      </c>
      <c r="E2615" s="1" t="s">
        <v>61</v>
      </c>
      <c r="F2615" s="1" t="s">
        <v>101</v>
      </c>
      <c r="G2615" s="1" t="s">
        <v>115</v>
      </c>
      <c r="H2615" s="1" t="s">
        <v>5689</v>
      </c>
      <c r="K2615" s="1" t="s">
        <v>65</v>
      </c>
      <c r="L2615" s="1" t="s">
        <v>4731</v>
      </c>
      <c r="M2615" s="1" t="s">
        <v>104</v>
      </c>
      <c r="N2615" s="1" t="s">
        <v>6195</v>
      </c>
      <c r="O2615" s="1" t="s">
        <v>6196</v>
      </c>
      <c r="P2615" s="1" t="s">
        <v>6197</v>
      </c>
      <c r="U2615" s="1" t="s">
        <v>8820</v>
      </c>
      <c r="Z2615" s="1" t="s">
        <v>71</v>
      </c>
      <c r="AE2615" s="1" t="s">
        <v>8821</v>
      </c>
      <c r="AH2615" s="1" t="s">
        <v>73</v>
      </c>
      <c r="AK2615" s="1" t="s">
        <v>71</v>
      </c>
      <c r="AM2615" s="1" t="s">
        <v>71</v>
      </c>
      <c r="AN2615" s="1" t="s">
        <v>71</v>
      </c>
      <c r="AS2615" s="1" t="s">
        <v>71</v>
      </c>
      <c r="AX2615" s="1" t="s">
        <v>71</v>
      </c>
      <c r="AY2615" s="1" t="s">
        <v>59</v>
      </c>
      <c r="AZ2615" s="1" t="s">
        <v>74</v>
      </c>
      <c r="BH2615" s="1" t="s">
        <v>71</v>
      </c>
    </row>
    <row r="2616" customFormat="false" ht="15" hidden="false" customHeight="false" outlineLevel="0" collapsed="false">
      <c r="A2616" s="1" t="s">
        <v>8822</v>
      </c>
      <c r="B2616" s="1" t="s">
        <v>8823</v>
      </c>
      <c r="C2616" s="1" t="s">
        <v>1158</v>
      </c>
      <c r="D2616" s="1" t="s">
        <v>4456</v>
      </c>
      <c r="E2616" s="1" t="s">
        <v>82</v>
      </c>
      <c r="F2616" s="1" t="s">
        <v>391</v>
      </c>
      <c r="G2616" s="1" t="s">
        <v>213</v>
      </c>
      <c r="H2616" s="1" t="s">
        <v>477</v>
      </c>
      <c r="K2616" s="1" t="s">
        <v>478</v>
      </c>
      <c r="L2616" s="1" t="s">
        <v>479</v>
      </c>
      <c r="M2616" s="1" t="s">
        <v>496</v>
      </c>
      <c r="N2616" s="1" t="s">
        <v>4024</v>
      </c>
      <c r="O2616" s="1" t="s">
        <v>4025</v>
      </c>
      <c r="P2616" s="1" t="s">
        <v>4026</v>
      </c>
      <c r="U2616" s="1" t="s">
        <v>8822</v>
      </c>
      <c r="Z2616" s="1" t="s">
        <v>71</v>
      </c>
      <c r="AE2616" s="1" t="s">
        <v>8824</v>
      </c>
      <c r="AF2616" s="1" t="s">
        <v>59</v>
      </c>
      <c r="AH2616" s="1" t="s">
        <v>73</v>
      </c>
      <c r="AK2616" s="1" t="s">
        <v>71</v>
      </c>
      <c r="AS2616" s="1" t="s">
        <v>71</v>
      </c>
    </row>
    <row r="2617" customFormat="false" ht="15" hidden="false" customHeight="false" outlineLevel="0" collapsed="false">
      <c r="A2617" s="1" t="s">
        <v>8825</v>
      </c>
      <c r="B2617" s="1" t="s">
        <v>8826</v>
      </c>
      <c r="C2617" s="1" t="s">
        <v>1158</v>
      </c>
      <c r="D2617" s="1" t="s">
        <v>4456</v>
      </c>
      <c r="E2617" s="1" t="s">
        <v>82</v>
      </c>
      <c r="F2617" s="1" t="s">
        <v>391</v>
      </c>
      <c r="G2617" s="1" t="s">
        <v>213</v>
      </c>
      <c r="H2617" s="1" t="s">
        <v>477</v>
      </c>
      <c r="K2617" s="1" t="s">
        <v>478</v>
      </c>
      <c r="L2617" s="1" t="s">
        <v>479</v>
      </c>
      <c r="M2617" s="1" t="s">
        <v>496</v>
      </c>
      <c r="N2617" s="1" t="s">
        <v>518</v>
      </c>
      <c r="O2617" s="1" t="s">
        <v>519</v>
      </c>
      <c r="P2617" s="1" t="s">
        <v>4181</v>
      </c>
      <c r="U2617" s="1" t="s">
        <v>8825</v>
      </c>
      <c r="Z2617" s="1" t="s">
        <v>71</v>
      </c>
      <c r="AE2617" s="1" t="s">
        <v>8824</v>
      </c>
      <c r="AF2617" s="1" t="s">
        <v>59</v>
      </c>
      <c r="AH2617" s="1" t="s">
        <v>73</v>
      </c>
      <c r="AK2617" s="1" t="s">
        <v>71</v>
      </c>
      <c r="AS2617" s="1" t="s">
        <v>71</v>
      </c>
    </row>
    <row r="2618" customFormat="false" ht="15" hidden="false" customHeight="false" outlineLevel="0" collapsed="false">
      <c r="A2618" s="1" t="s">
        <v>8827</v>
      </c>
      <c r="B2618" s="1" t="s">
        <v>8828</v>
      </c>
      <c r="C2618" s="1" t="s">
        <v>2152</v>
      </c>
      <c r="D2618" s="1" t="s">
        <v>7486</v>
      </c>
      <c r="E2618" s="1" t="s">
        <v>61</v>
      </c>
      <c r="F2618" s="1" t="s">
        <v>101</v>
      </c>
      <c r="G2618" s="1" t="s">
        <v>108</v>
      </c>
      <c r="H2618" s="1" t="s">
        <v>1495</v>
      </c>
      <c r="K2618" s="1" t="s">
        <v>657</v>
      </c>
      <c r="L2618" s="1" t="s">
        <v>8829</v>
      </c>
      <c r="M2618" s="1" t="s">
        <v>8637</v>
      </c>
      <c r="N2618" s="1" t="s">
        <v>5709</v>
      </c>
      <c r="O2618" s="1" t="s">
        <v>5710</v>
      </c>
      <c r="P2618" s="1" t="s">
        <v>5711</v>
      </c>
      <c r="U2618" s="1" t="s">
        <v>8827</v>
      </c>
      <c r="Z2618" s="1" t="s">
        <v>71</v>
      </c>
      <c r="AE2618" s="1" t="s">
        <v>8830</v>
      </c>
      <c r="AH2618" s="1" t="s">
        <v>73</v>
      </c>
      <c r="AK2618" s="1" t="s">
        <v>71</v>
      </c>
      <c r="AM2618" s="1" t="s">
        <v>71</v>
      </c>
      <c r="AN2618" s="1" t="s">
        <v>71</v>
      </c>
      <c r="AS2618" s="1" t="s">
        <v>71</v>
      </c>
      <c r="AX2618" s="1" t="s">
        <v>71</v>
      </c>
      <c r="AY2618" s="1" t="s">
        <v>59</v>
      </c>
      <c r="AZ2618" s="1" t="s">
        <v>74</v>
      </c>
      <c r="BH2618" s="1" t="s">
        <v>71</v>
      </c>
    </row>
    <row r="2619" customFormat="false" ht="15" hidden="false" customHeight="false" outlineLevel="0" collapsed="false">
      <c r="A2619" s="1" t="s">
        <v>8831</v>
      </c>
      <c r="B2619" s="1" t="s">
        <v>8832</v>
      </c>
      <c r="C2619" s="1" t="s">
        <v>1988</v>
      </c>
      <c r="D2619" s="1" t="s">
        <v>7024</v>
      </c>
      <c r="E2619" s="1" t="s">
        <v>61</v>
      </c>
      <c r="F2619" s="1" t="s">
        <v>101</v>
      </c>
      <c r="G2619" s="1" t="s">
        <v>275</v>
      </c>
      <c r="H2619" s="1" t="s">
        <v>276</v>
      </c>
      <c r="K2619" s="1" t="s">
        <v>142</v>
      </c>
      <c r="L2619" s="1" t="s">
        <v>295</v>
      </c>
      <c r="M2619" s="1" t="s">
        <v>5580</v>
      </c>
      <c r="N2619" s="1" t="s">
        <v>1470</v>
      </c>
      <c r="O2619" s="1" t="s">
        <v>1471</v>
      </c>
      <c r="P2619" s="1" t="s">
        <v>4824</v>
      </c>
      <c r="U2619" s="1" t="s">
        <v>8831</v>
      </c>
      <c r="Z2619" s="1" t="s">
        <v>71</v>
      </c>
      <c r="AE2619" s="1" t="s">
        <v>8833</v>
      </c>
      <c r="AH2619" s="1" t="s">
        <v>73</v>
      </c>
      <c r="AK2619" s="1" t="s">
        <v>71</v>
      </c>
      <c r="AM2619" s="1" t="s">
        <v>71</v>
      </c>
      <c r="AN2619" s="1" t="s">
        <v>71</v>
      </c>
      <c r="AS2619" s="1" t="s">
        <v>71</v>
      </c>
      <c r="AX2619" s="1" t="s">
        <v>71</v>
      </c>
      <c r="AY2619" s="1" t="s">
        <v>59</v>
      </c>
      <c r="AZ2619" s="1" t="s">
        <v>74</v>
      </c>
      <c r="BH2619" s="1" t="s">
        <v>71</v>
      </c>
    </row>
    <row r="2620" customFormat="false" ht="15" hidden="false" customHeight="false" outlineLevel="0" collapsed="false">
      <c r="A2620" s="1" t="s">
        <v>8834</v>
      </c>
      <c r="B2620" s="1" t="s">
        <v>8835</v>
      </c>
      <c r="C2620" s="1" t="s">
        <v>8678</v>
      </c>
      <c r="D2620" s="1" t="s">
        <v>8679</v>
      </c>
      <c r="E2620" s="1" t="s">
        <v>82</v>
      </c>
      <c r="F2620" s="1" t="s">
        <v>391</v>
      </c>
      <c r="G2620" s="1" t="s">
        <v>97</v>
      </c>
      <c r="H2620" s="1" t="s">
        <v>406</v>
      </c>
      <c r="K2620" s="1" t="s">
        <v>65</v>
      </c>
      <c r="L2620" s="1" t="s">
        <v>860</v>
      </c>
      <c r="M2620" s="1" t="s">
        <v>496</v>
      </c>
      <c r="N2620" s="1" t="s">
        <v>2761</v>
      </c>
      <c r="O2620" s="1" t="s">
        <v>400</v>
      </c>
      <c r="P2620" s="1" t="s">
        <v>8836</v>
      </c>
      <c r="U2620" s="1" t="s">
        <v>8834</v>
      </c>
      <c r="Z2620" s="1" t="s">
        <v>71</v>
      </c>
      <c r="AE2620" s="1" t="s">
        <v>8833</v>
      </c>
      <c r="AF2620" s="1" t="s">
        <v>59</v>
      </c>
      <c r="AH2620" s="1" t="s">
        <v>73</v>
      </c>
      <c r="AK2620" s="1" t="s">
        <v>71</v>
      </c>
      <c r="AS2620" s="1" t="s">
        <v>71</v>
      </c>
    </row>
    <row r="2621" customFormat="false" ht="15" hidden="false" customHeight="false" outlineLevel="0" collapsed="false">
      <c r="A2621" s="1" t="s">
        <v>8837</v>
      </c>
      <c r="B2621" s="1" t="s">
        <v>8838</v>
      </c>
      <c r="C2621" s="1" t="s">
        <v>2595</v>
      </c>
      <c r="D2621" s="1" t="s">
        <v>8839</v>
      </c>
      <c r="E2621" s="1" t="s">
        <v>88</v>
      </c>
      <c r="F2621" s="1" t="s">
        <v>432</v>
      </c>
      <c r="G2621" s="1" t="s">
        <v>229</v>
      </c>
      <c r="H2621" s="1" t="s">
        <v>495</v>
      </c>
      <c r="K2621" s="1" t="s">
        <v>501</v>
      </c>
      <c r="L2621" s="1" t="s">
        <v>502</v>
      </c>
      <c r="M2621" s="1" t="s">
        <v>496</v>
      </c>
      <c r="N2621" s="1" t="s">
        <v>1401</v>
      </c>
      <c r="O2621" s="1" t="s">
        <v>1402</v>
      </c>
      <c r="P2621" s="1" t="s">
        <v>8840</v>
      </c>
      <c r="U2621" s="1" t="s">
        <v>8837</v>
      </c>
      <c r="Z2621" s="1" t="s">
        <v>71</v>
      </c>
      <c r="AE2621" s="1" t="s">
        <v>8841</v>
      </c>
      <c r="AH2621" s="1" t="s">
        <v>73</v>
      </c>
      <c r="AK2621" s="1" t="s">
        <v>71</v>
      </c>
      <c r="AS2621" s="1" t="s">
        <v>71</v>
      </c>
    </row>
    <row r="2622" customFormat="false" ht="15" hidden="false" customHeight="false" outlineLevel="0" collapsed="false">
      <c r="A2622" s="1" t="s">
        <v>8842</v>
      </c>
      <c r="B2622" s="1" t="s">
        <v>8843</v>
      </c>
      <c r="C2622" s="1" t="s">
        <v>2603</v>
      </c>
      <c r="D2622" s="1" t="s">
        <v>8844</v>
      </c>
      <c r="E2622" s="1" t="s">
        <v>82</v>
      </c>
      <c r="F2622" s="1" t="s">
        <v>391</v>
      </c>
      <c r="G2622" s="1" t="s">
        <v>443</v>
      </c>
      <c r="H2622" s="1" t="s">
        <v>444</v>
      </c>
      <c r="K2622" s="1" t="s">
        <v>618</v>
      </c>
      <c r="L2622" s="1" t="s">
        <v>619</v>
      </c>
      <c r="M2622" s="1" t="s">
        <v>496</v>
      </c>
      <c r="N2622" s="1" t="s">
        <v>8845</v>
      </c>
      <c r="O2622" s="1" t="s">
        <v>8846</v>
      </c>
      <c r="P2622" s="1" t="s">
        <v>8847</v>
      </c>
      <c r="U2622" s="1" t="s">
        <v>8842</v>
      </c>
      <c r="Z2622" s="1" t="s">
        <v>71</v>
      </c>
      <c r="AE2622" s="1" t="s">
        <v>8848</v>
      </c>
      <c r="AH2622" s="1" t="s">
        <v>73</v>
      </c>
      <c r="AK2622" s="1" t="s">
        <v>71</v>
      </c>
      <c r="AS2622" s="1" t="s">
        <v>71</v>
      </c>
    </row>
    <row r="2623" customFormat="false" ht="15" hidden="false" customHeight="false" outlineLevel="0" collapsed="false">
      <c r="A2623" s="1" t="s">
        <v>8849</v>
      </c>
      <c r="B2623" s="1" t="s">
        <v>8850</v>
      </c>
      <c r="C2623" s="1" t="s">
        <v>2661</v>
      </c>
      <c r="D2623" s="1" t="s">
        <v>6807</v>
      </c>
      <c r="E2623" s="1" t="s">
        <v>61</v>
      </c>
      <c r="F2623" s="1" t="s">
        <v>101</v>
      </c>
      <c r="G2623" s="1" t="s">
        <v>275</v>
      </c>
      <c r="H2623" s="1" t="s">
        <v>276</v>
      </c>
      <c r="K2623" s="1" t="s">
        <v>142</v>
      </c>
      <c r="L2623" s="1" t="s">
        <v>295</v>
      </c>
      <c r="M2623" s="1" t="s">
        <v>296</v>
      </c>
      <c r="N2623" s="1" t="s">
        <v>1470</v>
      </c>
      <c r="O2623" s="1" t="s">
        <v>1471</v>
      </c>
      <c r="P2623" s="1" t="s">
        <v>4824</v>
      </c>
      <c r="U2623" s="1" t="s">
        <v>8849</v>
      </c>
      <c r="Z2623" s="1" t="s">
        <v>71</v>
      </c>
      <c r="AE2623" s="1" t="s">
        <v>8848</v>
      </c>
      <c r="AH2623" s="1" t="s">
        <v>73</v>
      </c>
      <c r="AK2623" s="1" t="s">
        <v>71</v>
      </c>
      <c r="AM2623" s="1" t="s">
        <v>71</v>
      </c>
      <c r="AN2623" s="1" t="s">
        <v>71</v>
      </c>
      <c r="AS2623" s="1" t="s">
        <v>71</v>
      </c>
      <c r="AX2623" s="1" t="s">
        <v>71</v>
      </c>
      <c r="AY2623" s="1" t="s">
        <v>59</v>
      </c>
      <c r="AZ2623" s="1" t="s">
        <v>74</v>
      </c>
      <c r="BH2623" s="1" t="s">
        <v>71</v>
      </c>
    </row>
    <row r="2624" customFormat="false" ht="15" hidden="false" customHeight="false" outlineLevel="0" collapsed="false">
      <c r="A2624" s="1" t="s">
        <v>8851</v>
      </c>
      <c r="B2624" s="1" t="s">
        <v>8852</v>
      </c>
      <c r="C2624" s="1" t="s">
        <v>5845</v>
      </c>
      <c r="D2624" s="1" t="s">
        <v>5846</v>
      </c>
      <c r="E2624" s="1" t="s">
        <v>88</v>
      </c>
      <c r="F2624" s="1" t="s">
        <v>432</v>
      </c>
      <c r="G2624" s="1" t="s">
        <v>433</v>
      </c>
      <c r="H2624" s="1" t="s">
        <v>434</v>
      </c>
      <c r="K2624" s="1" t="s">
        <v>144</v>
      </c>
      <c r="L2624" s="1" t="s">
        <v>7852</v>
      </c>
      <c r="M2624" s="1" t="s">
        <v>496</v>
      </c>
      <c r="N2624" s="1" t="s">
        <v>8853</v>
      </c>
      <c r="O2624" s="1" t="s">
        <v>447</v>
      </c>
      <c r="P2624" s="1" t="s">
        <v>8854</v>
      </c>
      <c r="U2624" s="1" t="s">
        <v>8851</v>
      </c>
      <c r="Z2624" s="1" t="s">
        <v>71</v>
      </c>
      <c r="AE2624" s="1" t="s">
        <v>8855</v>
      </c>
      <c r="AH2624" s="1" t="s">
        <v>73</v>
      </c>
      <c r="AK2624" s="1" t="s">
        <v>71</v>
      </c>
      <c r="AS2624" s="1" t="s">
        <v>71</v>
      </c>
    </row>
    <row r="2625" customFormat="false" ht="15" hidden="false" customHeight="false" outlineLevel="0" collapsed="false">
      <c r="A2625" s="1" t="s">
        <v>8856</v>
      </c>
      <c r="B2625" s="1" t="s">
        <v>8857</v>
      </c>
      <c r="C2625" s="1" t="s">
        <v>1973</v>
      </c>
      <c r="D2625" s="1" t="s">
        <v>8858</v>
      </c>
      <c r="E2625" s="1" t="s">
        <v>82</v>
      </c>
      <c r="F2625" s="1" t="s">
        <v>391</v>
      </c>
      <c r="G2625" s="1" t="s">
        <v>213</v>
      </c>
      <c r="H2625" s="1" t="s">
        <v>477</v>
      </c>
      <c r="K2625" s="1" t="s">
        <v>478</v>
      </c>
      <c r="L2625" s="1" t="s">
        <v>479</v>
      </c>
      <c r="M2625" s="1" t="s">
        <v>496</v>
      </c>
      <c r="N2625" s="1" t="s">
        <v>4722</v>
      </c>
      <c r="O2625" s="1" t="s">
        <v>4723</v>
      </c>
      <c r="P2625" s="1" t="s">
        <v>4724</v>
      </c>
      <c r="U2625" s="1" t="s">
        <v>8856</v>
      </c>
      <c r="Z2625" s="1" t="s">
        <v>71</v>
      </c>
      <c r="AE2625" s="1" t="s">
        <v>8859</v>
      </c>
      <c r="AF2625" s="1" t="s">
        <v>59</v>
      </c>
      <c r="AH2625" s="1" t="s">
        <v>73</v>
      </c>
      <c r="AK2625" s="1" t="s">
        <v>71</v>
      </c>
      <c r="AS2625" s="1" t="s">
        <v>71</v>
      </c>
    </row>
    <row r="2626" customFormat="false" ht="15" hidden="false" customHeight="false" outlineLevel="0" collapsed="false">
      <c r="A2626" s="1" t="s">
        <v>8860</v>
      </c>
      <c r="B2626" s="1" t="s">
        <v>8861</v>
      </c>
      <c r="C2626" s="1" t="s">
        <v>222</v>
      </c>
      <c r="D2626" s="1" t="s">
        <v>223</v>
      </c>
      <c r="E2626" s="1" t="s">
        <v>61</v>
      </c>
      <c r="F2626" s="1" t="s">
        <v>101</v>
      </c>
      <c r="G2626" s="1" t="s">
        <v>93</v>
      </c>
      <c r="H2626" s="1" t="s">
        <v>64</v>
      </c>
      <c r="K2626" s="1" t="s">
        <v>150</v>
      </c>
      <c r="L2626" s="1" t="s">
        <v>4630</v>
      </c>
      <c r="M2626" s="1" t="s">
        <v>310</v>
      </c>
      <c r="N2626" s="1" t="s">
        <v>203</v>
      </c>
      <c r="O2626" s="1" t="s">
        <v>204</v>
      </c>
      <c r="P2626" s="1" t="s">
        <v>3536</v>
      </c>
      <c r="U2626" s="1" t="s">
        <v>8860</v>
      </c>
      <c r="Z2626" s="1" t="s">
        <v>71</v>
      </c>
      <c r="AE2626" s="1" t="s">
        <v>8862</v>
      </c>
      <c r="AH2626" s="1" t="s">
        <v>73</v>
      </c>
      <c r="AK2626" s="1" t="s">
        <v>71</v>
      </c>
      <c r="AM2626" s="1" t="s">
        <v>71</v>
      </c>
      <c r="AN2626" s="1" t="s">
        <v>71</v>
      </c>
      <c r="AS2626" s="1" t="s">
        <v>71</v>
      </c>
      <c r="AX2626" s="1" t="s">
        <v>71</v>
      </c>
      <c r="AY2626" s="1" t="s">
        <v>59</v>
      </c>
      <c r="AZ2626" s="1" t="s">
        <v>74</v>
      </c>
      <c r="BH2626" s="1" t="s">
        <v>71</v>
      </c>
    </row>
    <row r="2627" customFormat="false" ht="15" hidden="false" customHeight="false" outlineLevel="0" collapsed="false">
      <c r="A2627" s="1" t="s">
        <v>8863</v>
      </c>
      <c r="B2627" s="1" t="s">
        <v>8864</v>
      </c>
      <c r="C2627" s="1" t="s">
        <v>2617</v>
      </c>
      <c r="D2627" s="1" t="s">
        <v>6807</v>
      </c>
      <c r="E2627" s="1" t="s">
        <v>61</v>
      </c>
      <c r="F2627" s="1" t="s">
        <v>101</v>
      </c>
      <c r="G2627" s="1" t="s">
        <v>275</v>
      </c>
      <c r="H2627" s="1" t="s">
        <v>276</v>
      </c>
      <c r="K2627" s="1" t="s">
        <v>1479</v>
      </c>
      <c r="L2627" s="1" t="s">
        <v>1480</v>
      </c>
      <c r="M2627" s="1" t="s">
        <v>296</v>
      </c>
      <c r="N2627" s="1" t="s">
        <v>1365</v>
      </c>
      <c r="O2627" s="1" t="s">
        <v>1366</v>
      </c>
      <c r="P2627" s="1" t="s">
        <v>4820</v>
      </c>
      <c r="U2627" s="1" t="s">
        <v>8863</v>
      </c>
      <c r="Z2627" s="1" t="s">
        <v>71</v>
      </c>
      <c r="AE2627" s="1" t="s">
        <v>8862</v>
      </c>
      <c r="AH2627" s="1" t="s">
        <v>73</v>
      </c>
      <c r="AK2627" s="1" t="s">
        <v>71</v>
      </c>
      <c r="AM2627" s="1" t="s">
        <v>71</v>
      </c>
      <c r="AN2627" s="1" t="s">
        <v>71</v>
      </c>
      <c r="AS2627" s="1" t="s">
        <v>71</v>
      </c>
      <c r="AX2627" s="1" t="s">
        <v>71</v>
      </c>
      <c r="AY2627" s="1" t="s">
        <v>59</v>
      </c>
      <c r="AZ2627" s="1" t="s">
        <v>74</v>
      </c>
      <c r="BH2627" s="1" t="s">
        <v>71</v>
      </c>
    </row>
    <row r="2628" customFormat="false" ht="15" hidden="false" customHeight="false" outlineLevel="0" collapsed="false">
      <c r="A2628" s="1" t="s">
        <v>8865</v>
      </c>
      <c r="B2628" s="1" t="s">
        <v>8866</v>
      </c>
      <c r="C2628" s="1" t="s">
        <v>8867</v>
      </c>
      <c r="D2628" s="1" t="s">
        <v>8868</v>
      </c>
      <c r="E2628" s="1" t="s">
        <v>61</v>
      </c>
      <c r="F2628" s="1" t="s">
        <v>101</v>
      </c>
      <c r="G2628" s="1" t="s">
        <v>93</v>
      </c>
      <c r="H2628" s="1" t="s">
        <v>64</v>
      </c>
      <c r="K2628" s="1" t="s">
        <v>4298</v>
      </c>
      <c r="L2628" s="1" t="s">
        <v>4299</v>
      </c>
      <c r="M2628" s="1" t="s">
        <v>104</v>
      </c>
      <c r="N2628" s="1" t="s">
        <v>105</v>
      </c>
      <c r="O2628" s="1" t="s">
        <v>106</v>
      </c>
      <c r="P2628" s="1" t="s">
        <v>3539</v>
      </c>
      <c r="U2628" s="1" t="s">
        <v>8865</v>
      </c>
      <c r="Z2628" s="1" t="s">
        <v>71</v>
      </c>
      <c r="AE2628" s="1" t="s">
        <v>8862</v>
      </c>
      <c r="AH2628" s="1" t="s">
        <v>73</v>
      </c>
      <c r="AK2628" s="1" t="s">
        <v>71</v>
      </c>
      <c r="AM2628" s="1" t="s">
        <v>71</v>
      </c>
      <c r="AN2628" s="1" t="s">
        <v>71</v>
      </c>
      <c r="AS2628" s="1" t="s">
        <v>71</v>
      </c>
      <c r="AX2628" s="1" t="s">
        <v>71</v>
      </c>
      <c r="AY2628" s="1" t="s">
        <v>59</v>
      </c>
      <c r="AZ2628" s="1" t="s">
        <v>74</v>
      </c>
      <c r="BH2628" s="1" t="s">
        <v>71</v>
      </c>
    </row>
    <row r="2629" customFormat="false" ht="15" hidden="false" customHeight="false" outlineLevel="0" collapsed="false">
      <c r="A2629" s="1" t="s">
        <v>8869</v>
      </c>
      <c r="B2629" s="1" t="s">
        <v>8870</v>
      </c>
      <c r="C2629" s="1" t="s">
        <v>253</v>
      </c>
      <c r="D2629" s="1" t="s">
        <v>254</v>
      </c>
      <c r="E2629" s="1" t="s">
        <v>65</v>
      </c>
      <c r="F2629" s="1" t="s">
        <v>119</v>
      </c>
      <c r="G2629" s="1" t="s">
        <v>88</v>
      </c>
      <c r="H2629" s="1" t="s">
        <v>255</v>
      </c>
      <c r="K2629" s="1" t="s">
        <v>215</v>
      </c>
      <c r="L2629" s="1" t="s">
        <v>5567</v>
      </c>
      <c r="M2629" s="1" t="s">
        <v>296</v>
      </c>
      <c r="N2629" s="1" t="s">
        <v>259</v>
      </c>
      <c r="O2629" s="1" t="s">
        <v>260</v>
      </c>
      <c r="P2629" s="1" t="s">
        <v>3768</v>
      </c>
      <c r="U2629" s="1" t="s">
        <v>8869</v>
      </c>
      <c r="Z2629" s="1" t="s">
        <v>71</v>
      </c>
      <c r="AE2629" s="1" t="s">
        <v>8871</v>
      </c>
      <c r="AH2629" s="1" t="s">
        <v>73</v>
      </c>
      <c r="AK2629" s="1" t="s">
        <v>71</v>
      </c>
      <c r="AM2629" s="1" t="s">
        <v>71</v>
      </c>
      <c r="AN2629" s="1" t="s">
        <v>71</v>
      </c>
      <c r="AS2629" s="1" t="s">
        <v>71</v>
      </c>
      <c r="AX2629" s="1" t="s">
        <v>71</v>
      </c>
      <c r="AY2629" s="1" t="s">
        <v>59</v>
      </c>
      <c r="AZ2629" s="1" t="s">
        <v>74</v>
      </c>
      <c r="BH2629" s="1" t="s">
        <v>71</v>
      </c>
    </row>
    <row r="2630" customFormat="false" ht="15" hidden="false" customHeight="false" outlineLevel="0" collapsed="false">
      <c r="A2630" s="1" t="s">
        <v>8872</v>
      </c>
      <c r="B2630" s="1" t="s">
        <v>8873</v>
      </c>
      <c r="C2630" s="1" t="s">
        <v>1426</v>
      </c>
      <c r="D2630" s="1" t="s">
        <v>5143</v>
      </c>
      <c r="E2630" s="1" t="s">
        <v>82</v>
      </c>
      <c r="F2630" s="1" t="s">
        <v>391</v>
      </c>
      <c r="G2630" s="1" t="s">
        <v>97</v>
      </c>
      <c r="H2630" s="1" t="s">
        <v>406</v>
      </c>
      <c r="K2630" s="1" t="s">
        <v>65</v>
      </c>
      <c r="L2630" s="1" t="s">
        <v>860</v>
      </c>
      <c r="M2630" s="1" t="s">
        <v>496</v>
      </c>
      <c r="N2630" s="1" t="s">
        <v>8874</v>
      </c>
      <c r="O2630" s="1" t="s">
        <v>8875</v>
      </c>
      <c r="P2630" s="1" t="s">
        <v>8876</v>
      </c>
      <c r="U2630" s="1" t="s">
        <v>8872</v>
      </c>
      <c r="Z2630" s="1" t="s">
        <v>71</v>
      </c>
      <c r="AE2630" s="1" t="s">
        <v>8877</v>
      </c>
      <c r="AF2630" s="1" t="s">
        <v>59</v>
      </c>
      <c r="AH2630" s="1" t="s">
        <v>73</v>
      </c>
      <c r="AK2630" s="1" t="s">
        <v>71</v>
      </c>
      <c r="AS2630" s="1" t="s">
        <v>71</v>
      </c>
    </row>
    <row r="2631" customFormat="false" ht="15" hidden="false" customHeight="false" outlineLevel="0" collapsed="false">
      <c r="A2631" s="1" t="s">
        <v>8878</v>
      </c>
      <c r="B2631" s="1" t="s">
        <v>8879</v>
      </c>
      <c r="C2631" s="1" t="s">
        <v>1426</v>
      </c>
      <c r="D2631" s="1" t="s">
        <v>5143</v>
      </c>
      <c r="E2631" s="1" t="s">
        <v>82</v>
      </c>
      <c r="F2631" s="1" t="s">
        <v>391</v>
      </c>
      <c r="G2631" s="1" t="s">
        <v>97</v>
      </c>
      <c r="H2631" s="1" t="s">
        <v>406</v>
      </c>
      <c r="K2631" s="1" t="s">
        <v>65</v>
      </c>
      <c r="L2631" s="1" t="s">
        <v>860</v>
      </c>
      <c r="M2631" s="1" t="s">
        <v>496</v>
      </c>
      <c r="N2631" s="1" t="s">
        <v>1881</v>
      </c>
      <c r="O2631" s="1" t="s">
        <v>1882</v>
      </c>
      <c r="P2631" s="1" t="s">
        <v>5314</v>
      </c>
      <c r="U2631" s="1" t="s">
        <v>8878</v>
      </c>
      <c r="Z2631" s="1" t="s">
        <v>71</v>
      </c>
      <c r="AE2631" s="1" t="s">
        <v>8877</v>
      </c>
      <c r="AF2631" s="1" t="s">
        <v>59</v>
      </c>
      <c r="AH2631" s="1" t="s">
        <v>73</v>
      </c>
      <c r="AK2631" s="1" t="s">
        <v>71</v>
      </c>
      <c r="AS2631" s="1" t="s">
        <v>71</v>
      </c>
    </row>
    <row r="2632" customFormat="false" ht="15" hidden="false" customHeight="false" outlineLevel="0" collapsed="false">
      <c r="A2632" s="1" t="s">
        <v>8880</v>
      </c>
      <c r="B2632" s="1" t="s">
        <v>8881</v>
      </c>
      <c r="C2632" s="1" t="s">
        <v>1407</v>
      </c>
      <c r="D2632" s="1" t="s">
        <v>5108</v>
      </c>
      <c r="E2632" s="1" t="s">
        <v>61</v>
      </c>
      <c r="F2632" s="1" t="s">
        <v>101</v>
      </c>
      <c r="G2632" s="1" t="s">
        <v>148</v>
      </c>
      <c r="H2632" s="1" t="s">
        <v>231</v>
      </c>
      <c r="K2632" s="1" t="s">
        <v>1419</v>
      </c>
      <c r="L2632" s="1" t="s">
        <v>1420</v>
      </c>
      <c r="M2632" s="1" t="s">
        <v>310</v>
      </c>
      <c r="N2632" s="1" t="s">
        <v>243</v>
      </c>
      <c r="O2632" s="1" t="s">
        <v>244</v>
      </c>
      <c r="P2632" s="1" t="s">
        <v>3503</v>
      </c>
      <c r="U2632" s="1" t="s">
        <v>8880</v>
      </c>
      <c r="Z2632" s="1" t="s">
        <v>71</v>
      </c>
      <c r="AE2632" s="1" t="s">
        <v>8882</v>
      </c>
      <c r="AH2632" s="1" t="s">
        <v>73</v>
      </c>
      <c r="AK2632" s="1" t="s">
        <v>71</v>
      </c>
      <c r="AM2632" s="1" t="s">
        <v>71</v>
      </c>
      <c r="AN2632" s="1" t="s">
        <v>71</v>
      </c>
      <c r="AS2632" s="1" t="s">
        <v>71</v>
      </c>
      <c r="AX2632" s="1" t="s">
        <v>71</v>
      </c>
      <c r="AY2632" s="1" t="s">
        <v>59</v>
      </c>
      <c r="AZ2632" s="1" t="s">
        <v>74</v>
      </c>
      <c r="BH2632" s="1" t="s">
        <v>71</v>
      </c>
    </row>
    <row r="2633" customFormat="false" ht="15" hidden="false" customHeight="false" outlineLevel="0" collapsed="false">
      <c r="A2633" s="1" t="s">
        <v>8883</v>
      </c>
      <c r="B2633" s="1" t="s">
        <v>8884</v>
      </c>
      <c r="C2633" s="1" t="s">
        <v>1407</v>
      </c>
      <c r="D2633" s="1" t="s">
        <v>5108</v>
      </c>
      <c r="E2633" s="1" t="s">
        <v>65</v>
      </c>
      <c r="F2633" s="1" t="s">
        <v>119</v>
      </c>
      <c r="G2633" s="1" t="s">
        <v>88</v>
      </c>
      <c r="H2633" s="1" t="s">
        <v>255</v>
      </c>
      <c r="K2633" s="1" t="s">
        <v>215</v>
      </c>
      <c r="L2633" s="1" t="s">
        <v>5567</v>
      </c>
      <c r="M2633" s="1" t="s">
        <v>242</v>
      </c>
      <c r="N2633" s="1" t="s">
        <v>259</v>
      </c>
      <c r="O2633" s="1" t="s">
        <v>260</v>
      </c>
      <c r="P2633" s="1" t="s">
        <v>3768</v>
      </c>
      <c r="U2633" s="1" t="s">
        <v>8883</v>
      </c>
      <c r="Z2633" s="1" t="s">
        <v>71</v>
      </c>
      <c r="AE2633" s="1" t="s">
        <v>8882</v>
      </c>
      <c r="AH2633" s="1" t="s">
        <v>73</v>
      </c>
      <c r="AK2633" s="1" t="s">
        <v>71</v>
      </c>
      <c r="AM2633" s="1" t="s">
        <v>71</v>
      </c>
      <c r="AN2633" s="1" t="s">
        <v>71</v>
      </c>
      <c r="AS2633" s="1" t="s">
        <v>71</v>
      </c>
      <c r="AX2633" s="1" t="s">
        <v>71</v>
      </c>
      <c r="AY2633" s="1" t="s">
        <v>59</v>
      </c>
      <c r="AZ2633" s="1" t="s">
        <v>74</v>
      </c>
      <c r="BH2633" s="1" t="s">
        <v>71</v>
      </c>
    </row>
    <row r="2634" customFormat="false" ht="15" hidden="false" customHeight="false" outlineLevel="0" collapsed="false">
      <c r="A2634" s="1" t="s">
        <v>8885</v>
      </c>
      <c r="B2634" s="1" t="s">
        <v>8886</v>
      </c>
      <c r="C2634" s="1" t="s">
        <v>1407</v>
      </c>
      <c r="D2634" s="1" t="s">
        <v>5108</v>
      </c>
      <c r="E2634" s="1" t="s">
        <v>61</v>
      </c>
      <c r="F2634" s="1" t="s">
        <v>101</v>
      </c>
      <c r="G2634" s="1" t="s">
        <v>148</v>
      </c>
      <c r="H2634" s="1" t="s">
        <v>231</v>
      </c>
      <c r="K2634" s="1" t="s">
        <v>195</v>
      </c>
      <c r="L2634" s="1" t="s">
        <v>3502</v>
      </c>
      <c r="M2634" s="1" t="s">
        <v>8887</v>
      </c>
      <c r="N2634" s="1" t="s">
        <v>243</v>
      </c>
      <c r="O2634" s="1" t="s">
        <v>244</v>
      </c>
      <c r="P2634" s="1" t="s">
        <v>3503</v>
      </c>
      <c r="U2634" s="1" t="s">
        <v>8885</v>
      </c>
      <c r="Z2634" s="1" t="s">
        <v>71</v>
      </c>
      <c r="AE2634" s="1" t="s">
        <v>8882</v>
      </c>
      <c r="AH2634" s="1" t="s">
        <v>73</v>
      </c>
      <c r="AK2634" s="1" t="s">
        <v>71</v>
      </c>
      <c r="AM2634" s="1" t="s">
        <v>71</v>
      </c>
      <c r="AN2634" s="1" t="s">
        <v>71</v>
      </c>
      <c r="AS2634" s="1" t="s">
        <v>71</v>
      </c>
      <c r="AX2634" s="1" t="s">
        <v>71</v>
      </c>
      <c r="AY2634" s="1" t="s">
        <v>59</v>
      </c>
      <c r="AZ2634" s="1" t="s">
        <v>74</v>
      </c>
      <c r="BH2634" s="1" t="s">
        <v>71</v>
      </c>
    </row>
    <row r="2635" customFormat="false" ht="15" hidden="false" customHeight="false" outlineLevel="0" collapsed="false">
      <c r="A2635" s="1" t="s">
        <v>8888</v>
      </c>
      <c r="B2635" s="1" t="s">
        <v>8889</v>
      </c>
      <c r="C2635" s="1" t="s">
        <v>1158</v>
      </c>
      <c r="D2635" s="1" t="s">
        <v>4456</v>
      </c>
      <c r="E2635" s="1" t="s">
        <v>82</v>
      </c>
      <c r="F2635" s="1" t="s">
        <v>391</v>
      </c>
      <c r="G2635" s="1" t="s">
        <v>213</v>
      </c>
      <c r="H2635" s="1" t="s">
        <v>477</v>
      </c>
      <c r="K2635" s="1" t="s">
        <v>478</v>
      </c>
      <c r="L2635" s="1" t="s">
        <v>479</v>
      </c>
      <c r="M2635" s="1" t="s">
        <v>496</v>
      </c>
      <c r="N2635" s="1" t="s">
        <v>1072</v>
      </c>
      <c r="O2635" s="1" t="s">
        <v>1073</v>
      </c>
      <c r="P2635" s="1" t="s">
        <v>5801</v>
      </c>
      <c r="U2635" s="1" t="s">
        <v>8888</v>
      </c>
      <c r="Z2635" s="1" t="s">
        <v>71</v>
      </c>
      <c r="AE2635" s="1" t="s">
        <v>8882</v>
      </c>
      <c r="AF2635" s="1" t="s">
        <v>59</v>
      </c>
      <c r="AH2635" s="1" t="s">
        <v>73</v>
      </c>
      <c r="AK2635" s="1" t="s">
        <v>71</v>
      </c>
      <c r="AS2635" s="1" t="s">
        <v>71</v>
      </c>
    </row>
    <row r="2636" customFormat="false" ht="15" hidden="false" customHeight="false" outlineLevel="0" collapsed="false">
      <c r="A2636" s="1" t="s">
        <v>8890</v>
      </c>
      <c r="B2636" s="1" t="s">
        <v>8891</v>
      </c>
      <c r="C2636" s="1" t="s">
        <v>1158</v>
      </c>
      <c r="D2636" s="1" t="s">
        <v>4456</v>
      </c>
      <c r="E2636" s="1" t="s">
        <v>82</v>
      </c>
      <c r="F2636" s="1" t="s">
        <v>391</v>
      </c>
      <c r="G2636" s="1" t="s">
        <v>213</v>
      </c>
      <c r="H2636" s="1" t="s">
        <v>477</v>
      </c>
      <c r="K2636" s="1" t="s">
        <v>478</v>
      </c>
      <c r="L2636" s="1" t="s">
        <v>479</v>
      </c>
      <c r="M2636" s="1" t="s">
        <v>496</v>
      </c>
      <c r="N2636" s="1" t="s">
        <v>1233</v>
      </c>
      <c r="O2636" s="1" t="s">
        <v>447</v>
      </c>
      <c r="P2636" s="1" t="s">
        <v>8892</v>
      </c>
      <c r="U2636" s="1" t="s">
        <v>8890</v>
      </c>
      <c r="Z2636" s="1" t="s">
        <v>71</v>
      </c>
      <c r="AE2636" s="1" t="s">
        <v>8882</v>
      </c>
      <c r="AF2636" s="1" t="s">
        <v>59</v>
      </c>
      <c r="AH2636" s="1" t="s">
        <v>73</v>
      </c>
      <c r="AK2636" s="1" t="s">
        <v>71</v>
      </c>
      <c r="AS2636" s="1" t="s">
        <v>71</v>
      </c>
    </row>
    <row r="2637" customFormat="false" ht="15" hidden="false" customHeight="false" outlineLevel="0" collapsed="false">
      <c r="A2637" s="1" t="s">
        <v>8893</v>
      </c>
      <c r="B2637" s="1" t="s">
        <v>8894</v>
      </c>
      <c r="C2637" s="1" t="s">
        <v>1158</v>
      </c>
      <c r="D2637" s="1" t="s">
        <v>4456</v>
      </c>
      <c r="E2637" s="1" t="s">
        <v>82</v>
      </c>
      <c r="F2637" s="1" t="s">
        <v>391</v>
      </c>
      <c r="G2637" s="1" t="s">
        <v>213</v>
      </c>
      <c r="H2637" s="1" t="s">
        <v>477</v>
      </c>
      <c r="K2637" s="1" t="s">
        <v>478</v>
      </c>
      <c r="L2637" s="1" t="s">
        <v>479</v>
      </c>
      <c r="M2637" s="1" t="s">
        <v>496</v>
      </c>
      <c r="N2637" s="1" t="s">
        <v>740</v>
      </c>
      <c r="O2637" s="1" t="s">
        <v>741</v>
      </c>
      <c r="P2637" s="1" t="s">
        <v>3775</v>
      </c>
      <c r="U2637" s="1" t="s">
        <v>8893</v>
      </c>
      <c r="Z2637" s="1" t="s">
        <v>71</v>
      </c>
      <c r="AE2637" s="1" t="s">
        <v>8895</v>
      </c>
      <c r="AF2637" s="1" t="s">
        <v>59</v>
      </c>
      <c r="AH2637" s="1" t="s">
        <v>73</v>
      </c>
      <c r="AK2637" s="1" t="s">
        <v>71</v>
      </c>
      <c r="AS2637" s="1" t="s">
        <v>71</v>
      </c>
    </row>
    <row r="2638" customFormat="false" ht="15" hidden="false" customHeight="false" outlineLevel="0" collapsed="false">
      <c r="A2638" s="1" t="s">
        <v>8896</v>
      </c>
      <c r="B2638" s="1" t="s">
        <v>8897</v>
      </c>
      <c r="C2638" s="1" t="s">
        <v>1158</v>
      </c>
      <c r="D2638" s="1" t="s">
        <v>4456</v>
      </c>
      <c r="E2638" s="1" t="s">
        <v>82</v>
      </c>
      <c r="F2638" s="1" t="s">
        <v>391</v>
      </c>
      <c r="G2638" s="1" t="s">
        <v>213</v>
      </c>
      <c r="H2638" s="1" t="s">
        <v>477</v>
      </c>
      <c r="K2638" s="1" t="s">
        <v>478</v>
      </c>
      <c r="L2638" s="1" t="s">
        <v>479</v>
      </c>
      <c r="M2638" s="1" t="s">
        <v>496</v>
      </c>
      <c r="N2638" s="1" t="s">
        <v>1124</v>
      </c>
      <c r="O2638" s="1" t="s">
        <v>400</v>
      </c>
      <c r="P2638" s="1" t="s">
        <v>4647</v>
      </c>
      <c r="U2638" s="1" t="s">
        <v>8896</v>
      </c>
      <c r="Z2638" s="1" t="s">
        <v>71</v>
      </c>
      <c r="AE2638" s="1" t="s">
        <v>8895</v>
      </c>
      <c r="AF2638" s="1" t="s">
        <v>59</v>
      </c>
      <c r="AH2638" s="1" t="s">
        <v>73</v>
      </c>
      <c r="AK2638" s="1" t="s">
        <v>71</v>
      </c>
      <c r="AS2638" s="1" t="s">
        <v>71</v>
      </c>
    </row>
    <row r="2639" customFormat="false" ht="15" hidden="false" customHeight="false" outlineLevel="0" collapsed="false">
      <c r="A2639" s="1" t="s">
        <v>8898</v>
      </c>
      <c r="B2639" s="1" t="s">
        <v>8899</v>
      </c>
      <c r="C2639" s="1" t="s">
        <v>1158</v>
      </c>
      <c r="D2639" s="1" t="s">
        <v>4456</v>
      </c>
      <c r="E2639" s="1" t="s">
        <v>82</v>
      </c>
      <c r="F2639" s="1" t="s">
        <v>391</v>
      </c>
      <c r="G2639" s="1" t="s">
        <v>213</v>
      </c>
      <c r="H2639" s="1" t="s">
        <v>477</v>
      </c>
      <c r="K2639" s="1" t="s">
        <v>478</v>
      </c>
      <c r="L2639" s="1" t="s">
        <v>479</v>
      </c>
      <c r="M2639" s="1" t="s">
        <v>496</v>
      </c>
      <c r="N2639" s="1" t="s">
        <v>8900</v>
      </c>
      <c r="O2639" s="1" t="s">
        <v>8901</v>
      </c>
      <c r="P2639" s="1" t="s">
        <v>8902</v>
      </c>
      <c r="U2639" s="1" t="s">
        <v>8898</v>
      </c>
      <c r="Z2639" s="1" t="s">
        <v>71</v>
      </c>
      <c r="AE2639" s="1" t="s">
        <v>8895</v>
      </c>
      <c r="AF2639" s="1" t="s">
        <v>59</v>
      </c>
      <c r="AH2639" s="1" t="s">
        <v>73</v>
      </c>
      <c r="AK2639" s="1" t="s">
        <v>71</v>
      </c>
      <c r="AS2639" s="1" t="s">
        <v>71</v>
      </c>
    </row>
    <row r="2640" customFormat="false" ht="15" hidden="false" customHeight="false" outlineLevel="0" collapsed="false">
      <c r="A2640" s="1" t="s">
        <v>8903</v>
      </c>
      <c r="B2640" s="1" t="s">
        <v>8904</v>
      </c>
      <c r="C2640" s="1" t="s">
        <v>182</v>
      </c>
      <c r="D2640" s="1" t="s">
        <v>239</v>
      </c>
      <c r="E2640" s="1" t="s">
        <v>61</v>
      </c>
      <c r="F2640" s="1" t="s">
        <v>101</v>
      </c>
      <c r="G2640" s="1" t="s">
        <v>177</v>
      </c>
      <c r="H2640" s="1" t="s">
        <v>255</v>
      </c>
      <c r="K2640" s="1" t="s">
        <v>134</v>
      </c>
      <c r="L2640" s="1" t="s">
        <v>268</v>
      </c>
      <c r="M2640" s="1" t="s">
        <v>296</v>
      </c>
      <c r="N2640" s="1" t="s">
        <v>259</v>
      </c>
      <c r="O2640" s="1" t="s">
        <v>260</v>
      </c>
      <c r="P2640" s="1" t="s">
        <v>3768</v>
      </c>
      <c r="U2640" s="1" t="s">
        <v>8903</v>
      </c>
      <c r="Z2640" s="1" t="s">
        <v>71</v>
      </c>
      <c r="AE2640" s="1" t="s">
        <v>8905</v>
      </c>
      <c r="AH2640" s="1" t="s">
        <v>73</v>
      </c>
      <c r="AK2640" s="1" t="s">
        <v>71</v>
      </c>
      <c r="AM2640" s="1" t="s">
        <v>71</v>
      </c>
      <c r="AN2640" s="1" t="s">
        <v>71</v>
      </c>
      <c r="AS2640" s="1" t="s">
        <v>71</v>
      </c>
      <c r="AX2640" s="1" t="s">
        <v>71</v>
      </c>
      <c r="AY2640" s="1" t="s">
        <v>59</v>
      </c>
      <c r="AZ2640" s="1" t="s">
        <v>74</v>
      </c>
      <c r="BH2640" s="1" t="s">
        <v>71</v>
      </c>
    </row>
    <row r="2641" customFormat="false" ht="15" hidden="false" customHeight="false" outlineLevel="0" collapsed="false">
      <c r="A2641" s="1" t="s">
        <v>8906</v>
      </c>
      <c r="B2641" s="1" t="s">
        <v>8907</v>
      </c>
      <c r="C2641" s="1" t="s">
        <v>117</v>
      </c>
      <c r="D2641" s="1" t="s">
        <v>118</v>
      </c>
      <c r="E2641" s="1" t="s">
        <v>61</v>
      </c>
      <c r="F2641" s="1" t="s">
        <v>101</v>
      </c>
      <c r="G2641" s="1" t="s">
        <v>93</v>
      </c>
      <c r="H2641" s="1" t="s">
        <v>64</v>
      </c>
      <c r="K2641" s="1" t="s">
        <v>229</v>
      </c>
      <c r="L2641" s="1" t="s">
        <v>605</v>
      </c>
      <c r="M2641" s="1" t="s">
        <v>122</v>
      </c>
      <c r="N2641" s="1" t="s">
        <v>105</v>
      </c>
      <c r="O2641" s="1" t="s">
        <v>106</v>
      </c>
      <c r="P2641" s="1" t="s">
        <v>3539</v>
      </c>
      <c r="U2641" s="1" t="s">
        <v>8906</v>
      </c>
      <c r="Z2641" s="1" t="s">
        <v>71</v>
      </c>
      <c r="AE2641" s="1" t="s">
        <v>8905</v>
      </c>
      <c r="AH2641" s="1" t="s">
        <v>73</v>
      </c>
      <c r="AK2641" s="1" t="s">
        <v>71</v>
      </c>
      <c r="AM2641" s="1" t="s">
        <v>71</v>
      </c>
      <c r="AN2641" s="1" t="s">
        <v>71</v>
      </c>
      <c r="AS2641" s="1" t="s">
        <v>71</v>
      </c>
      <c r="AX2641" s="1" t="s">
        <v>71</v>
      </c>
      <c r="AY2641" s="1" t="s">
        <v>59</v>
      </c>
      <c r="AZ2641" s="1" t="s">
        <v>74</v>
      </c>
      <c r="BH2641" s="1" t="s">
        <v>71</v>
      </c>
    </row>
    <row r="2642" customFormat="false" ht="15" hidden="false" customHeight="false" outlineLevel="0" collapsed="false">
      <c r="A2642" s="1" t="s">
        <v>8908</v>
      </c>
      <c r="B2642" s="1" t="s">
        <v>8909</v>
      </c>
      <c r="C2642" s="1" t="s">
        <v>117</v>
      </c>
      <c r="D2642" s="1" t="s">
        <v>118</v>
      </c>
      <c r="E2642" s="1" t="s">
        <v>61</v>
      </c>
      <c r="F2642" s="1" t="s">
        <v>101</v>
      </c>
      <c r="G2642" s="1" t="s">
        <v>93</v>
      </c>
      <c r="H2642" s="1" t="s">
        <v>64</v>
      </c>
      <c r="K2642" s="1" t="s">
        <v>163</v>
      </c>
      <c r="L2642" s="1" t="s">
        <v>164</v>
      </c>
      <c r="M2642" s="1" t="s">
        <v>104</v>
      </c>
      <c r="N2642" s="1" t="s">
        <v>166</v>
      </c>
      <c r="O2642" s="1" t="s">
        <v>167</v>
      </c>
      <c r="P2642" s="1" t="s">
        <v>4462</v>
      </c>
      <c r="U2642" s="1" t="s">
        <v>8908</v>
      </c>
      <c r="Z2642" s="1" t="s">
        <v>71</v>
      </c>
      <c r="AE2642" s="1" t="s">
        <v>8905</v>
      </c>
      <c r="AH2642" s="1" t="s">
        <v>73</v>
      </c>
      <c r="AK2642" s="1" t="s">
        <v>71</v>
      </c>
      <c r="AM2642" s="1" t="s">
        <v>71</v>
      </c>
      <c r="AN2642" s="1" t="s">
        <v>71</v>
      </c>
      <c r="AS2642" s="1" t="s">
        <v>71</v>
      </c>
      <c r="AX2642" s="1" t="s">
        <v>71</v>
      </c>
      <c r="AY2642" s="1" t="s">
        <v>59</v>
      </c>
      <c r="AZ2642" s="1" t="s">
        <v>74</v>
      </c>
      <c r="BH2642" s="1" t="s">
        <v>71</v>
      </c>
    </row>
    <row r="2643" customFormat="false" ht="15" hidden="false" customHeight="false" outlineLevel="0" collapsed="false">
      <c r="A2643" s="1" t="s">
        <v>8910</v>
      </c>
      <c r="B2643" s="1" t="s">
        <v>8911</v>
      </c>
      <c r="C2643" s="1" t="s">
        <v>2090</v>
      </c>
      <c r="D2643" s="1" t="s">
        <v>7238</v>
      </c>
      <c r="E2643" s="1" t="s">
        <v>61</v>
      </c>
      <c r="F2643" s="1" t="s">
        <v>101</v>
      </c>
      <c r="G2643" s="1" t="s">
        <v>93</v>
      </c>
      <c r="H2643" s="1" t="s">
        <v>64</v>
      </c>
      <c r="K2643" s="1" t="s">
        <v>217</v>
      </c>
      <c r="L2643" s="1" t="s">
        <v>218</v>
      </c>
      <c r="M2643" s="1" t="s">
        <v>310</v>
      </c>
      <c r="N2643" s="1" t="s">
        <v>105</v>
      </c>
      <c r="O2643" s="1" t="s">
        <v>106</v>
      </c>
      <c r="P2643" s="1" t="s">
        <v>3539</v>
      </c>
      <c r="U2643" s="1" t="s">
        <v>8910</v>
      </c>
      <c r="Z2643" s="1" t="s">
        <v>71</v>
      </c>
      <c r="AE2643" s="1" t="s">
        <v>8912</v>
      </c>
      <c r="AH2643" s="1" t="s">
        <v>73</v>
      </c>
      <c r="AK2643" s="1" t="s">
        <v>71</v>
      </c>
      <c r="AM2643" s="1" t="s">
        <v>71</v>
      </c>
      <c r="AN2643" s="1" t="s">
        <v>71</v>
      </c>
      <c r="AS2643" s="1" t="s">
        <v>71</v>
      </c>
      <c r="AX2643" s="1" t="s">
        <v>71</v>
      </c>
      <c r="AY2643" s="1" t="s">
        <v>59</v>
      </c>
      <c r="AZ2643" s="1" t="s">
        <v>74</v>
      </c>
      <c r="BH2643" s="1" t="s">
        <v>71</v>
      </c>
    </row>
    <row r="2644" customFormat="false" ht="15" hidden="false" customHeight="false" outlineLevel="0" collapsed="false">
      <c r="A2644" s="1" t="s">
        <v>8913</v>
      </c>
      <c r="B2644" s="1" t="s">
        <v>8914</v>
      </c>
      <c r="C2644" s="1" t="s">
        <v>2090</v>
      </c>
      <c r="D2644" s="1" t="s">
        <v>7238</v>
      </c>
      <c r="E2644" s="1" t="s">
        <v>61</v>
      </c>
      <c r="F2644" s="1" t="s">
        <v>101</v>
      </c>
      <c r="G2644" s="1" t="s">
        <v>93</v>
      </c>
      <c r="H2644" s="1" t="s">
        <v>64</v>
      </c>
      <c r="K2644" s="1" t="s">
        <v>251</v>
      </c>
      <c r="L2644" s="1" t="s">
        <v>1084</v>
      </c>
      <c r="M2644" s="1" t="s">
        <v>310</v>
      </c>
      <c r="N2644" s="1" t="s">
        <v>105</v>
      </c>
      <c r="O2644" s="1" t="s">
        <v>106</v>
      </c>
      <c r="P2644" s="1" t="s">
        <v>3539</v>
      </c>
      <c r="U2644" s="1" t="s">
        <v>8913</v>
      </c>
      <c r="Z2644" s="1" t="s">
        <v>71</v>
      </c>
      <c r="AE2644" s="1" t="s">
        <v>8912</v>
      </c>
      <c r="AH2644" s="1" t="s">
        <v>73</v>
      </c>
      <c r="AK2644" s="1" t="s">
        <v>71</v>
      </c>
      <c r="AM2644" s="1" t="s">
        <v>71</v>
      </c>
      <c r="AN2644" s="1" t="s">
        <v>71</v>
      </c>
      <c r="AS2644" s="1" t="s">
        <v>71</v>
      </c>
      <c r="AX2644" s="1" t="s">
        <v>71</v>
      </c>
      <c r="AY2644" s="1" t="s">
        <v>59</v>
      </c>
      <c r="AZ2644" s="1" t="s">
        <v>74</v>
      </c>
      <c r="BH2644" s="1" t="s">
        <v>71</v>
      </c>
    </row>
    <row r="2645" customFormat="false" ht="15" hidden="false" customHeight="false" outlineLevel="0" collapsed="false">
      <c r="A2645" s="1" t="s">
        <v>8915</v>
      </c>
      <c r="B2645" s="1" t="s">
        <v>8916</v>
      </c>
      <c r="C2645" s="1" t="s">
        <v>2090</v>
      </c>
      <c r="D2645" s="1" t="s">
        <v>7238</v>
      </c>
      <c r="E2645" s="1" t="s">
        <v>61</v>
      </c>
      <c r="F2645" s="1" t="s">
        <v>101</v>
      </c>
      <c r="G2645" s="1" t="s">
        <v>1772</v>
      </c>
      <c r="H2645" s="1" t="s">
        <v>6148</v>
      </c>
      <c r="K2645" s="1" t="s">
        <v>275</v>
      </c>
      <c r="L2645" s="1" t="s">
        <v>6652</v>
      </c>
      <c r="M2645" s="1" t="s">
        <v>1589</v>
      </c>
      <c r="N2645" s="1" t="s">
        <v>8917</v>
      </c>
      <c r="O2645" s="1" t="s">
        <v>6444</v>
      </c>
      <c r="P2645" s="1" t="s">
        <v>8918</v>
      </c>
      <c r="S2645" s="1" t="s">
        <v>229</v>
      </c>
      <c r="U2645" s="1" t="s">
        <v>8915</v>
      </c>
      <c r="Z2645" s="1" t="s">
        <v>71</v>
      </c>
      <c r="AE2645" s="1" t="s">
        <v>8912</v>
      </c>
      <c r="AH2645" s="1" t="s">
        <v>73</v>
      </c>
      <c r="AK2645" s="1" t="s">
        <v>71</v>
      </c>
      <c r="AM2645" s="1" t="s">
        <v>71</v>
      </c>
      <c r="AN2645" s="1" t="s">
        <v>71</v>
      </c>
      <c r="AS2645" s="1" t="s">
        <v>71</v>
      </c>
      <c r="AX2645" s="1" t="s">
        <v>71</v>
      </c>
      <c r="AY2645" s="1" t="s">
        <v>59</v>
      </c>
      <c r="AZ2645" s="1" t="s">
        <v>74</v>
      </c>
      <c r="BH2645" s="1" t="s">
        <v>71</v>
      </c>
    </row>
    <row r="2646" customFormat="false" ht="15" hidden="false" customHeight="false" outlineLevel="0" collapsed="false">
      <c r="A2646" s="1" t="s">
        <v>8919</v>
      </c>
      <c r="B2646" s="1" t="s">
        <v>8920</v>
      </c>
      <c r="C2646" s="1" t="s">
        <v>2090</v>
      </c>
      <c r="D2646" s="1" t="s">
        <v>7238</v>
      </c>
      <c r="E2646" s="1" t="s">
        <v>61</v>
      </c>
      <c r="F2646" s="1" t="s">
        <v>101</v>
      </c>
      <c r="G2646" s="1" t="s">
        <v>93</v>
      </c>
      <c r="H2646" s="1" t="s">
        <v>64</v>
      </c>
      <c r="K2646" s="1" t="s">
        <v>8921</v>
      </c>
      <c r="L2646" s="1" t="s">
        <v>8922</v>
      </c>
      <c r="M2646" s="1" t="s">
        <v>1555</v>
      </c>
      <c r="N2646" s="1" t="s">
        <v>105</v>
      </c>
      <c r="O2646" s="1" t="s">
        <v>106</v>
      </c>
      <c r="P2646" s="1" t="s">
        <v>3539</v>
      </c>
      <c r="S2646" s="1" t="s">
        <v>229</v>
      </c>
      <c r="U2646" s="1" t="s">
        <v>8919</v>
      </c>
      <c r="Z2646" s="1" t="s">
        <v>71</v>
      </c>
      <c r="AE2646" s="1" t="s">
        <v>8912</v>
      </c>
      <c r="AH2646" s="1" t="s">
        <v>73</v>
      </c>
      <c r="AK2646" s="1" t="s">
        <v>71</v>
      </c>
      <c r="AM2646" s="1" t="s">
        <v>71</v>
      </c>
      <c r="AN2646" s="1" t="s">
        <v>71</v>
      </c>
      <c r="AS2646" s="1" t="s">
        <v>71</v>
      </c>
      <c r="AX2646" s="1" t="s">
        <v>71</v>
      </c>
      <c r="AY2646" s="1" t="s">
        <v>59</v>
      </c>
      <c r="AZ2646" s="1" t="s">
        <v>74</v>
      </c>
      <c r="BH2646" s="1" t="s">
        <v>71</v>
      </c>
    </row>
    <row r="2647" customFormat="false" ht="15" hidden="false" customHeight="false" outlineLevel="0" collapsed="false">
      <c r="A2647" s="1" t="s">
        <v>8923</v>
      </c>
      <c r="B2647" s="1" t="s">
        <v>8924</v>
      </c>
      <c r="C2647" s="1" t="s">
        <v>2090</v>
      </c>
      <c r="D2647" s="1" t="s">
        <v>7238</v>
      </c>
      <c r="E2647" s="1" t="s">
        <v>61</v>
      </c>
      <c r="F2647" s="1" t="s">
        <v>101</v>
      </c>
      <c r="G2647" s="1" t="s">
        <v>93</v>
      </c>
      <c r="H2647" s="1" t="s">
        <v>64</v>
      </c>
      <c r="K2647" s="1" t="s">
        <v>2113</v>
      </c>
      <c r="L2647" s="1" t="s">
        <v>4189</v>
      </c>
      <c r="M2647" s="1" t="s">
        <v>1555</v>
      </c>
      <c r="N2647" s="1" t="s">
        <v>105</v>
      </c>
      <c r="O2647" s="1" t="s">
        <v>106</v>
      </c>
      <c r="P2647" s="1" t="s">
        <v>3539</v>
      </c>
      <c r="U2647" s="1" t="s">
        <v>8923</v>
      </c>
      <c r="Z2647" s="1" t="s">
        <v>71</v>
      </c>
      <c r="AE2647" s="1" t="s">
        <v>8912</v>
      </c>
      <c r="AH2647" s="1" t="s">
        <v>73</v>
      </c>
      <c r="AK2647" s="1" t="s">
        <v>71</v>
      </c>
      <c r="AM2647" s="1" t="s">
        <v>71</v>
      </c>
      <c r="AN2647" s="1" t="s">
        <v>71</v>
      </c>
      <c r="AS2647" s="1" t="s">
        <v>71</v>
      </c>
      <c r="AX2647" s="1" t="s">
        <v>71</v>
      </c>
      <c r="AY2647" s="1" t="s">
        <v>59</v>
      </c>
      <c r="AZ2647" s="1" t="s">
        <v>74</v>
      </c>
      <c r="BH2647" s="1" t="s">
        <v>71</v>
      </c>
    </row>
    <row r="2648" customFormat="false" ht="15" hidden="false" customHeight="false" outlineLevel="0" collapsed="false">
      <c r="A2648" s="1" t="s">
        <v>8925</v>
      </c>
      <c r="B2648" s="1" t="s">
        <v>8926</v>
      </c>
      <c r="C2648" s="1" t="s">
        <v>2090</v>
      </c>
      <c r="D2648" s="1" t="s">
        <v>7238</v>
      </c>
      <c r="E2648" s="1" t="s">
        <v>61</v>
      </c>
      <c r="F2648" s="1" t="s">
        <v>101</v>
      </c>
      <c r="G2648" s="1" t="s">
        <v>93</v>
      </c>
      <c r="H2648" s="1" t="s">
        <v>64</v>
      </c>
      <c r="K2648" s="1" t="s">
        <v>2113</v>
      </c>
      <c r="L2648" s="1" t="s">
        <v>4189</v>
      </c>
      <c r="M2648" s="1" t="s">
        <v>1555</v>
      </c>
      <c r="N2648" s="1" t="s">
        <v>105</v>
      </c>
      <c r="O2648" s="1" t="s">
        <v>106</v>
      </c>
      <c r="P2648" s="1" t="s">
        <v>3539</v>
      </c>
      <c r="U2648" s="1" t="s">
        <v>8925</v>
      </c>
      <c r="Z2648" s="1" t="s">
        <v>71</v>
      </c>
      <c r="AE2648" s="1" t="s">
        <v>8912</v>
      </c>
      <c r="AH2648" s="1" t="s">
        <v>73</v>
      </c>
      <c r="AK2648" s="1" t="s">
        <v>71</v>
      </c>
      <c r="AM2648" s="1" t="s">
        <v>71</v>
      </c>
      <c r="AN2648" s="1" t="s">
        <v>71</v>
      </c>
      <c r="AS2648" s="1" t="s">
        <v>71</v>
      </c>
      <c r="AX2648" s="1" t="s">
        <v>71</v>
      </c>
      <c r="AY2648" s="1" t="s">
        <v>59</v>
      </c>
      <c r="AZ2648" s="1" t="s">
        <v>74</v>
      </c>
      <c r="BH2648" s="1" t="s">
        <v>71</v>
      </c>
    </row>
    <row r="2649" customFormat="false" ht="15" hidden="false" customHeight="false" outlineLevel="0" collapsed="false">
      <c r="A2649" s="1" t="s">
        <v>8927</v>
      </c>
      <c r="B2649" s="1" t="s">
        <v>8928</v>
      </c>
      <c r="C2649" s="1" t="s">
        <v>2090</v>
      </c>
      <c r="D2649" s="1" t="s">
        <v>7238</v>
      </c>
      <c r="E2649" s="1" t="s">
        <v>61</v>
      </c>
      <c r="F2649" s="1" t="s">
        <v>101</v>
      </c>
      <c r="G2649" s="1" t="s">
        <v>115</v>
      </c>
      <c r="H2649" s="1" t="s">
        <v>5689</v>
      </c>
      <c r="K2649" s="1" t="s">
        <v>93</v>
      </c>
      <c r="L2649" s="1" t="s">
        <v>6212</v>
      </c>
      <c r="M2649" s="1" t="s">
        <v>1387</v>
      </c>
      <c r="N2649" s="1" t="s">
        <v>6195</v>
      </c>
      <c r="O2649" s="1" t="s">
        <v>6196</v>
      </c>
      <c r="P2649" s="1" t="s">
        <v>6197</v>
      </c>
      <c r="U2649" s="1" t="s">
        <v>8927</v>
      </c>
      <c r="Z2649" s="1" t="s">
        <v>71</v>
      </c>
      <c r="AE2649" s="1" t="s">
        <v>8912</v>
      </c>
      <c r="AH2649" s="1" t="s">
        <v>73</v>
      </c>
      <c r="AK2649" s="1" t="s">
        <v>71</v>
      </c>
      <c r="AM2649" s="1" t="s">
        <v>71</v>
      </c>
      <c r="AN2649" s="1" t="s">
        <v>71</v>
      </c>
      <c r="AS2649" s="1" t="s">
        <v>71</v>
      </c>
      <c r="AX2649" s="1" t="s">
        <v>71</v>
      </c>
      <c r="AY2649" s="1" t="s">
        <v>59</v>
      </c>
      <c r="AZ2649" s="1" t="s">
        <v>74</v>
      </c>
      <c r="BH2649" s="1" t="s">
        <v>71</v>
      </c>
    </row>
    <row r="2650" customFormat="false" ht="15" hidden="false" customHeight="false" outlineLevel="0" collapsed="false">
      <c r="A2650" s="1" t="s">
        <v>8929</v>
      </c>
      <c r="B2650" s="1" t="s">
        <v>8930</v>
      </c>
      <c r="C2650" s="1" t="s">
        <v>2090</v>
      </c>
      <c r="D2650" s="1" t="s">
        <v>7238</v>
      </c>
      <c r="E2650" s="1" t="s">
        <v>61</v>
      </c>
      <c r="F2650" s="1" t="s">
        <v>101</v>
      </c>
      <c r="G2650" s="1" t="s">
        <v>93</v>
      </c>
      <c r="H2650" s="1" t="s">
        <v>64</v>
      </c>
      <c r="K2650" s="1" t="s">
        <v>1092</v>
      </c>
      <c r="L2650" s="1" t="s">
        <v>1093</v>
      </c>
      <c r="M2650" s="1" t="s">
        <v>104</v>
      </c>
      <c r="N2650" s="1" t="s">
        <v>105</v>
      </c>
      <c r="O2650" s="1" t="s">
        <v>106</v>
      </c>
      <c r="P2650" s="1" t="s">
        <v>3539</v>
      </c>
      <c r="U2650" s="1" t="s">
        <v>8929</v>
      </c>
      <c r="Z2650" s="1" t="s">
        <v>71</v>
      </c>
      <c r="AE2650" s="1" t="s">
        <v>8912</v>
      </c>
      <c r="AH2650" s="1" t="s">
        <v>73</v>
      </c>
      <c r="AK2650" s="1" t="s">
        <v>71</v>
      </c>
      <c r="AM2650" s="1" t="s">
        <v>71</v>
      </c>
      <c r="AN2650" s="1" t="s">
        <v>71</v>
      </c>
      <c r="AS2650" s="1" t="s">
        <v>71</v>
      </c>
      <c r="AX2650" s="1" t="s">
        <v>71</v>
      </c>
      <c r="AY2650" s="1" t="s">
        <v>59</v>
      </c>
      <c r="AZ2650" s="1" t="s">
        <v>74</v>
      </c>
      <c r="BH2650" s="1" t="s">
        <v>71</v>
      </c>
    </row>
    <row r="2651" customFormat="false" ht="15" hidden="false" customHeight="false" outlineLevel="0" collapsed="false">
      <c r="A2651" s="1" t="s">
        <v>8931</v>
      </c>
      <c r="B2651" s="1" t="s">
        <v>8932</v>
      </c>
      <c r="C2651" s="1" t="s">
        <v>2090</v>
      </c>
      <c r="D2651" s="1" t="s">
        <v>7238</v>
      </c>
      <c r="E2651" s="1" t="s">
        <v>61</v>
      </c>
      <c r="F2651" s="1" t="s">
        <v>101</v>
      </c>
      <c r="G2651" s="1" t="s">
        <v>93</v>
      </c>
      <c r="H2651" s="1" t="s">
        <v>64</v>
      </c>
      <c r="K2651" s="1" t="s">
        <v>2113</v>
      </c>
      <c r="L2651" s="1" t="s">
        <v>4189</v>
      </c>
      <c r="M2651" s="1" t="s">
        <v>310</v>
      </c>
      <c r="N2651" s="1" t="s">
        <v>105</v>
      </c>
      <c r="O2651" s="1" t="s">
        <v>106</v>
      </c>
      <c r="P2651" s="1" t="s">
        <v>3539</v>
      </c>
      <c r="U2651" s="1" t="s">
        <v>8931</v>
      </c>
      <c r="Z2651" s="1" t="s">
        <v>71</v>
      </c>
      <c r="AE2651" s="1" t="s">
        <v>8912</v>
      </c>
      <c r="AH2651" s="1" t="s">
        <v>73</v>
      </c>
      <c r="AK2651" s="1" t="s">
        <v>71</v>
      </c>
      <c r="AM2651" s="1" t="s">
        <v>71</v>
      </c>
      <c r="AN2651" s="1" t="s">
        <v>71</v>
      </c>
      <c r="AS2651" s="1" t="s">
        <v>71</v>
      </c>
      <c r="AX2651" s="1" t="s">
        <v>71</v>
      </c>
      <c r="AY2651" s="1" t="s">
        <v>59</v>
      </c>
      <c r="AZ2651" s="1" t="s">
        <v>74</v>
      </c>
      <c r="BH2651" s="1" t="s">
        <v>71</v>
      </c>
    </row>
    <row r="2652" customFormat="false" ht="15" hidden="false" customHeight="false" outlineLevel="0" collapsed="false">
      <c r="A2652" s="1" t="s">
        <v>8933</v>
      </c>
      <c r="B2652" s="1" t="s">
        <v>8934</v>
      </c>
      <c r="C2652" s="1" t="s">
        <v>2090</v>
      </c>
      <c r="D2652" s="1" t="s">
        <v>7238</v>
      </c>
      <c r="E2652" s="1" t="s">
        <v>61</v>
      </c>
      <c r="F2652" s="1" t="s">
        <v>101</v>
      </c>
      <c r="G2652" s="1" t="s">
        <v>93</v>
      </c>
      <c r="H2652" s="1" t="s">
        <v>64</v>
      </c>
      <c r="K2652" s="1" t="s">
        <v>4298</v>
      </c>
      <c r="L2652" s="1" t="s">
        <v>4299</v>
      </c>
      <c r="M2652" s="1" t="s">
        <v>104</v>
      </c>
      <c r="N2652" s="1" t="s">
        <v>105</v>
      </c>
      <c r="O2652" s="1" t="s">
        <v>106</v>
      </c>
      <c r="P2652" s="1" t="s">
        <v>3539</v>
      </c>
      <c r="U2652" s="1" t="s">
        <v>8933</v>
      </c>
      <c r="Z2652" s="1" t="s">
        <v>71</v>
      </c>
      <c r="AE2652" s="1" t="s">
        <v>8912</v>
      </c>
      <c r="AH2652" s="1" t="s">
        <v>73</v>
      </c>
      <c r="AK2652" s="1" t="s">
        <v>71</v>
      </c>
      <c r="AM2652" s="1" t="s">
        <v>71</v>
      </c>
      <c r="AN2652" s="1" t="s">
        <v>71</v>
      </c>
      <c r="AS2652" s="1" t="s">
        <v>71</v>
      </c>
      <c r="AX2652" s="1" t="s">
        <v>71</v>
      </c>
      <c r="AY2652" s="1" t="s">
        <v>59</v>
      </c>
      <c r="AZ2652" s="1" t="s">
        <v>74</v>
      </c>
      <c r="BH2652" s="1" t="s">
        <v>71</v>
      </c>
    </row>
    <row r="2653" customFormat="false" ht="15" hidden="false" customHeight="false" outlineLevel="0" collapsed="false">
      <c r="A2653" s="1" t="s">
        <v>8935</v>
      </c>
      <c r="B2653" s="1" t="s">
        <v>8936</v>
      </c>
      <c r="C2653" s="1" t="s">
        <v>2090</v>
      </c>
      <c r="D2653" s="1" t="s">
        <v>7238</v>
      </c>
      <c r="E2653" s="1" t="s">
        <v>61</v>
      </c>
      <c r="F2653" s="1" t="s">
        <v>101</v>
      </c>
      <c r="G2653" s="1" t="s">
        <v>93</v>
      </c>
      <c r="H2653" s="1" t="s">
        <v>64</v>
      </c>
      <c r="K2653" s="1" t="s">
        <v>1679</v>
      </c>
      <c r="L2653" s="1" t="s">
        <v>8937</v>
      </c>
      <c r="M2653" s="1" t="s">
        <v>828</v>
      </c>
      <c r="N2653" s="1" t="s">
        <v>1177</v>
      </c>
      <c r="O2653" s="1" t="s">
        <v>1178</v>
      </c>
      <c r="P2653" s="1" t="s">
        <v>4732</v>
      </c>
      <c r="U2653" s="1" t="s">
        <v>8935</v>
      </c>
      <c r="Z2653" s="1" t="s">
        <v>71</v>
      </c>
      <c r="AE2653" s="1" t="s">
        <v>8912</v>
      </c>
      <c r="AH2653" s="1" t="s">
        <v>73</v>
      </c>
      <c r="AK2653" s="1" t="s">
        <v>71</v>
      </c>
      <c r="AM2653" s="1" t="s">
        <v>71</v>
      </c>
      <c r="AN2653" s="1" t="s">
        <v>71</v>
      </c>
      <c r="AS2653" s="1" t="s">
        <v>71</v>
      </c>
      <c r="AX2653" s="1" t="s">
        <v>71</v>
      </c>
      <c r="AY2653" s="1" t="s">
        <v>59</v>
      </c>
      <c r="AZ2653" s="1" t="s">
        <v>74</v>
      </c>
      <c r="BH2653" s="1" t="s">
        <v>71</v>
      </c>
    </row>
    <row r="2654" customFormat="false" ht="15" hidden="false" customHeight="false" outlineLevel="0" collapsed="false">
      <c r="A2654" s="1" t="s">
        <v>8938</v>
      </c>
      <c r="B2654" s="1" t="s">
        <v>8939</v>
      </c>
      <c r="C2654" s="1" t="s">
        <v>2090</v>
      </c>
      <c r="D2654" s="1" t="s">
        <v>7238</v>
      </c>
      <c r="E2654" s="1" t="s">
        <v>61</v>
      </c>
      <c r="F2654" s="1" t="s">
        <v>101</v>
      </c>
      <c r="G2654" s="1" t="s">
        <v>93</v>
      </c>
      <c r="H2654" s="1" t="s">
        <v>64</v>
      </c>
      <c r="K2654" s="1" t="s">
        <v>582</v>
      </c>
      <c r="L2654" s="1" t="s">
        <v>4731</v>
      </c>
      <c r="M2654" s="1" t="s">
        <v>314</v>
      </c>
      <c r="N2654" s="1" t="s">
        <v>1177</v>
      </c>
      <c r="O2654" s="1" t="s">
        <v>1178</v>
      </c>
      <c r="P2654" s="1" t="s">
        <v>4732</v>
      </c>
      <c r="U2654" s="1" t="s">
        <v>8938</v>
      </c>
      <c r="Z2654" s="1" t="s">
        <v>71</v>
      </c>
      <c r="AE2654" s="1" t="s">
        <v>8912</v>
      </c>
      <c r="AH2654" s="1" t="s">
        <v>73</v>
      </c>
      <c r="AK2654" s="1" t="s">
        <v>71</v>
      </c>
      <c r="AM2654" s="1" t="s">
        <v>71</v>
      </c>
      <c r="AN2654" s="1" t="s">
        <v>71</v>
      </c>
      <c r="AS2654" s="1" t="s">
        <v>71</v>
      </c>
      <c r="AX2654" s="1" t="s">
        <v>71</v>
      </c>
      <c r="AY2654" s="1" t="s">
        <v>59</v>
      </c>
      <c r="AZ2654" s="1" t="s">
        <v>74</v>
      </c>
      <c r="BH2654" s="1" t="s">
        <v>71</v>
      </c>
    </row>
    <row r="2655" customFormat="false" ht="15" hidden="false" customHeight="false" outlineLevel="0" collapsed="false">
      <c r="A2655" s="1" t="s">
        <v>8940</v>
      </c>
      <c r="B2655" s="1" t="s">
        <v>8941</v>
      </c>
      <c r="C2655" s="1" t="s">
        <v>2090</v>
      </c>
      <c r="D2655" s="1" t="s">
        <v>7238</v>
      </c>
      <c r="E2655" s="1" t="s">
        <v>61</v>
      </c>
      <c r="F2655" s="1" t="s">
        <v>101</v>
      </c>
      <c r="G2655" s="1" t="s">
        <v>93</v>
      </c>
      <c r="H2655" s="1" t="s">
        <v>64</v>
      </c>
      <c r="K2655" s="1" t="s">
        <v>126</v>
      </c>
      <c r="L2655" s="1" t="s">
        <v>335</v>
      </c>
      <c r="M2655" s="1" t="s">
        <v>1555</v>
      </c>
      <c r="N2655" s="1" t="s">
        <v>105</v>
      </c>
      <c r="O2655" s="1" t="s">
        <v>106</v>
      </c>
      <c r="P2655" s="1" t="s">
        <v>3539</v>
      </c>
      <c r="U2655" s="1" t="s">
        <v>8940</v>
      </c>
      <c r="Z2655" s="1" t="s">
        <v>71</v>
      </c>
      <c r="AE2655" s="1" t="s">
        <v>8912</v>
      </c>
      <c r="AH2655" s="1" t="s">
        <v>73</v>
      </c>
      <c r="AK2655" s="1" t="s">
        <v>71</v>
      </c>
      <c r="AM2655" s="1" t="s">
        <v>71</v>
      </c>
      <c r="AN2655" s="1" t="s">
        <v>71</v>
      </c>
      <c r="AS2655" s="1" t="s">
        <v>71</v>
      </c>
      <c r="AX2655" s="1" t="s">
        <v>71</v>
      </c>
      <c r="AY2655" s="1" t="s">
        <v>59</v>
      </c>
      <c r="AZ2655" s="1" t="s">
        <v>74</v>
      </c>
      <c r="BH2655" s="1" t="s">
        <v>71</v>
      </c>
    </row>
    <row r="2656" customFormat="false" ht="15" hidden="false" customHeight="false" outlineLevel="0" collapsed="false">
      <c r="A2656" s="1" t="s">
        <v>8942</v>
      </c>
      <c r="B2656" s="1" t="s">
        <v>8943</v>
      </c>
      <c r="C2656" s="1" t="s">
        <v>2090</v>
      </c>
      <c r="D2656" s="1" t="s">
        <v>7238</v>
      </c>
      <c r="E2656" s="1" t="s">
        <v>61</v>
      </c>
      <c r="F2656" s="1" t="s">
        <v>101</v>
      </c>
      <c r="G2656" s="1" t="s">
        <v>115</v>
      </c>
      <c r="H2656" s="1" t="s">
        <v>5689</v>
      </c>
      <c r="K2656" s="1" t="s">
        <v>65</v>
      </c>
      <c r="L2656" s="1" t="s">
        <v>4731</v>
      </c>
      <c r="M2656" s="1" t="s">
        <v>1387</v>
      </c>
      <c r="N2656" s="1" t="s">
        <v>5692</v>
      </c>
      <c r="O2656" s="1" t="s">
        <v>5693</v>
      </c>
      <c r="P2656" s="1" t="s">
        <v>5694</v>
      </c>
      <c r="U2656" s="1" t="s">
        <v>8942</v>
      </c>
      <c r="Z2656" s="1" t="s">
        <v>71</v>
      </c>
      <c r="AE2656" s="1" t="s">
        <v>8912</v>
      </c>
      <c r="AH2656" s="1" t="s">
        <v>73</v>
      </c>
      <c r="AK2656" s="1" t="s">
        <v>71</v>
      </c>
      <c r="AM2656" s="1" t="s">
        <v>71</v>
      </c>
      <c r="AN2656" s="1" t="s">
        <v>71</v>
      </c>
      <c r="AS2656" s="1" t="s">
        <v>71</v>
      </c>
      <c r="AX2656" s="1" t="s">
        <v>71</v>
      </c>
      <c r="AY2656" s="1" t="s">
        <v>59</v>
      </c>
      <c r="AZ2656" s="1" t="s">
        <v>74</v>
      </c>
      <c r="BH2656" s="1" t="s">
        <v>71</v>
      </c>
    </row>
    <row r="2657" customFormat="false" ht="15" hidden="false" customHeight="false" outlineLevel="0" collapsed="false">
      <c r="A2657" s="1" t="s">
        <v>8944</v>
      </c>
      <c r="B2657" s="1" t="s">
        <v>8945</v>
      </c>
      <c r="C2657" s="1" t="s">
        <v>2090</v>
      </c>
      <c r="D2657" s="1" t="s">
        <v>7238</v>
      </c>
      <c r="E2657" s="1" t="s">
        <v>61</v>
      </c>
      <c r="F2657" s="1" t="s">
        <v>101</v>
      </c>
      <c r="G2657" s="1" t="s">
        <v>115</v>
      </c>
      <c r="H2657" s="1" t="s">
        <v>5689</v>
      </c>
      <c r="K2657" s="1" t="s">
        <v>59</v>
      </c>
      <c r="L2657" s="1" t="s">
        <v>5690</v>
      </c>
      <c r="M2657" s="1" t="s">
        <v>1387</v>
      </c>
      <c r="N2657" s="1" t="s">
        <v>5692</v>
      </c>
      <c r="O2657" s="1" t="s">
        <v>5693</v>
      </c>
      <c r="P2657" s="1" t="s">
        <v>5694</v>
      </c>
      <c r="U2657" s="1" t="s">
        <v>8944</v>
      </c>
      <c r="Z2657" s="1" t="s">
        <v>71</v>
      </c>
      <c r="AE2657" s="1" t="s">
        <v>8912</v>
      </c>
      <c r="AH2657" s="1" t="s">
        <v>73</v>
      </c>
      <c r="AK2657" s="1" t="s">
        <v>71</v>
      </c>
      <c r="AM2657" s="1" t="s">
        <v>71</v>
      </c>
      <c r="AN2657" s="1" t="s">
        <v>71</v>
      </c>
      <c r="AS2657" s="1" t="s">
        <v>71</v>
      </c>
      <c r="AX2657" s="1" t="s">
        <v>71</v>
      </c>
      <c r="AY2657" s="1" t="s">
        <v>59</v>
      </c>
      <c r="AZ2657" s="1" t="s">
        <v>74</v>
      </c>
      <c r="BH2657" s="1" t="s">
        <v>71</v>
      </c>
    </row>
    <row r="2658" customFormat="false" ht="15" hidden="false" customHeight="false" outlineLevel="0" collapsed="false">
      <c r="A2658" s="1" t="s">
        <v>8946</v>
      </c>
      <c r="B2658" s="1" t="s">
        <v>8947</v>
      </c>
      <c r="C2658" s="1" t="s">
        <v>2090</v>
      </c>
      <c r="D2658" s="1" t="s">
        <v>7238</v>
      </c>
      <c r="E2658" s="1" t="s">
        <v>61</v>
      </c>
      <c r="F2658" s="1" t="s">
        <v>101</v>
      </c>
      <c r="G2658" s="1" t="s">
        <v>93</v>
      </c>
      <c r="H2658" s="1" t="s">
        <v>64</v>
      </c>
      <c r="K2658" s="1" t="s">
        <v>4298</v>
      </c>
      <c r="L2658" s="1" t="s">
        <v>4299</v>
      </c>
      <c r="M2658" s="1" t="s">
        <v>104</v>
      </c>
      <c r="N2658" s="1" t="s">
        <v>105</v>
      </c>
      <c r="O2658" s="1" t="s">
        <v>106</v>
      </c>
      <c r="P2658" s="1" t="s">
        <v>3539</v>
      </c>
      <c r="U2658" s="1" t="s">
        <v>8946</v>
      </c>
      <c r="Z2658" s="1" t="s">
        <v>71</v>
      </c>
      <c r="AE2658" s="1" t="s">
        <v>8948</v>
      </c>
      <c r="AH2658" s="1" t="s">
        <v>73</v>
      </c>
      <c r="AK2658" s="1" t="s">
        <v>71</v>
      </c>
      <c r="AM2658" s="1" t="s">
        <v>71</v>
      </c>
      <c r="AN2658" s="1" t="s">
        <v>71</v>
      </c>
      <c r="AS2658" s="1" t="s">
        <v>71</v>
      </c>
      <c r="AX2658" s="1" t="s">
        <v>71</v>
      </c>
      <c r="AY2658" s="1" t="s">
        <v>59</v>
      </c>
      <c r="AZ2658" s="1" t="s">
        <v>74</v>
      </c>
      <c r="BH2658" s="1" t="s">
        <v>71</v>
      </c>
    </row>
    <row r="2659" customFormat="false" ht="15" hidden="false" customHeight="false" outlineLevel="0" collapsed="false">
      <c r="A2659" s="1" t="s">
        <v>8949</v>
      </c>
      <c r="B2659" s="1" t="s">
        <v>8950</v>
      </c>
      <c r="C2659" s="1" t="s">
        <v>2141</v>
      </c>
      <c r="D2659" s="1" t="s">
        <v>7438</v>
      </c>
      <c r="E2659" s="1" t="s">
        <v>82</v>
      </c>
      <c r="F2659" s="1" t="s">
        <v>391</v>
      </c>
      <c r="G2659" s="1" t="s">
        <v>308</v>
      </c>
      <c r="H2659" s="1" t="s">
        <v>1789</v>
      </c>
      <c r="K2659" s="1" t="s">
        <v>836</v>
      </c>
      <c r="L2659" s="1" t="s">
        <v>3618</v>
      </c>
      <c r="M2659" s="1" t="s">
        <v>496</v>
      </c>
      <c r="N2659" s="1" t="s">
        <v>8951</v>
      </c>
      <c r="O2659" s="1" t="s">
        <v>8952</v>
      </c>
      <c r="P2659" s="1" t="s">
        <v>8953</v>
      </c>
      <c r="U2659" s="1" t="s">
        <v>8949</v>
      </c>
      <c r="Z2659" s="1" t="s">
        <v>71</v>
      </c>
      <c r="AE2659" s="1" t="s">
        <v>8954</v>
      </c>
      <c r="AF2659" s="1" t="s">
        <v>59</v>
      </c>
      <c r="AH2659" s="1" t="s">
        <v>73</v>
      </c>
      <c r="AK2659" s="1" t="s">
        <v>71</v>
      </c>
      <c r="AS2659" s="1" t="s">
        <v>71</v>
      </c>
    </row>
    <row r="2660" customFormat="false" ht="15" hidden="false" customHeight="false" outlineLevel="0" collapsed="false">
      <c r="A2660" s="1" t="s">
        <v>8955</v>
      </c>
      <c r="B2660" s="1" t="s">
        <v>8956</v>
      </c>
      <c r="C2660" s="1" t="s">
        <v>2634</v>
      </c>
      <c r="D2660" s="1" t="s">
        <v>5645</v>
      </c>
      <c r="E2660" s="1" t="s">
        <v>61</v>
      </c>
      <c r="F2660" s="1" t="s">
        <v>101</v>
      </c>
      <c r="G2660" s="1" t="s">
        <v>275</v>
      </c>
      <c r="H2660" s="1" t="s">
        <v>276</v>
      </c>
      <c r="K2660" s="1" t="s">
        <v>126</v>
      </c>
      <c r="L2660" s="1" t="s">
        <v>4894</v>
      </c>
      <c r="M2660" s="1" t="s">
        <v>278</v>
      </c>
      <c r="N2660" s="1" t="s">
        <v>5904</v>
      </c>
      <c r="O2660" s="1" t="s">
        <v>5905</v>
      </c>
      <c r="P2660" s="1" t="s">
        <v>5906</v>
      </c>
      <c r="U2660" s="1" t="s">
        <v>8955</v>
      </c>
      <c r="Z2660" s="1" t="s">
        <v>71</v>
      </c>
      <c r="AE2660" s="1" t="s">
        <v>8957</v>
      </c>
      <c r="AH2660" s="1" t="s">
        <v>73</v>
      </c>
      <c r="AK2660" s="1" t="s">
        <v>71</v>
      </c>
      <c r="AM2660" s="1" t="s">
        <v>71</v>
      </c>
      <c r="AN2660" s="1" t="s">
        <v>71</v>
      </c>
      <c r="AS2660" s="1" t="s">
        <v>71</v>
      </c>
      <c r="AX2660" s="1" t="s">
        <v>71</v>
      </c>
      <c r="AY2660" s="1" t="s">
        <v>59</v>
      </c>
      <c r="AZ2660" s="1" t="s">
        <v>74</v>
      </c>
      <c r="BH2660" s="1" t="s">
        <v>71</v>
      </c>
    </row>
    <row r="2661" customFormat="false" ht="15" hidden="false" customHeight="false" outlineLevel="0" collapsed="false">
      <c r="A2661" s="1" t="s">
        <v>8958</v>
      </c>
      <c r="B2661" s="1" t="s">
        <v>8959</v>
      </c>
      <c r="C2661" s="1" t="s">
        <v>2629</v>
      </c>
      <c r="D2661" s="1" t="s">
        <v>8960</v>
      </c>
      <c r="E2661" s="1" t="s">
        <v>82</v>
      </c>
      <c r="F2661" s="1" t="s">
        <v>391</v>
      </c>
      <c r="G2661" s="1" t="s">
        <v>97</v>
      </c>
      <c r="H2661" s="1" t="s">
        <v>406</v>
      </c>
      <c r="K2661" s="1" t="s">
        <v>65</v>
      </c>
      <c r="L2661" s="1" t="s">
        <v>860</v>
      </c>
      <c r="M2661" s="1" t="s">
        <v>496</v>
      </c>
      <c r="N2661" s="1" t="s">
        <v>8961</v>
      </c>
      <c r="O2661" s="1" t="s">
        <v>400</v>
      </c>
      <c r="P2661" s="1" t="s">
        <v>8962</v>
      </c>
      <c r="U2661" s="1" t="s">
        <v>8958</v>
      </c>
      <c r="Z2661" s="1" t="s">
        <v>71</v>
      </c>
      <c r="AE2661" s="1" t="s">
        <v>8957</v>
      </c>
      <c r="AF2661" s="1" t="s">
        <v>59</v>
      </c>
      <c r="AH2661" s="1" t="s">
        <v>73</v>
      </c>
      <c r="AK2661" s="1" t="s">
        <v>71</v>
      </c>
      <c r="AS2661" s="1" t="s">
        <v>71</v>
      </c>
    </row>
    <row r="2662" customFormat="false" ht="15" hidden="false" customHeight="false" outlineLevel="0" collapsed="false">
      <c r="A2662" s="1" t="s">
        <v>8963</v>
      </c>
      <c r="B2662" s="1" t="s">
        <v>8964</v>
      </c>
      <c r="C2662" s="1" t="s">
        <v>2637</v>
      </c>
      <c r="D2662" s="1" t="s">
        <v>8965</v>
      </c>
      <c r="E2662" s="1" t="s">
        <v>82</v>
      </c>
      <c r="F2662" s="1" t="s">
        <v>391</v>
      </c>
      <c r="G2662" s="1" t="s">
        <v>97</v>
      </c>
      <c r="H2662" s="1" t="s">
        <v>406</v>
      </c>
      <c r="K2662" s="1" t="s">
        <v>65</v>
      </c>
      <c r="L2662" s="1" t="s">
        <v>860</v>
      </c>
      <c r="M2662" s="1" t="s">
        <v>496</v>
      </c>
      <c r="N2662" s="1" t="s">
        <v>8966</v>
      </c>
      <c r="O2662" s="1" t="s">
        <v>8967</v>
      </c>
      <c r="P2662" s="1" t="s">
        <v>8968</v>
      </c>
      <c r="U2662" s="1" t="s">
        <v>8963</v>
      </c>
      <c r="Z2662" s="1" t="s">
        <v>71</v>
      </c>
      <c r="AE2662" s="1" t="s">
        <v>8969</v>
      </c>
      <c r="AF2662" s="1" t="s">
        <v>59</v>
      </c>
      <c r="AH2662" s="1" t="s">
        <v>73</v>
      </c>
      <c r="AK2662" s="1" t="s">
        <v>71</v>
      </c>
      <c r="AS2662" s="1" t="s">
        <v>71</v>
      </c>
    </row>
    <row r="2663" customFormat="false" ht="15" hidden="false" customHeight="false" outlineLevel="0" collapsed="false">
      <c r="A2663" s="1" t="s">
        <v>8970</v>
      </c>
      <c r="B2663" s="1" t="s">
        <v>8971</v>
      </c>
      <c r="C2663" s="1" t="s">
        <v>2640</v>
      </c>
      <c r="D2663" s="1" t="s">
        <v>8972</v>
      </c>
      <c r="E2663" s="1" t="s">
        <v>82</v>
      </c>
      <c r="F2663" s="1" t="s">
        <v>391</v>
      </c>
      <c r="G2663" s="1" t="s">
        <v>97</v>
      </c>
      <c r="H2663" s="1" t="s">
        <v>406</v>
      </c>
      <c r="K2663" s="1" t="s">
        <v>65</v>
      </c>
      <c r="L2663" s="1" t="s">
        <v>860</v>
      </c>
      <c r="M2663" s="1" t="s">
        <v>496</v>
      </c>
      <c r="N2663" s="1" t="s">
        <v>8973</v>
      </c>
      <c r="O2663" s="1" t="s">
        <v>8974</v>
      </c>
      <c r="P2663" s="1" t="s">
        <v>8975</v>
      </c>
      <c r="U2663" s="1" t="s">
        <v>8970</v>
      </c>
      <c r="Z2663" s="1" t="s">
        <v>71</v>
      </c>
      <c r="AE2663" s="1" t="s">
        <v>8969</v>
      </c>
      <c r="AF2663" s="1" t="s">
        <v>59</v>
      </c>
      <c r="AH2663" s="1" t="s">
        <v>73</v>
      </c>
      <c r="AK2663" s="1" t="s">
        <v>71</v>
      </c>
      <c r="AS2663" s="1" t="s">
        <v>71</v>
      </c>
    </row>
    <row r="2664" customFormat="false" ht="15" hidden="false" customHeight="false" outlineLevel="0" collapsed="false">
      <c r="A2664" s="1" t="s">
        <v>8976</v>
      </c>
      <c r="B2664" s="1" t="s">
        <v>8977</v>
      </c>
      <c r="C2664" s="1" t="s">
        <v>182</v>
      </c>
      <c r="D2664" s="1" t="s">
        <v>239</v>
      </c>
      <c r="E2664" s="1" t="s">
        <v>82</v>
      </c>
      <c r="F2664" s="1" t="s">
        <v>391</v>
      </c>
      <c r="G2664" s="1" t="s">
        <v>97</v>
      </c>
      <c r="H2664" s="1" t="s">
        <v>406</v>
      </c>
      <c r="K2664" s="1" t="s">
        <v>65</v>
      </c>
      <c r="L2664" s="1" t="s">
        <v>860</v>
      </c>
      <c r="M2664" s="1" t="s">
        <v>1497</v>
      </c>
      <c r="N2664" s="1" t="s">
        <v>5189</v>
      </c>
      <c r="O2664" s="1" t="s">
        <v>5190</v>
      </c>
      <c r="P2664" s="1" t="s">
        <v>5191</v>
      </c>
      <c r="U2664" s="1" t="s">
        <v>8976</v>
      </c>
      <c r="Z2664" s="1" t="s">
        <v>71</v>
      </c>
      <c r="AE2664" s="1" t="s">
        <v>8978</v>
      </c>
      <c r="AF2664" s="1" t="s">
        <v>59</v>
      </c>
      <c r="AH2664" s="1" t="s">
        <v>73</v>
      </c>
      <c r="AK2664" s="1" t="s">
        <v>71</v>
      </c>
      <c r="AS2664" s="1" t="s">
        <v>71</v>
      </c>
    </row>
    <row r="2665" customFormat="false" ht="15" hidden="false" customHeight="false" outlineLevel="0" collapsed="false">
      <c r="A2665" s="1" t="s">
        <v>8979</v>
      </c>
      <c r="B2665" s="1" t="s">
        <v>8980</v>
      </c>
      <c r="C2665" s="1" t="s">
        <v>222</v>
      </c>
      <c r="D2665" s="1" t="s">
        <v>223</v>
      </c>
      <c r="E2665" s="1" t="s">
        <v>61</v>
      </c>
      <c r="F2665" s="1" t="s">
        <v>101</v>
      </c>
      <c r="G2665" s="1" t="s">
        <v>93</v>
      </c>
      <c r="H2665" s="1" t="s">
        <v>64</v>
      </c>
      <c r="K2665" s="1" t="s">
        <v>2219</v>
      </c>
      <c r="L2665" s="1" t="s">
        <v>7251</v>
      </c>
      <c r="M2665" s="1" t="s">
        <v>5580</v>
      </c>
      <c r="N2665" s="1" t="s">
        <v>105</v>
      </c>
      <c r="O2665" s="1" t="s">
        <v>106</v>
      </c>
      <c r="P2665" s="1" t="s">
        <v>3539</v>
      </c>
      <c r="U2665" s="1" t="s">
        <v>8979</v>
      </c>
      <c r="Z2665" s="1" t="s">
        <v>71</v>
      </c>
      <c r="AE2665" s="1" t="s">
        <v>8978</v>
      </c>
      <c r="AH2665" s="1" t="s">
        <v>73</v>
      </c>
      <c r="AK2665" s="1" t="s">
        <v>71</v>
      </c>
      <c r="AM2665" s="1" t="s">
        <v>71</v>
      </c>
      <c r="AN2665" s="1" t="s">
        <v>71</v>
      </c>
      <c r="AS2665" s="1" t="s">
        <v>71</v>
      </c>
      <c r="AX2665" s="1" t="s">
        <v>71</v>
      </c>
      <c r="AY2665" s="1" t="s">
        <v>59</v>
      </c>
      <c r="AZ2665" s="1" t="s">
        <v>74</v>
      </c>
      <c r="BH2665" s="1" t="s">
        <v>71</v>
      </c>
    </row>
    <row r="2666" customFormat="false" ht="15" hidden="false" customHeight="false" outlineLevel="0" collapsed="false">
      <c r="A2666" s="1" t="s">
        <v>8981</v>
      </c>
      <c r="B2666" s="1" t="s">
        <v>8982</v>
      </c>
      <c r="C2666" s="1" t="s">
        <v>222</v>
      </c>
      <c r="D2666" s="1" t="s">
        <v>223</v>
      </c>
      <c r="E2666" s="1" t="s">
        <v>61</v>
      </c>
      <c r="F2666" s="1" t="s">
        <v>101</v>
      </c>
      <c r="G2666" s="1" t="s">
        <v>93</v>
      </c>
      <c r="H2666" s="1" t="s">
        <v>64</v>
      </c>
      <c r="K2666" s="1" t="s">
        <v>290</v>
      </c>
      <c r="L2666" s="1" t="s">
        <v>291</v>
      </c>
      <c r="M2666" s="1" t="s">
        <v>828</v>
      </c>
      <c r="N2666" s="1" t="s">
        <v>105</v>
      </c>
      <c r="O2666" s="1" t="s">
        <v>106</v>
      </c>
      <c r="P2666" s="1" t="s">
        <v>3539</v>
      </c>
      <c r="U2666" s="1" t="s">
        <v>8981</v>
      </c>
      <c r="Z2666" s="1" t="s">
        <v>71</v>
      </c>
      <c r="AE2666" s="1" t="s">
        <v>8978</v>
      </c>
      <c r="AH2666" s="1" t="s">
        <v>73</v>
      </c>
      <c r="AK2666" s="1" t="s">
        <v>71</v>
      </c>
      <c r="AM2666" s="1" t="s">
        <v>71</v>
      </c>
      <c r="AN2666" s="1" t="s">
        <v>71</v>
      </c>
      <c r="AS2666" s="1" t="s">
        <v>71</v>
      </c>
      <c r="AX2666" s="1" t="s">
        <v>71</v>
      </c>
      <c r="AY2666" s="1" t="s">
        <v>59</v>
      </c>
      <c r="AZ2666" s="1" t="s">
        <v>74</v>
      </c>
      <c r="BH2666" s="1" t="s">
        <v>71</v>
      </c>
    </row>
    <row r="2667" customFormat="false" ht="15" hidden="false" customHeight="false" outlineLevel="0" collapsed="false">
      <c r="A2667" s="1" t="s">
        <v>8983</v>
      </c>
      <c r="B2667" s="1" t="s">
        <v>8984</v>
      </c>
      <c r="C2667" s="1" t="s">
        <v>222</v>
      </c>
      <c r="D2667" s="1" t="s">
        <v>223</v>
      </c>
      <c r="E2667" s="1" t="s">
        <v>61</v>
      </c>
      <c r="F2667" s="1" t="s">
        <v>101</v>
      </c>
      <c r="G2667" s="1" t="s">
        <v>93</v>
      </c>
      <c r="H2667" s="1" t="s">
        <v>64</v>
      </c>
      <c r="K2667" s="1" t="s">
        <v>108</v>
      </c>
      <c r="L2667" s="1" t="s">
        <v>2547</v>
      </c>
      <c r="M2667" s="1" t="s">
        <v>1555</v>
      </c>
      <c r="N2667" s="1" t="s">
        <v>105</v>
      </c>
      <c r="O2667" s="1" t="s">
        <v>106</v>
      </c>
      <c r="P2667" s="1" t="s">
        <v>3539</v>
      </c>
      <c r="U2667" s="1" t="s">
        <v>8983</v>
      </c>
      <c r="Z2667" s="1" t="s">
        <v>71</v>
      </c>
      <c r="AE2667" s="1" t="s">
        <v>8978</v>
      </c>
      <c r="AH2667" s="1" t="s">
        <v>73</v>
      </c>
      <c r="AK2667" s="1" t="s">
        <v>71</v>
      </c>
      <c r="AM2667" s="1" t="s">
        <v>71</v>
      </c>
      <c r="AN2667" s="1" t="s">
        <v>71</v>
      </c>
      <c r="AS2667" s="1" t="s">
        <v>71</v>
      </c>
      <c r="AX2667" s="1" t="s">
        <v>71</v>
      </c>
      <c r="AY2667" s="1" t="s">
        <v>59</v>
      </c>
      <c r="AZ2667" s="1" t="s">
        <v>74</v>
      </c>
      <c r="BH2667" s="1" t="s">
        <v>71</v>
      </c>
    </row>
    <row r="2668" customFormat="false" ht="15" hidden="false" customHeight="false" outlineLevel="0" collapsed="false">
      <c r="A2668" s="1" t="s">
        <v>8985</v>
      </c>
      <c r="B2668" s="1" t="s">
        <v>8986</v>
      </c>
      <c r="C2668" s="1" t="s">
        <v>222</v>
      </c>
      <c r="D2668" s="1" t="s">
        <v>223</v>
      </c>
      <c r="E2668" s="1" t="s">
        <v>61</v>
      </c>
      <c r="F2668" s="1" t="s">
        <v>101</v>
      </c>
      <c r="G2668" s="1" t="s">
        <v>93</v>
      </c>
      <c r="H2668" s="1" t="s">
        <v>64</v>
      </c>
      <c r="K2668" s="1" t="s">
        <v>3150</v>
      </c>
      <c r="L2668" s="1" t="s">
        <v>3151</v>
      </c>
      <c r="M2668" s="1" t="s">
        <v>592</v>
      </c>
      <c r="N2668" s="1" t="s">
        <v>203</v>
      </c>
      <c r="O2668" s="1" t="s">
        <v>204</v>
      </c>
      <c r="P2668" s="1" t="s">
        <v>3536</v>
      </c>
      <c r="U2668" s="1" t="s">
        <v>8985</v>
      </c>
      <c r="Z2668" s="1" t="s">
        <v>71</v>
      </c>
      <c r="AE2668" s="1" t="s">
        <v>8978</v>
      </c>
      <c r="AH2668" s="1" t="s">
        <v>73</v>
      </c>
      <c r="AK2668" s="1" t="s">
        <v>71</v>
      </c>
      <c r="AM2668" s="1" t="s">
        <v>71</v>
      </c>
      <c r="AN2668" s="1" t="s">
        <v>71</v>
      </c>
      <c r="AS2668" s="1" t="s">
        <v>71</v>
      </c>
      <c r="AX2668" s="1" t="s">
        <v>71</v>
      </c>
      <c r="AY2668" s="1" t="s">
        <v>59</v>
      </c>
      <c r="AZ2668" s="1" t="s">
        <v>74</v>
      </c>
      <c r="BH2668" s="1" t="s">
        <v>71</v>
      </c>
    </row>
    <row r="2669" customFormat="false" ht="15" hidden="false" customHeight="false" outlineLevel="0" collapsed="false">
      <c r="A2669" s="1" t="s">
        <v>8987</v>
      </c>
      <c r="B2669" s="1" t="s">
        <v>8988</v>
      </c>
      <c r="C2669" s="1" t="s">
        <v>222</v>
      </c>
      <c r="D2669" s="1" t="s">
        <v>223</v>
      </c>
      <c r="E2669" s="1" t="s">
        <v>61</v>
      </c>
      <c r="F2669" s="1" t="s">
        <v>101</v>
      </c>
      <c r="G2669" s="1" t="s">
        <v>93</v>
      </c>
      <c r="H2669" s="1" t="s">
        <v>64</v>
      </c>
      <c r="K2669" s="1" t="s">
        <v>224</v>
      </c>
      <c r="L2669" s="1" t="s">
        <v>225</v>
      </c>
      <c r="M2669" s="1" t="s">
        <v>828</v>
      </c>
      <c r="N2669" s="1" t="s">
        <v>105</v>
      </c>
      <c r="O2669" s="1" t="s">
        <v>106</v>
      </c>
      <c r="P2669" s="1" t="s">
        <v>3539</v>
      </c>
      <c r="U2669" s="1" t="s">
        <v>8987</v>
      </c>
      <c r="Z2669" s="1" t="s">
        <v>71</v>
      </c>
      <c r="AE2669" s="1" t="s">
        <v>8978</v>
      </c>
      <c r="AH2669" s="1" t="s">
        <v>73</v>
      </c>
      <c r="AK2669" s="1" t="s">
        <v>71</v>
      </c>
      <c r="AM2669" s="1" t="s">
        <v>71</v>
      </c>
      <c r="AN2669" s="1" t="s">
        <v>71</v>
      </c>
      <c r="AS2669" s="1" t="s">
        <v>71</v>
      </c>
      <c r="AX2669" s="1" t="s">
        <v>71</v>
      </c>
      <c r="AY2669" s="1" t="s">
        <v>59</v>
      </c>
      <c r="AZ2669" s="1" t="s">
        <v>74</v>
      </c>
      <c r="BH2669" s="1" t="s">
        <v>71</v>
      </c>
    </row>
    <row r="2670" customFormat="false" ht="15" hidden="false" customHeight="false" outlineLevel="0" collapsed="false">
      <c r="A2670" s="1" t="s">
        <v>8989</v>
      </c>
      <c r="B2670" s="1" t="s">
        <v>8990</v>
      </c>
      <c r="C2670" s="1" t="s">
        <v>8991</v>
      </c>
      <c r="D2670" s="1" t="s">
        <v>8992</v>
      </c>
      <c r="E2670" s="1" t="s">
        <v>82</v>
      </c>
      <c r="F2670" s="1" t="s">
        <v>391</v>
      </c>
      <c r="G2670" s="1" t="s">
        <v>97</v>
      </c>
      <c r="H2670" s="1" t="s">
        <v>406</v>
      </c>
      <c r="K2670" s="1" t="s">
        <v>65</v>
      </c>
      <c r="L2670" s="1" t="s">
        <v>860</v>
      </c>
      <c r="M2670" s="1" t="s">
        <v>496</v>
      </c>
      <c r="N2670" s="1" t="s">
        <v>8993</v>
      </c>
      <c r="O2670" s="1" t="s">
        <v>8994</v>
      </c>
      <c r="P2670" s="1" t="s">
        <v>8995</v>
      </c>
      <c r="U2670" s="1" t="s">
        <v>8989</v>
      </c>
      <c r="Z2670" s="1" t="s">
        <v>71</v>
      </c>
      <c r="AE2670" s="1" t="s">
        <v>8996</v>
      </c>
      <c r="AF2670" s="1" t="s">
        <v>59</v>
      </c>
      <c r="AH2670" s="1" t="s">
        <v>73</v>
      </c>
      <c r="AK2670" s="1" t="s">
        <v>71</v>
      </c>
      <c r="AS2670" s="1" t="s">
        <v>71</v>
      </c>
    </row>
    <row r="2671" customFormat="false" ht="15" hidden="false" customHeight="false" outlineLevel="0" collapsed="false">
      <c r="A2671" s="1" t="s">
        <v>8997</v>
      </c>
      <c r="B2671" s="1" t="s">
        <v>8998</v>
      </c>
      <c r="C2671" s="1" t="s">
        <v>8991</v>
      </c>
      <c r="D2671" s="1" t="s">
        <v>8992</v>
      </c>
      <c r="E2671" s="1" t="s">
        <v>82</v>
      </c>
      <c r="F2671" s="1" t="s">
        <v>391</v>
      </c>
      <c r="G2671" s="1" t="s">
        <v>97</v>
      </c>
      <c r="H2671" s="1" t="s">
        <v>406</v>
      </c>
      <c r="K2671" s="1" t="s">
        <v>65</v>
      </c>
      <c r="L2671" s="1" t="s">
        <v>860</v>
      </c>
      <c r="M2671" s="1" t="s">
        <v>496</v>
      </c>
      <c r="N2671" s="1" t="s">
        <v>8999</v>
      </c>
      <c r="O2671" s="1" t="s">
        <v>447</v>
      </c>
      <c r="P2671" s="1" t="s">
        <v>9000</v>
      </c>
      <c r="U2671" s="1" t="s">
        <v>8997</v>
      </c>
      <c r="Z2671" s="1" t="s">
        <v>71</v>
      </c>
      <c r="AE2671" s="1" t="s">
        <v>8996</v>
      </c>
      <c r="AF2671" s="1" t="s">
        <v>59</v>
      </c>
      <c r="AH2671" s="1" t="s">
        <v>73</v>
      </c>
      <c r="AK2671" s="1" t="s">
        <v>71</v>
      </c>
      <c r="AS2671" s="1" t="s">
        <v>71</v>
      </c>
    </row>
    <row r="2672" customFormat="false" ht="15" hidden="false" customHeight="false" outlineLevel="0" collapsed="false">
      <c r="A2672" s="1" t="s">
        <v>9001</v>
      </c>
      <c r="B2672" s="1" t="s">
        <v>9002</v>
      </c>
      <c r="C2672" s="1" t="s">
        <v>8867</v>
      </c>
      <c r="D2672" s="1" t="s">
        <v>8868</v>
      </c>
      <c r="E2672" s="1" t="s">
        <v>61</v>
      </c>
      <c r="F2672" s="1" t="s">
        <v>101</v>
      </c>
      <c r="G2672" s="1" t="s">
        <v>93</v>
      </c>
      <c r="H2672" s="1" t="s">
        <v>64</v>
      </c>
      <c r="K2672" s="1" t="s">
        <v>249</v>
      </c>
      <c r="L2672" s="1" t="s">
        <v>250</v>
      </c>
      <c r="M2672" s="1" t="s">
        <v>104</v>
      </c>
      <c r="N2672" s="1" t="s">
        <v>105</v>
      </c>
      <c r="O2672" s="1" t="s">
        <v>106</v>
      </c>
      <c r="P2672" s="1" t="s">
        <v>3539</v>
      </c>
      <c r="U2672" s="1" t="s">
        <v>9001</v>
      </c>
      <c r="Z2672" s="1" t="s">
        <v>71</v>
      </c>
      <c r="AE2672" s="1" t="s">
        <v>9003</v>
      </c>
      <c r="AH2672" s="1" t="s">
        <v>73</v>
      </c>
      <c r="AK2672" s="1" t="s">
        <v>71</v>
      </c>
      <c r="AM2672" s="1" t="s">
        <v>71</v>
      </c>
      <c r="AN2672" s="1" t="s">
        <v>71</v>
      </c>
      <c r="AS2672" s="1" t="s">
        <v>71</v>
      </c>
      <c r="AX2672" s="1" t="s">
        <v>71</v>
      </c>
      <c r="AY2672" s="1" t="s">
        <v>59</v>
      </c>
      <c r="AZ2672" s="1" t="s">
        <v>74</v>
      </c>
      <c r="BH2672" s="1" t="s">
        <v>71</v>
      </c>
    </row>
    <row r="2673" customFormat="false" ht="15" hidden="false" customHeight="false" outlineLevel="0" collapsed="false">
      <c r="A2673" s="1" t="s">
        <v>9004</v>
      </c>
      <c r="B2673" s="1" t="s">
        <v>9005</v>
      </c>
      <c r="C2673" s="1" t="s">
        <v>222</v>
      </c>
      <c r="D2673" s="1" t="s">
        <v>223</v>
      </c>
      <c r="E2673" s="1" t="s">
        <v>61</v>
      </c>
      <c r="F2673" s="1" t="s">
        <v>101</v>
      </c>
      <c r="G2673" s="1" t="s">
        <v>93</v>
      </c>
      <c r="H2673" s="1" t="s">
        <v>64</v>
      </c>
      <c r="K2673" s="1" t="s">
        <v>290</v>
      </c>
      <c r="L2673" s="1" t="s">
        <v>291</v>
      </c>
      <c r="M2673" s="1" t="s">
        <v>828</v>
      </c>
      <c r="N2673" s="1" t="s">
        <v>105</v>
      </c>
      <c r="O2673" s="1" t="s">
        <v>106</v>
      </c>
      <c r="P2673" s="1" t="s">
        <v>3539</v>
      </c>
      <c r="U2673" s="1" t="s">
        <v>9004</v>
      </c>
      <c r="Z2673" s="1" t="s">
        <v>71</v>
      </c>
      <c r="AE2673" s="1" t="s">
        <v>9006</v>
      </c>
      <c r="AH2673" s="1" t="s">
        <v>73</v>
      </c>
      <c r="AK2673" s="1" t="s">
        <v>71</v>
      </c>
      <c r="AM2673" s="1" t="s">
        <v>71</v>
      </c>
      <c r="AN2673" s="1" t="s">
        <v>71</v>
      </c>
      <c r="AS2673" s="1" t="s">
        <v>71</v>
      </c>
      <c r="AX2673" s="1" t="s">
        <v>71</v>
      </c>
      <c r="AY2673" s="1" t="s">
        <v>59</v>
      </c>
      <c r="AZ2673" s="1" t="s">
        <v>74</v>
      </c>
      <c r="BH2673" s="1" t="s">
        <v>71</v>
      </c>
    </row>
    <row r="2674" customFormat="false" ht="15" hidden="false" customHeight="false" outlineLevel="0" collapsed="false">
      <c r="A2674" s="1" t="s">
        <v>9007</v>
      </c>
      <c r="B2674" s="1" t="s">
        <v>9008</v>
      </c>
      <c r="C2674" s="1" t="s">
        <v>222</v>
      </c>
      <c r="D2674" s="1" t="s">
        <v>223</v>
      </c>
      <c r="E2674" s="1" t="s">
        <v>61</v>
      </c>
      <c r="F2674" s="1" t="s">
        <v>101</v>
      </c>
      <c r="G2674" s="1" t="s">
        <v>93</v>
      </c>
      <c r="H2674" s="1" t="s">
        <v>64</v>
      </c>
      <c r="K2674" s="1" t="s">
        <v>224</v>
      </c>
      <c r="L2674" s="1" t="s">
        <v>225</v>
      </c>
      <c r="M2674" s="1" t="s">
        <v>828</v>
      </c>
      <c r="N2674" s="1" t="s">
        <v>105</v>
      </c>
      <c r="O2674" s="1" t="s">
        <v>106</v>
      </c>
      <c r="P2674" s="1" t="s">
        <v>3539</v>
      </c>
      <c r="U2674" s="1" t="s">
        <v>9007</v>
      </c>
      <c r="Z2674" s="1" t="s">
        <v>71</v>
      </c>
      <c r="AE2674" s="1" t="s">
        <v>9006</v>
      </c>
      <c r="AH2674" s="1" t="s">
        <v>73</v>
      </c>
      <c r="AK2674" s="1" t="s">
        <v>71</v>
      </c>
      <c r="AM2674" s="1" t="s">
        <v>71</v>
      </c>
      <c r="AN2674" s="1" t="s">
        <v>71</v>
      </c>
      <c r="AS2674" s="1" t="s">
        <v>71</v>
      </c>
      <c r="AX2674" s="1" t="s">
        <v>71</v>
      </c>
      <c r="AY2674" s="1" t="s">
        <v>59</v>
      </c>
      <c r="AZ2674" s="1" t="s">
        <v>74</v>
      </c>
      <c r="BH2674" s="1" t="s">
        <v>71</v>
      </c>
    </row>
    <row r="2675" customFormat="false" ht="15" hidden="false" customHeight="false" outlineLevel="0" collapsed="false">
      <c r="A2675" s="1" t="s">
        <v>9009</v>
      </c>
      <c r="B2675" s="1" t="s">
        <v>9010</v>
      </c>
      <c r="C2675" s="1" t="s">
        <v>222</v>
      </c>
      <c r="D2675" s="1" t="s">
        <v>223</v>
      </c>
      <c r="E2675" s="1" t="s">
        <v>61</v>
      </c>
      <c r="F2675" s="1" t="s">
        <v>101</v>
      </c>
      <c r="G2675" s="1" t="s">
        <v>93</v>
      </c>
      <c r="H2675" s="1" t="s">
        <v>64</v>
      </c>
      <c r="K2675" s="1" t="s">
        <v>126</v>
      </c>
      <c r="L2675" s="1" t="s">
        <v>335</v>
      </c>
      <c r="M2675" s="1" t="s">
        <v>828</v>
      </c>
      <c r="N2675" s="1" t="s">
        <v>105</v>
      </c>
      <c r="O2675" s="1" t="s">
        <v>106</v>
      </c>
      <c r="P2675" s="1" t="s">
        <v>3539</v>
      </c>
      <c r="U2675" s="1" t="s">
        <v>9009</v>
      </c>
      <c r="Z2675" s="1" t="s">
        <v>71</v>
      </c>
      <c r="AE2675" s="1" t="s">
        <v>9006</v>
      </c>
      <c r="AH2675" s="1" t="s">
        <v>73</v>
      </c>
      <c r="AK2675" s="1" t="s">
        <v>71</v>
      </c>
      <c r="AM2675" s="1" t="s">
        <v>71</v>
      </c>
      <c r="AN2675" s="1" t="s">
        <v>71</v>
      </c>
      <c r="AS2675" s="1" t="s">
        <v>71</v>
      </c>
      <c r="AX2675" s="1" t="s">
        <v>71</v>
      </c>
      <c r="AY2675" s="1" t="s">
        <v>59</v>
      </c>
      <c r="AZ2675" s="1" t="s">
        <v>74</v>
      </c>
      <c r="BH2675" s="1" t="s">
        <v>71</v>
      </c>
    </row>
    <row r="2676" customFormat="false" ht="15" hidden="false" customHeight="false" outlineLevel="0" collapsed="false">
      <c r="A2676" s="1" t="s">
        <v>9011</v>
      </c>
      <c r="B2676" s="1" t="s">
        <v>9012</v>
      </c>
      <c r="C2676" s="1" t="s">
        <v>8204</v>
      </c>
      <c r="D2676" s="1" t="s">
        <v>8205</v>
      </c>
      <c r="E2676" s="1" t="s">
        <v>82</v>
      </c>
      <c r="F2676" s="1" t="s">
        <v>391</v>
      </c>
      <c r="G2676" s="1" t="s">
        <v>213</v>
      </c>
      <c r="H2676" s="1" t="s">
        <v>477</v>
      </c>
      <c r="K2676" s="1" t="s">
        <v>478</v>
      </c>
      <c r="L2676" s="1" t="s">
        <v>479</v>
      </c>
      <c r="M2676" s="1" t="s">
        <v>496</v>
      </c>
      <c r="N2676" s="1" t="s">
        <v>518</v>
      </c>
      <c r="O2676" s="1" t="s">
        <v>519</v>
      </c>
      <c r="P2676" s="1" t="s">
        <v>4181</v>
      </c>
      <c r="U2676" s="1" t="s">
        <v>9011</v>
      </c>
      <c r="Z2676" s="1" t="s">
        <v>71</v>
      </c>
      <c r="AE2676" s="1" t="s">
        <v>9006</v>
      </c>
      <c r="AF2676" s="1" t="s">
        <v>59</v>
      </c>
      <c r="AH2676" s="1" t="s">
        <v>73</v>
      </c>
      <c r="AK2676" s="1" t="s">
        <v>71</v>
      </c>
      <c r="AS2676" s="1" t="s">
        <v>71</v>
      </c>
    </row>
    <row r="2677" customFormat="false" ht="15" hidden="false" customHeight="false" outlineLevel="0" collapsed="false">
      <c r="A2677" s="1" t="s">
        <v>9013</v>
      </c>
      <c r="B2677" s="1" t="s">
        <v>9014</v>
      </c>
      <c r="C2677" s="1" t="s">
        <v>8204</v>
      </c>
      <c r="D2677" s="1" t="s">
        <v>8205</v>
      </c>
      <c r="E2677" s="1" t="s">
        <v>82</v>
      </c>
      <c r="F2677" s="1" t="s">
        <v>391</v>
      </c>
      <c r="G2677" s="1" t="s">
        <v>213</v>
      </c>
      <c r="H2677" s="1" t="s">
        <v>477</v>
      </c>
      <c r="K2677" s="1" t="s">
        <v>478</v>
      </c>
      <c r="L2677" s="1" t="s">
        <v>479</v>
      </c>
      <c r="M2677" s="1" t="s">
        <v>496</v>
      </c>
      <c r="N2677" s="1" t="s">
        <v>446</v>
      </c>
      <c r="O2677" s="1" t="s">
        <v>447</v>
      </c>
      <c r="P2677" s="1" t="s">
        <v>3969</v>
      </c>
      <c r="U2677" s="1" t="s">
        <v>9013</v>
      </c>
      <c r="Z2677" s="1" t="s">
        <v>71</v>
      </c>
      <c r="AE2677" s="1" t="s">
        <v>9006</v>
      </c>
      <c r="AF2677" s="1" t="s">
        <v>59</v>
      </c>
      <c r="AH2677" s="1" t="s">
        <v>73</v>
      </c>
      <c r="AK2677" s="1" t="s">
        <v>71</v>
      </c>
      <c r="AS2677" s="1" t="s">
        <v>71</v>
      </c>
    </row>
    <row r="2678" customFormat="false" ht="15" hidden="false" customHeight="false" outlineLevel="0" collapsed="false">
      <c r="A2678" s="1" t="s">
        <v>9015</v>
      </c>
      <c r="B2678" s="1" t="s">
        <v>9016</v>
      </c>
      <c r="C2678" s="1" t="s">
        <v>161</v>
      </c>
      <c r="D2678" s="1" t="s">
        <v>162</v>
      </c>
      <c r="E2678" s="1" t="s">
        <v>61</v>
      </c>
      <c r="F2678" s="1" t="s">
        <v>101</v>
      </c>
      <c r="G2678" s="1" t="s">
        <v>93</v>
      </c>
      <c r="H2678" s="1" t="s">
        <v>64</v>
      </c>
      <c r="K2678" s="1" t="s">
        <v>102</v>
      </c>
      <c r="L2678" s="1" t="s">
        <v>103</v>
      </c>
      <c r="M2678" s="1" t="s">
        <v>104</v>
      </c>
      <c r="N2678" s="1" t="s">
        <v>105</v>
      </c>
      <c r="O2678" s="1" t="s">
        <v>106</v>
      </c>
      <c r="P2678" s="1" t="s">
        <v>3539</v>
      </c>
      <c r="U2678" s="1" t="s">
        <v>9015</v>
      </c>
      <c r="Z2678" s="1" t="s">
        <v>71</v>
      </c>
      <c r="AE2678" s="1" t="s">
        <v>9006</v>
      </c>
      <c r="AH2678" s="1" t="s">
        <v>73</v>
      </c>
      <c r="AK2678" s="1" t="s">
        <v>71</v>
      </c>
      <c r="AM2678" s="1" t="s">
        <v>71</v>
      </c>
      <c r="AN2678" s="1" t="s">
        <v>71</v>
      </c>
      <c r="AS2678" s="1" t="s">
        <v>71</v>
      </c>
      <c r="AX2678" s="1" t="s">
        <v>71</v>
      </c>
      <c r="AY2678" s="1" t="s">
        <v>59</v>
      </c>
      <c r="AZ2678" s="1" t="s">
        <v>74</v>
      </c>
      <c r="BH2678" s="1" t="s">
        <v>71</v>
      </c>
    </row>
    <row r="2679" customFormat="false" ht="15" hidden="false" customHeight="false" outlineLevel="0" collapsed="false">
      <c r="A2679" s="1" t="s">
        <v>9017</v>
      </c>
      <c r="B2679" s="1" t="s">
        <v>9018</v>
      </c>
      <c r="C2679" s="1" t="s">
        <v>1158</v>
      </c>
      <c r="D2679" s="1" t="s">
        <v>4456</v>
      </c>
      <c r="E2679" s="1" t="s">
        <v>82</v>
      </c>
      <c r="F2679" s="1" t="s">
        <v>391</v>
      </c>
      <c r="G2679" s="1" t="s">
        <v>213</v>
      </c>
      <c r="H2679" s="1" t="s">
        <v>477</v>
      </c>
      <c r="K2679" s="1" t="s">
        <v>478</v>
      </c>
      <c r="L2679" s="1" t="s">
        <v>479</v>
      </c>
      <c r="M2679" s="1" t="s">
        <v>496</v>
      </c>
      <c r="N2679" s="1" t="s">
        <v>5910</v>
      </c>
      <c r="O2679" s="1" t="s">
        <v>5911</v>
      </c>
      <c r="P2679" s="1" t="s">
        <v>5912</v>
      </c>
      <c r="U2679" s="1" t="s">
        <v>9017</v>
      </c>
      <c r="Z2679" s="1" t="s">
        <v>71</v>
      </c>
      <c r="AE2679" s="1" t="s">
        <v>9019</v>
      </c>
      <c r="AF2679" s="1" t="s">
        <v>59</v>
      </c>
      <c r="AH2679" s="1" t="s">
        <v>73</v>
      </c>
      <c r="AK2679" s="1" t="s">
        <v>71</v>
      </c>
      <c r="AS2679" s="1" t="s">
        <v>71</v>
      </c>
    </row>
    <row r="2680" customFormat="false" ht="15" hidden="false" customHeight="false" outlineLevel="0" collapsed="false">
      <c r="A2680" s="1" t="s">
        <v>9020</v>
      </c>
      <c r="B2680" s="1" t="s">
        <v>9021</v>
      </c>
      <c r="C2680" s="1" t="s">
        <v>1158</v>
      </c>
      <c r="D2680" s="1" t="s">
        <v>4456</v>
      </c>
      <c r="E2680" s="1" t="s">
        <v>82</v>
      </c>
      <c r="F2680" s="1" t="s">
        <v>391</v>
      </c>
      <c r="G2680" s="1" t="s">
        <v>213</v>
      </c>
      <c r="H2680" s="1" t="s">
        <v>477</v>
      </c>
      <c r="K2680" s="1" t="s">
        <v>478</v>
      </c>
      <c r="L2680" s="1" t="s">
        <v>479</v>
      </c>
      <c r="M2680" s="1" t="s">
        <v>496</v>
      </c>
      <c r="N2680" s="1" t="s">
        <v>518</v>
      </c>
      <c r="O2680" s="1" t="s">
        <v>519</v>
      </c>
      <c r="P2680" s="1" t="s">
        <v>4181</v>
      </c>
      <c r="U2680" s="1" t="s">
        <v>9020</v>
      </c>
      <c r="Z2680" s="1" t="s">
        <v>71</v>
      </c>
      <c r="AE2680" s="1" t="s">
        <v>9019</v>
      </c>
      <c r="AF2680" s="1" t="s">
        <v>59</v>
      </c>
      <c r="AH2680" s="1" t="s">
        <v>73</v>
      </c>
      <c r="AK2680" s="1" t="s">
        <v>71</v>
      </c>
      <c r="AS2680" s="1" t="s">
        <v>71</v>
      </c>
    </row>
    <row r="2681" customFormat="false" ht="15" hidden="false" customHeight="false" outlineLevel="0" collapsed="false">
      <c r="A2681" s="1" t="s">
        <v>9022</v>
      </c>
      <c r="B2681" s="1" t="s">
        <v>9023</v>
      </c>
      <c r="C2681" s="1" t="s">
        <v>1158</v>
      </c>
      <c r="D2681" s="1" t="s">
        <v>4456</v>
      </c>
      <c r="E2681" s="1" t="s">
        <v>82</v>
      </c>
      <c r="F2681" s="1" t="s">
        <v>391</v>
      </c>
      <c r="G2681" s="1" t="s">
        <v>213</v>
      </c>
      <c r="H2681" s="1" t="s">
        <v>477</v>
      </c>
      <c r="K2681" s="1" t="s">
        <v>478</v>
      </c>
      <c r="L2681" s="1" t="s">
        <v>479</v>
      </c>
      <c r="M2681" s="1" t="s">
        <v>496</v>
      </c>
      <c r="N2681" s="1" t="s">
        <v>518</v>
      </c>
      <c r="O2681" s="1" t="s">
        <v>519</v>
      </c>
      <c r="P2681" s="1" t="s">
        <v>4181</v>
      </c>
      <c r="U2681" s="1" t="s">
        <v>9022</v>
      </c>
      <c r="Z2681" s="1" t="s">
        <v>71</v>
      </c>
      <c r="AE2681" s="1" t="s">
        <v>9019</v>
      </c>
      <c r="AF2681" s="1" t="s">
        <v>59</v>
      </c>
      <c r="AH2681" s="1" t="s">
        <v>73</v>
      </c>
      <c r="AK2681" s="1" t="s">
        <v>71</v>
      </c>
      <c r="AS2681" s="1" t="s">
        <v>71</v>
      </c>
    </row>
    <row r="2682" customFormat="false" ht="15" hidden="false" customHeight="false" outlineLevel="0" collapsed="false">
      <c r="A2682" s="1" t="s">
        <v>9024</v>
      </c>
      <c r="B2682" s="1" t="s">
        <v>9025</v>
      </c>
      <c r="C2682" s="1" t="s">
        <v>2090</v>
      </c>
      <c r="D2682" s="1" t="s">
        <v>7238</v>
      </c>
      <c r="E2682" s="1" t="s">
        <v>61</v>
      </c>
      <c r="F2682" s="1" t="s">
        <v>101</v>
      </c>
      <c r="G2682" s="1" t="s">
        <v>93</v>
      </c>
      <c r="H2682" s="1" t="s">
        <v>64</v>
      </c>
      <c r="K2682" s="1" t="s">
        <v>582</v>
      </c>
      <c r="L2682" s="1" t="s">
        <v>4731</v>
      </c>
      <c r="M2682" s="1" t="s">
        <v>7342</v>
      </c>
      <c r="N2682" s="1" t="s">
        <v>1177</v>
      </c>
      <c r="O2682" s="1" t="s">
        <v>1178</v>
      </c>
      <c r="P2682" s="1" t="s">
        <v>4732</v>
      </c>
      <c r="U2682" s="1" t="s">
        <v>9024</v>
      </c>
      <c r="Z2682" s="1" t="s">
        <v>71</v>
      </c>
      <c r="AE2682" s="1" t="s">
        <v>9019</v>
      </c>
      <c r="AH2682" s="1" t="s">
        <v>73</v>
      </c>
      <c r="AK2682" s="1" t="s">
        <v>71</v>
      </c>
      <c r="AM2682" s="1" t="s">
        <v>71</v>
      </c>
      <c r="AN2682" s="1" t="s">
        <v>71</v>
      </c>
      <c r="AS2682" s="1" t="s">
        <v>71</v>
      </c>
      <c r="AX2682" s="1" t="s">
        <v>71</v>
      </c>
      <c r="AY2682" s="1" t="s">
        <v>59</v>
      </c>
      <c r="AZ2682" s="1" t="s">
        <v>74</v>
      </c>
      <c r="BH2682" s="1" t="s">
        <v>71</v>
      </c>
    </row>
    <row r="2683" customFormat="false" ht="15" hidden="false" customHeight="false" outlineLevel="0" collapsed="false">
      <c r="A2683" s="1" t="s">
        <v>9026</v>
      </c>
      <c r="B2683" s="1" t="s">
        <v>9027</v>
      </c>
      <c r="C2683" s="1" t="s">
        <v>2090</v>
      </c>
      <c r="D2683" s="1" t="s">
        <v>7238</v>
      </c>
      <c r="E2683" s="1" t="s">
        <v>61</v>
      </c>
      <c r="F2683" s="1" t="s">
        <v>101</v>
      </c>
      <c r="G2683" s="1" t="s">
        <v>93</v>
      </c>
      <c r="H2683" s="1" t="s">
        <v>64</v>
      </c>
      <c r="K2683" s="1" t="s">
        <v>302</v>
      </c>
      <c r="L2683" s="1" t="s">
        <v>303</v>
      </c>
      <c r="M2683" s="1" t="s">
        <v>1387</v>
      </c>
      <c r="N2683" s="1" t="s">
        <v>105</v>
      </c>
      <c r="O2683" s="1" t="s">
        <v>106</v>
      </c>
      <c r="P2683" s="1" t="s">
        <v>3539</v>
      </c>
      <c r="U2683" s="1" t="s">
        <v>9026</v>
      </c>
      <c r="Z2683" s="1" t="s">
        <v>71</v>
      </c>
      <c r="AE2683" s="1" t="s">
        <v>9019</v>
      </c>
      <c r="AH2683" s="1" t="s">
        <v>73</v>
      </c>
      <c r="AK2683" s="1" t="s">
        <v>71</v>
      </c>
      <c r="AM2683" s="1" t="s">
        <v>71</v>
      </c>
      <c r="AN2683" s="1" t="s">
        <v>71</v>
      </c>
      <c r="AS2683" s="1" t="s">
        <v>71</v>
      </c>
      <c r="AX2683" s="1" t="s">
        <v>71</v>
      </c>
      <c r="AY2683" s="1" t="s">
        <v>59</v>
      </c>
      <c r="AZ2683" s="1" t="s">
        <v>74</v>
      </c>
      <c r="BH2683" s="1" t="s">
        <v>71</v>
      </c>
    </row>
    <row r="2684" customFormat="false" ht="15" hidden="false" customHeight="false" outlineLevel="0" collapsed="false">
      <c r="A2684" s="1" t="s">
        <v>9028</v>
      </c>
      <c r="B2684" s="1" t="s">
        <v>9029</v>
      </c>
      <c r="C2684" s="1" t="s">
        <v>2090</v>
      </c>
      <c r="D2684" s="1" t="s">
        <v>7238</v>
      </c>
      <c r="E2684" s="1" t="s">
        <v>61</v>
      </c>
      <c r="F2684" s="1" t="s">
        <v>101</v>
      </c>
      <c r="G2684" s="1" t="s">
        <v>93</v>
      </c>
      <c r="H2684" s="1" t="s">
        <v>64</v>
      </c>
      <c r="K2684" s="1" t="s">
        <v>108</v>
      </c>
      <c r="L2684" s="1" t="s">
        <v>2547</v>
      </c>
      <c r="M2684" s="1" t="s">
        <v>1387</v>
      </c>
      <c r="N2684" s="1" t="s">
        <v>105</v>
      </c>
      <c r="O2684" s="1" t="s">
        <v>106</v>
      </c>
      <c r="P2684" s="1" t="s">
        <v>3539</v>
      </c>
      <c r="U2684" s="1" t="s">
        <v>9028</v>
      </c>
      <c r="Z2684" s="1" t="s">
        <v>71</v>
      </c>
      <c r="AE2684" s="1" t="s">
        <v>9019</v>
      </c>
      <c r="AH2684" s="1" t="s">
        <v>73</v>
      </c>
      <c r="AK2684" s="1" t="s">
        <v>71</v>
      </c>
      <c r="AM2684" s="1" t="s">
        <v>71</v>
      </c>
      <c r="AN2684" s="1" t="s">
        <v>71</v>
      </c>
      <c r="AS2684" s="1" t="s">
        <v>71</v>
      </c>
      <c r="AX2684" s="1" t="s">
        <v>71</v>
      </c>
      <c r="AY2684" s="1" t="s">
        <v>59</v>
      </c>
      <c r="AZ2684" s="1" t="s">
        <v>74</v>
      </c>
      <c r="BH2684" s="1" t="s">
        <v>71</v>
      </c>
    </row>
    <row r="2685" customFormat="false" ht="15" hidden="false" customHeight="false" outlineLevel="0" collapsed="false">
      <c r="A2685" s="1" t="s">
        <v>9030</v>
      </c>
      <c r="B2685" s="1" t="s">
        <v>9031</v>
      </c>
      <c r="C2685" s="1" t="s">
        <v>2090</v>
      </c>
      <c r="D2685" s="1" t="s">
        <v>7238</v>
      </c>
      <c r="E2685" s="1" t="s">
        <v>61</v>
      </c>
      <c r="F2685" s="1" t="s">
        <v>101</v>
      </c>
      <c r="G2685" s="1" t="s">
        <v>93</v>
      </c>
      <c r="H2685" s="1" t="s">
        <v>64</v>
      </c>
      <c r="K2685" s="1" t="s">
        <v>249</v>
      </c>
      <c r="L2685" s="1" t="s">
        <v>250</v>
      </c>
      <c r="M2685" s="1" t="s">
        <v>104</v>
      </c>
      <c r="N2685" s="1" t="s">
        <v>105</v>
      </c>
      <c r="O2685" s="1" t="s">
        <v>106</v>
      </c>
      <c r="P2685" s="1" t="s">
        <v>3539</v>
      </c>
      <c r="U2685" s="1" t="s">
        <v>9030</v>
      </c>
      <c r="Z2685" s="1" t="s">
        <v>71</v>
      </c>
      <c r="AE2685" s="1" t="s">
        <v>9019</v>
      </c>
      <c r="AH2685" s="1" t="s">
        <v>73</v>
      </c>
      <c r="AK2685" s="1" t="s">
        <v>71</v>
      </c>
      <c r="AM2685" s="1" t="s">
        <v>71</v>
      </c>
      <c r="AN2685" s="1" t="s">
        <v>71</v>
      </c>
      <c r="AS2685" s="1" t="s">
        <v>71</v>
      </c>
      <c r="AX2685" s="1" t="s">
        <v>71</v>
      </c>
      <c r="AY2685" s="1" t="s">
        <v>59</v>
      </c>
      <c r="AZ2685" s="1" t="s">
        <v>74</v>
      </c>
      <c r="BH2685" s="1" t="s">
        <v>71</v>
      </c>
    </row>
    <row r="2686" customFormat="false" ht="15" hidden="false" customHeight="false" outlineLevel="0" collapsed="false">
      <c r="A2686" s="1" t="s">
        <v>9032</v>
      </c>
      <c r="B2686" s="1" t="s">
        <v>9033</v>
      </c>
      <c r="C2686" s="1" t="s">
        <v>2090</v>
      </c>
      <c r="D2686" s="1" t="s">
        <v>7238</v>
      </c>
      <c r="E2686" s="1" t="s">
        <v>61</v>
      </c>
      <c r="F2686" s="1" t="s">
        <v>101</v>
      </c>
      <c r="G2686" s="1" t="s">
        <v>1772</v>
      </c>
      <c r="H2686" s="1" t="s">
        <v>6148</v>
      </c>
      <c r="K2686" s="1" t="s">
        <v>275</v>
      </c>
      <c r="L2686" s="1" t="s">
        <v>6652</v>
      </c>
      <c r="M2686" s="1" t="s">
        <v>278</v>
      </c>
      <c r="N2686" s="1" t="s">
        <v>8917</v>
      </c>
      <c r="O2686" s="1" t="s">
        <v>6444</v>
      </c>
      <c r="P2686" s="1" t="s">
        <v>8918</v>
      </c>
      <c r="S2686" s="1" t="s">
        <v>229</v>
      </c>
      <c r="U2686" s="1" t="s">
        <v>9032</v>
      </c>
      <c r="Z2686" s="1" t="s">
        <v>71</v>
      </c>
      <c r="AE2686" s="1" t="s">
        <v>9019</v>
      </c>
      <c r="AH2686" s="1" t="s">
        <v>73</v>
      </c>
      <c r="AK2686" s="1" t="s">
        <v>71</v>
      </c>
      <c r="AM2686" s="1" t="s">
        <v>71</v>
      </c>
      <c r="AN2686" s="1" t="s">
        <v>71</v>
      </c>
      <c r="AS2686" s="1" t="s">
        <v>71</v>
      </c>
      <c r="AX2686" s="1" t="s">
        <v>71</v>
      </c>
      <c r="AY2686" s="1" t="s">
        <v>59</v>
      </c>
      <c r="AZ2686" s="1" t="s">
        <v>74</v>
      </c>
      <c r="BH2686" s="1" t="s">
        <v>71</v>
      </c>
    </row>
    <row r="2687" customFormat="false" ht="15" hidden="false" customHeight="false" outlineLevel="0" collapsed="false">
      <c r="A2687" s="1" t="s">
        <v>9034</v>
      </c>
      <c r="B2687" s="1" t="s">
        <v>9035</v>
      </c>
      <c r="C2687" s="1" t="s">
        <v>2090</v>
      </c>
      <c r="D2687" s="1" t="s">
        <v>7238</v>
      </c>
      <c r="E2687" s="1" t="s">
        <v>61</v>
      </c>
      <c r="F2687" s="1" t="s">
        <v>101</v>
      </c>
      <c r="G2687" s="1" t="s">
        <v>93</v>
      </c>
      <c r="H2687" s="1" t="s">
        <v>64</v>
      </c>
      <c r="K2687" s="1" t="s">
        <v>249</v>
      </c>
      <c r="L2687" s="1" t="s">
        <v>250</v>
      </c>
      <c r="M2687" s="1" t="s">
        <v>104</v>
      </c>
      <c r="N2687" s="1" t="s">
        <v>105</v>
      </c>
      <c r="O2687" s="1" t="s">
        <v>106</v>
      </c>
      <c r="P2687" s="1" t="s">
        <v>3539</v>
      </c>
      <c r="U2687" s="1" t="s">
        <v>9034</v>
      </c>
      <c r="Z2687" s="1" t="s">
        <v>71</v>
      </c>
      <c r="AE2687" s="1" t="s">
        <v>9019</v>
      </c>
      <c r="AH2687" s="1" t="s">
        <v>73</v>
      </c>
      <c r="AK2687" s="1" t="s">
        <v>71</v>
      </c>
      <c r="AM2687" s="1" t="s">
        <v>71</v>
      </c>
      <c r="AN2687" s="1" t="s">
        <v>71</v>
      </c>
      <c r="AS2687" s="1" t="s">
        <v>71</v>
      </c>
      <c r="AX2687" s="1" t="s">
        <v>71</v>
      </c>
      <c r="AY2687" s="1" t="s">
        <v>59</v>
      </c>
      <c r="AZ2687" s="1" t="s">
        <v>74</v>
      </c>
      <c r="BH2687" s="1" t="s">
        <v>71</v>
      </c>
    </row>
    <row r="2688" customFormat="false" ht="15" hidden="false" customHeight="false" outlineLevel="0" collapsed="false">
      <c r="A2688" s="1" t="s">
        <v>9036</v>
      </c>
      <c r="B2688" s="1" t="s">
        <v>9037</v>
      </c>
      <c r="C2688" s="1" t="s">
        <v>2090</v>
      </c>
      <c r="D2688" s="1" t="s">
        <v>7238</v>
      </c>
      <c r="E2688" s="1" t="s">
        <v>61</v>
      </c>
      <c r="F2688" s="1" t="s">
        <v>101</v>
      </c>
      <c r="G2688" s="1" t="s">
        <v>93</v>
      </c>
      <c r="H2688" s="1" t="s">
        <v>64</v>
      </c>
      <c r="K2688" s="1" t="s">
        <v>1018</v>
      </c>
      <c r="L2688" s="1" t="s">
        <v>1019</v>
      </c>
      <c r="M2688" s="1" t="s">
        <v>7546</v>
      </c>
      <c r="N2688" s="1" t="s">
        <v>105</v>
      </c>
      <c r="O2688" s="1" t="s">
        <v>106</v>
      </c>
      <c r="P2688" s="1" t="s">
        <v>3539</v>
      </c>
      <c r="U2688" s="1" t="s">
        <v>9036</v>
      </c>
      <c r="Z2688" s="1" t="s">
        <v>71</v>
      </c>
      <c r="AE2688" s="1" t="s">
        <v>9019</v>
      </c>
      <c r="AH2688" s="1" t="s">
        <v>73</v>
      </c>
      <c r="AK2688" s="1" t="s">
        <v>71</v>
      </c>
      <c r="AM2688" s="1" t="s">
        <v>71</v>
      </c>
      <c r="AN2688" s="1" t="s">
        <v>71</v>
      </c>
      <c r="AS2688" s="1" t="s">
        <v>71</v>
      </c>
      <c r="AX2688" s="1" t="s">
        <v>71</v>
      </c>
      <c r="AY2688" s="1" t="s">
        <v>59</v>
      </c>
      <c r="AZ2688" s="1" t="s">
        <v>74</v>
      </c>
      <c r="BH2688" s="1" t="s">
        <v>71</v>
      </c>
    </row>
    <row r="2689" customFormat="false" ht="15" hidden="false" customHeight="false" outlineLevel="0" collapsed="false">
      <c r="A2689" s="1" t="s">
        <v>9038</v>
      </c>
      <c r="B2689" s="1" t="s">
        <v>9039</v>
      </c>
      <c r="C2689" s="1" t="s">
        <v>2658</v>
      </c>
      <c r="D2689" s="1" t="s">
        <v>9040</v>
      </c>
      <c r="E2689" s="1" t="s">
        <v>82</v>
      </c>
      <c r="F2689" s="1" t="s">
        <v>391</v>
      </c>
      <c r="G2689" s="1" t="s">
        <v>97</v>
      </c>
      <c r="H2689" s="1" t="s">
        <v>406</v>
      </c>
      <c r="K2689" s="1" t="s">
        <v>65</v>
      </c>
      <c r="L2689" s="1" t="s">
        <v>860</v>
      </c>
      <c r="M2689" s="1" t="s">
        <v>496</v>
      </c>
      <c r="N2689" s="1" t="s">
        <v>9041</v>
      </c>
      <c r="O2689" s="1" t="s">
        <v>9042</v>
      </c>
      <c r="P2689" s="1" t="s">
        <v>9043</v>
      </c>
      <c r="U2689" s="1" t="s">
        <v>9038</v>
      </c>
      <c r="Z2689" s="1" t="s">
        <v>71</v>
      </c>
      <c r="AE2689" s="1" t="s">
        <v>9044</v>
      </c>
      <c r="AF2689" s="1" t="s">
        <v>59</v>
      </c>
      <c r="AH2689" s="1" t="s">
        <v>73</v>
      </c>
      <c r="AK2689" s="1" t="s">
        <v>71</v>
      </c>
      <c r="AS2689" s="1" t="s">
        <v>71</v>
      </c>
    </row>
    <row r="2690" customFormat="false" ht="15" hidden="false" customHeight="false" outlineLevel="0" collapsed="false">
      <c r="A2690" s="1" t="s">
        <v>9045</v>
      </c>
      <c r="B2690" s="1" t="s">
        <v>9046</v>
      </c>
      <c r="C2690" s="1" t="s">
        <v>2658</v>
      </c>
      <c r="D2690" s="1" t="s">
        <v>9040</v>
      </c>
      <c r="E2690" s="1" t="s">
        <v>82</v>
      </c>
      <c r="F2690" s="1" t="s">
        <v>391</v>
      </c>
      <c r="G2690" s="1" t="s">
        <v>97</v>
      </c>
      <c r="H2690" s="1" t="s">
        <v>406</v>
      </c>
      <c r="K2690" s="1" t="s">
        <v>65</v>
      </c>
      <c r="L2690" s="1" t="s">
        <v>860</v>
      </c>
      <c r="M2690" s="1" t="s">
        <v>496</v>
      </c>
      <c r="N2690" s="1" t="s">
        <v>9047</v>
      </c>
      <c r="O2690" s="1" t="s">
        <v>9048</v>
      </c>
      <c r="P2690" s="1" t="s">
        <v>9049</v>
      </c>
      <c r="U2690" s="1" t="s">
        <v>9045</v>
      </c>
      <c r="Z2690" s="1" t="s">
        <v>71</v>
      </c>
      <c r="AE2690" s="1" t="s">
        <v>9044</v>
      </c>
      <c r="AF2690" s="1" t="s">
        <v>59</v>
      </c>
      <c r="AH2690" s="1" t="s">
        <v>73</v>
      </c>
      <c r="AK2690" s="1" t="s">
        <v>71</v>
      </c>
      <c r="AS2690" s="1" t="s">
        <v>71</v>
      </c>
    </row>
    <row r="2691" customFormat="false" ht="15" hidden="false" customHeight="false" outlineLevel="0" collapsed="false">
      <c r="A2691" s="1" t="s">
        <v>9050</v>
      </c>
      <c r="B2691" s="1" t="s">
        <v>9051</v>
      </c>
      <c r="C2691" s="1" t="s">
        <v>2658</v>
      </c>
      <c r="D2691" s="1" t="s">
        <v>9040</v>
      </c>
      <c r="E2691" s="1" t="s">
        <v>82</v>
      </c>
      <c r="F2691" s="1" t="s">
        <v>391</v>
      </c>
      <c r="G2691" s="1" t="s">
        <v>97</v>
      </c>
      <c r="H2691" s="1" t="s">
        <v>406</v>
      </c>
      <c r="K2691" s="1" t="s">
        <v>65</v>
      </c>
      <c r="L2691" s="1" t="s">
        <v>860</v>
      </c>
      <c r="M2691" s="1" t="s">
        <v>496</v>
      </c>
      <c r="N2691" s="1" t="s">
        <v>9052</v>
      </c>
      <c r="O2691" s="1" t="s">
        <v>9053</v>
      </c>
      <c r="P2691" s="1" t="s">
        <v>9054</v>
      </c>
      <c r="U2691" s="1" t="s">
        <v>9050</v>
      </c>
      <c r="Z2691" s="1" t="s">
        <v>71</v>
      </c>
      <c r="AE2691" s="1" t="s">
        <v>9044</v>
      </c>
      <c r="AF2691" s="1" t="s">
        <v>59</v>
      </c>
      <c r="AH2691" s="1" t="s">
        <v>73</v>
      </c>
      <c r="AK2691" s="1" t="s">
        <v>71</v>
      </c>
      <c r="AS2691" s="1" t="s">
        <v>71</v>
      </c>
    </row>
    <row r="2692" customFormat="false" ht="15" hidden="false" customHeight="false" outlineLevel="0" collapsed="false">
      <c r="A2692" s="1" t="s">
        <v>9055</v>
      </c>
      <c r="B2692" s="1" t="s">
        <v>9056</v>
      </c>
      <c r="C2692" s="1" t="s">
        <v>2658</v>
      </c>
      <c r="D2692" s="1" t="s">
        <v>9040</v>
      </c>
      <c r="E2692" s="1" t="s">
        <v>82</v>
      </c>
      <c r="F2692" s="1" t="s">
        <v>391</v>
      </c>
      <c r="G2692" s="1" t="s">
        <v>97</v>
      </c>
      <c r="H2692" s="1" t="s">
        <v>406</v>
      </c>
      <c r="K2692" s="1" t="s">
        <v>65</v>
      </c>
      <c r="L2692" s="1" t="s">
        <v>860</v>
      </c>
      <c r="M2692" s="1" t="s">
        <v>496</v>
      </c>
      <c r="N2692" s="1" t="s">
        <v>9057</v>
      </c>
      <c r="O2692" s="1" t="s">
        <v>400</v>
      </c>
      <c r="P2692" s="1" t="s">
        <v>9058</v>
      </c>
      <c r="U2692" s="1" t="s">
        <v>9055</v>
      </c>
      <c r="Z2692" s="1" t="s">
        <v>71</v>
      </c>
      <c r="AE2692" s="1" t="s">
        <v>9044</v>
      </c>
      <c r="AF2692" s="1" t="s">
        <v>59</v>
      </c>
      <c r="AH2692" s="1" t="s">
        <v>73</v>
      </c>
      <c r="AK2692" s="1" t="s">
        <v>71</v>
      </c>
      <c r="AS2692" s="1" t="s">
        <v>71</v>
      </c>
    </row>
    <row r="2693" customFormat="false" ht="15" hidden="false" customHeight="false" outlineLevel="0" collapsed="false">
      <c r="A2693" s="1" t="s">
        <v>9059</v>
      </c>
      <c r="B2693" s="1" t="s">
        <v>9060</v>
      </c>
      <c r="C2693" s="1" t="s">
        <v>2658</v>
      </c>
      <c r="D2693" s="1" t="s">
        <v>9040</v>
      </c>
      <c r="E2693" s="1" t="s">
        <v>82</v>
      </c>
      <c r="F2693" s="1" t="s">
        <v>391</v>
      </c>
      <c r="G2693" s="1" t="s">
        <v>97</v>
      </c>
      <c r="H2693" s="1" t="s">
        <v>406</v>
      </c>
      <c r="K2693" s="1" t="s">
        <v>65</v>
      </c>
      <c r="L2693" s="1" t="s">
        <v>860</v>
      </c>
      <c r="M2693" s="1" t="s">
        <v>496</v>
      </c>
      <c r="N2693" s="1" t="s">
        <v>497</v>
      </c>
      <c r="O2693" s="1" t="s">
        <v>498</v>
      </c>
      <c r="P2693" s="1" t="s">
        <v>9061</v>
      </c>
      <c r="U2693" s="1" t="s">
        <v>9059</v>
      </c>
      <c r="Z2693" s="1" t="s">
        <v>71</v>
      </c>
      <c r="AE2693" s="1" t="s">
        <v>9044</v>
      </c>
      <c r="AF2693" s="1" t="s">
        <v>59</v>
      </c>
      <c r="AH2693" s="1" t="s">
        <v>73</v>
      </c>
      <c r="AK2693" s="1" t="s">
        <v>71</v>
      </c>
      <c r="AS2693" s="1" t="s">
        <v>71</v>
      </c>
    </row>
    <row r="2694" customFormat="false" ht="15" hidden="false" customHeight="false" outlineLevel="0" collapsed="false">
      <c r="A2694" s="1" t="s">
        <v>9062</v>
      </c>
      <c r="B2694" s="1" t="s">
        <v>9063</v>
      </c>
      <c r="C2694" s="1" t="s">
        <v>2658</v>
      </c>
      <c r="D2694" s="1" t="s">
        <v>9040</v>
      </c>
      <c r="E2694" s="1" t="s">
        <v>82</v>
      </c>
      <c r="F2694" s="1" t="s">
        <v>391</v>
      </c>
      <c r="G2694" s="1" t="s">
        <v>97</v>
      </c>
      <c r="H2694" s="1" t="s">
        <v>406</v>
      </c>
      <c r="K2694" s="1" t="s">
        <v>65</v>
      </c>
      <c r="L2694" s="1" t="s">
        <v>860</v>
      </c>
      <c r="M2694" s="1" t="s">
        <v>496</v>
      </c>
      <c r="N2694" s="1" t="s">
        <v>9041</v>
      </c>
      <c r="O2694" s="1" t="s">
        <v>9042</v>
      </c>
      <c r="P2694" s="1" t="s">
        <v>9043</v>
      </c>
      <c r="U2694" s="1" t="s">
        <v>9062</v>
      </c>
      <c r="Z2694" s="1" t="s">
        <v>71</v>
      </c>
      <c r="AE2694" s="1" t="s">
        <v>9044</v>
      </c>
      <c r="AF2694" s="1" t="s">
        <v>59</v>
      </c>
      <c r="AH2694" s="1" t="s">
        <v>73</v>
      </c>
      <c r="AK2694" s="1" t="s">
        <v>71</v>
      </c>
      <c r="AS2694" s="1" t="s">
        <v>71</v>
      </c>
    </row>
    <row r="2695" customFormat="false" ht="15" hidden="false" customHeight="false" outlineLevel="0" collapsed="false">
      <c r="A2695" s="1" t="s">
        <v>9064</v>
      </c>
      <c r="B2695" s="1" t="s">
        <v>9065</v>
      </c>
      <c r="C2695" s="1" t="s">
        <v>2658</v>
      </c>
      <c r="D2695" s="1" t="s">
        <v>9040</v>
      </c>
      <c r="E2695" s="1" t="s">
        <v>82</v>
      </c>
      <c r="F2695" s="1" t="s">
        <v>391</v>
      </c>
      <c r="G2695" s="1" t="s">
        <v>97</v>
      </c>
      <c r="H2695" s="1" t="s">
        <v>406</v>
      </c>
      <c r="K2695" s="1" t="s">
        <v>65</v>
      </c>
      <c r="L2695" s="1" t="s">
        <v>860</v>
      </c>
      <c r="M2695" s="1" t="s">
        <v>496</v>
      </c>
      <c r="N2695" s="1" t="s">
        <v>9057</v>
      </c>
      <c r="O2695" s="1" t="s">
        <v>400</v>
      </c>
      <c r="P2695" s="1" t="s">
        <v>9058</v>
      </c>
      <c r="U2695" s="1" t="s">
        <v>9064</v>
      </c>
      <c r="Z2695" s="1" t="s">
        <v>71</v>
      </c>
      <c r="AE2695" s="1" t="s">
        <v>9044</v>
      </c>
      <c r="AF2695" s="1" t="s">
        <v>59</v>
      </c>
      <c r="AH2695" s="1" t="s">
        <v>73</v>
      </c>
      <c r="AK2695" s="1" t="s">
        <v>71</v>
      </c>
      <c r="AS2695" s="1" t="s">
        <v>71</v>
      </c>
    </row>
    <row r="2696" customFormat="false" ht="15" hidden="false" customHeight="false" outlineLevel="0" collapsed="false">
      <c r="A2696" s="1" t="s">
        <v>9066</v>
      </c>
      <c r="B2696" s="1" t="s">
        <v>9067</v>
      </c>
      <c r="C2696" s="1" t="s">
        <v>8991</v>
      </c>
      <c r="D2696" s="1" t="s">
        <v>8992</v>
      </c>
      <c r="E2696" s="1" t="s">
        <v>82</v>
      </c>
      <c r="F2696" s="1" t="s">
        <v>391</v>
      </c>
      <c r="G2696" s="1" t="s">
        <v>97</v>
      </c>
      <c r="H2696" s="1" t="s">
        <v>406</v>
      </c>
      <c r="K2696" s="1" t="s">
        <v>65</v>
      </c>
      <c r="L2696" s="1" t="s">
        <v>860</v>
      </c>
      <c r="M2696" s="1" t="s">
        <v>496</v>
      </c>
      <c r="N2696" s="1" t="s">
        <v>9068</v>
      </c>
      <c r="O2696" s="1" t="s">
        <v>9069</v>
      </c>
      <c r="P2696" s="1" t="s">
        <v>9070</v>
      </c>
      <c r="U2696" s="1" t="s">
        <v>9066</v>
      </c>
      <c r="Z2696" s="1" t="s">
        <v>71</v>
      </c>
      <c r="AE2696" s="1" t="s">
        <v>9071</v>
      </c>
      <c r="AF2696" s="1" t="s">
        <v>59</v>
      </c>
      <c r="AH2696" s="1" t="s">
        <v>73</v>
      </c>
      <c r="AK2696" s="1" t="s">
        <v>71</v>
      </c>
      <c r="AS2696" s="1" t="s">
        <v>71</v>
      </c>
    </row>
    <row r="2697" customFormat="false" ht="15" hidden="false" customHeight="false" outlineLevel="0" collapsed="false">
      <c r="A2697" s="1" t="s">
        <v>9072</v>
      </c>
      <c r="B2697" s="1" t="s">
        <v>9073</v>
      </c>
      <c r="C2697" s="1" t="s">
        <v>8991</v>
      </c>
      <c r="D2697" s="1" t="s">
        <v>8992</v>
      </c>
      <c r="E2697" s="1" t="s">
        <v>82</v>
      </c>
      <c r="F2697" s="1" t="s">
        <v>391</v>
      </c>
      <c r="G2697" s="1" t="s">
        <v>97</v>
      </c>
      <c r="H2697" s="1" t="s">
        <v>406</v>
      </c>
      <c r="K2697" s="1" t="s">
        <v>65</v>
      </c>
      <c r="L2697" s="1" t="s">
        <v>860</v>
      </c>
      <c r="M2697" s="1" t="s">
        <v>496</v>
      </c>
      <c r="N2697" s="1" t="s">
        <v>779</v>
      </c>
      <c r="O2697" s="1" t="s">
        <v>400</v>
      </c>
      <c r="P2697" s="1" t="s">
        <v>4378</v>
      </c>
      <c r="U2697" s="1" t="s">
        <v>9072</v>
      </c>
      <c r="Z2697" s="1" t="s">
        <v>71</v>
      </c>
      <c r="AE2697" s="1" t="s">
        <v>9071</v>
      </c>
      <c r="AF2697" s="1" t="s">
        <v>59</v>
      </c>
      <c r="AH2697" s="1" t="s">
        <v>73</v>
      </c>
      <c r="AK2697" s="1" t="s">
        <v>71</v>
      </c>
      <c r="AS2697" s="1" t="s">
        <v>71</v>
      </c>
    </row>
    <row r="2698" customFormat="false" ht="15" hidden="false" customHeight="false" outlineLevel="0" collapsed="false">
      <c r="A2698" s="1" t="s">
        <v>9074</v>
      </c>
      <c r="B2698" s="1" t="s">
        <v>9075</v>
      </c>
      <c r="C2698" s="1" t="s">
        <v>9076</v>
      </c>
      <c r="D2698" s="1" t="s">
        <v>9077</v>
      </c>
      <c r="E2698" s="1" t="s">
        <v>82</v>
      </c>
      <c r="F2698" s="1" t="s">
        <v>391</v>
      </c>
      <c r="G2698" s="1" t="s">
        <v>308</v>
      </c>
      <c r="H2698" s="1" t="s">
        <v>1789</v>
      </c>
      <c r="K2698" s="1" t="s">
        <v>1790</v>
      </c>
      <c r="L2698" s="1" t="s">
        <v>1791</v>
      </c>
      <c r="M2698" s="1" t="s">
        <v>496</v>
      </c>
      <c r="N2698" s="1" t="s">
        <v>9078</v>
      </c>
      <c r="O2698" s="1" t="s">
        <v>4030</v>
      </c>
      <c r="P2698" s="1" t="s">
        <v>9079</v>
      </c>
      <c r="U2698" s="1" t="s">
        <v>9074</v>
      </c>
      <c r="Z2698" s="1" t="s">
        <v>71</v>
      </c>
      <c r="AE2698" s="1" t="s">
        <v>9071</v>
      </c>
      <c r="AF2698" s="1" t="s">
        <v>59</v>
      </c>
      <c r="AH2698" s="1" t="s">
        <v>73</v>
      </c>
      <c r="AK2698" s="1" t="s">
        <v>71</v>
      </c>
      <c r="AS2698" s="1" t="s">
        <v>71</v>
      </c>
    </row>
    <row r="2699" customFormat="false" ht="15" hidden="false" customHeight="false" outlineLevel="0" collapsed="false">
      <c r="A2699" s="1" t="s">
        <v>9080</v>
      </c>
      <c r="B2699" s="1" t="s">
        <v>9081</v>
      </c>
      <c r="C2699" s="1" t="s">
        <v>9076</v>
      </c>
      <c r="D2699" s="1" t="s">
        <v>9077</v>
      </c>
      <c r="E2699" s="1" t="s">
        <v>82</v>
      </c>
      <c r="F2699" s="1" t="s">
        <v>391</v>
      </c>
      <c r="G2699" s="1" t="s">
        <v>308</v>
      </c>
      <c r="H2699" s="1" t="s">
        <v>1789</v>
      </c>
      <c r="K2699" s="1" t="s">
        <v>836</v>
      </c>
      <c r="L2699" s="1" t="s">
        <v>3618</v>
      </c>
      <c r="M2699" s="1" t="s">
        <v>496</v>
      </c>
      <c r="N2699" s="1" t="s">
        <v>9082</v>
      </c>
      <c r="O2699" s="1" t="s">
        <v>4030</v>
      </c>
      <c r="P2699" s="1" t="s">
        <v>9083</v>
      </c>
      <c r="U2699" s="1" t="s">
        <v>9080</v>
      </c>
      <c r="Z2699" s="1" t="s">
        <v>71</v>
      </c>
      <c r="AE2699" s="1" t="s">
        <v>9071</v>
      </c>
      <c r="AF2699" s="1" t="s">
        <v>59</v>
      </c>
      <c r="AH2699" s="1" t="s">
        <v>73</v>
      </c>
      <c r="AK2699" s="1" t="s">
        <v>71</v>
      </c>
      <c r="AS2699" s="1" t="s">
        <v>71</v>
      </c>
    </row>
    <row r="2700" customFormat="false" ht="15" hidden="false" customHeight="false" outlineLevel="0" collapsed="false">
      <c r="A2700" s="1" t="s">
        <v>9084</v>
      </c>
      <c r="B2700" s="1" t="s">
        <v>9085</v>
      </c>
      <c r="C2700" s="1" t="s">
        <v>9076</v>
      </c>
      <c r="D2700" s="1" t="s">
        <v>9077</v>
      </c>
      <c r="E2700" s="1" t="s">
        <v>82</v>
      </c>
      <c r="F2700" s="1" t="s">
        <v>391</v>
      </c>
      <c r="G2700" s="1" t="s">
        <v>308</v>
      </c>
      <c r="H2700" s="1" t="s">
        <v>1789</v>
      </c>
      <c r="K2700" s="1" t="s">
        <v>407</v>
      </c>
      <c r="L2700" s="1" t="s">
        <v>3621</v>
      </c>
      <c r="M2700" s="1" t="s">
        <v>496</v>
      </c>
      <c r="N2700" s="1" t="s">
        <v>9078</v>
      </c>
      <c r="O2700" s="1" t="s">
        <v>4030</v>
      </c>
      <c r="P2700" s="1" t="s">
        <v>9079</v>
      </c>
      <c r="U2700" s="1" t="s">
        <v>9084</v>
      </c>
      <c r="Z2700" s="1" t="s">
        <v>71</v>
      </c>
      <c r="AE2700" s="1" t="s">
        <v>9071</v>
      </c>
      <c r="AF2700" s="1" t="s">
        <v>59</v>
      </c>
      <c r="AH2700" s="1" t="s">
        <v>73</v>
      </c>
      <c r="AK2700" s="1" t="s">
        <v>71</v>
      </c>
      <c r="AS2700" s="1" t="s">
        <v>71</v>
      </c>
    </row>
    <row r="2701" customFormat="false" ht="15" hidden="false" customHeight="false" outlineLevel="0" collapsed="false">
      <c r="A2701" s="1" t="s">
        <v>9086</v>
      </c>
      <c r="B2701" s="1" t="s">
        <v>9087</v>
      </c>
      <c r="C2701" s="1" t="s">
        <v>163</v>
      </c>
      <c r="D2701" s="1" t="s">
        <v>267</v>
      </c>
      <c r="E2701" s="1" t="s">
        <v>61</v>
      </c>
      <c r="F2701" s="1" t="s">
        <v>101</v>
      </c>
      <c r="G2701" s="1" t="s">
        <v>148</v>
      </c>
      <c r="H2701" s="1" t="s">
        <v>231</v>
      </c>
      <c r="K2701" s="1" t="s">
        <v>232</v>
      </c>
      <c r="L2701" s="1" t="s">
        <v>233</v>
      </c>
      <c r="M2701" s="1" t="s">
        <v>310</v>
      </c>
      <c r="N2701" s="1" t="s">
        <v>234</v>
      </c>
      <c r="O2701" s="1" t="s">
        <v>235</v>
      </c>
      <c r="P2701" s="1" t="s">
        <v>5284</v>
      </c>
      <c r="U2701" s="1" t="s">
        <v>9086</v>
      </c>
      <c r="Z2701" s="1" t="s">
        <v>71</v>
      </c>
      <c r="AE2701" s="1" t="s">
        <v>9088</v>
      </c>
      <c r="AH2701" s="1" t="s">
        <v>73</v>
      </c>
      <c r="AK2701" s="1" t="s">
        <v>71</v>
      </c>
      <c r="AM2701" s="1" t="s">
        <v>71</v>
      </c>
      <c r="AN2701" s="1" t="s">
        <v>71</v>
      </c>
      <c r="AS2701" s="1" t="s">
        <v>71</v>
      </c>
      <c r="AX2701" s="1" t="s">
        <v>71</v>
      </c>
      <c r="AY2701" s="1" t="s">
        <v>59</v>
      </c>
      <c r="AZ2701" s="1" t="s">
        <v>74</v>
      </c>
      <c r="BH2701" s="1" t="s">
        <v>71</v>
      </c>
    </row>
    <row r="2702" customFormat="false" ht="15" hidden="false" customHeight="false" outlineLevel="0" collapsed="false">
      <c r="A2702" s="1" t="s">
        <v>9089</v>
      </c>
      <c r="B2702" s="1" t="s">
        <v>9090</v>
      </c>
      <c r="C2702" s="1" t="s">
        <v>9091</v>
      </c>
      <c r="D2702" s="1" t="s">
        <v>8839</v>
      </c>
      <c r="E2702" s="1" t="s">
        <v>82</v>
      </c>
      <c r="F2702" s="1" t="s">
        <v>391</v>
      </c>
      <c r="G2702" s="1" t="s">
        <v>97</v>
      </c>
      <c r="H2702" s="1" t="s">
        <v>406</v>
      </c>
      <c r="K2702" s="1" t="s">
        <v>65</v>
      </c>
      <c r="L2702" s="1" t="s">
        <v>860</v>
      </c>
      <c r="M2702" s="1" t="s">
        <v>496</v>
      </c>
      <c r="N2702" s="1" t="s">
        <v>8966</v>
      </c>
      <c r="O2702" s="1" t="s">
        <v>8967</v>
      </c>
      <c r="P2702" s="1" t="s">
        <v>8968</v>
      </c>
      <c r="U2702" s="1" t="s">
        <v>9089</v>
      </c>
      <c r="Z2702" s="1" t="s">
        <v>71</v>
      </c>
      <c r="AE2702" s="1" t="s">
        <v>9092</v>
      </c>
      <c r="AF2702" s="1" t="s">
        <v>59</v>
      </c>
      <c r="AH2702" s="1" t="s">
        <v>73</v>
      </c>
      <c r="AK2702" s="1" t="s">
        <v>71</v>
      </c>
      <c r="AS2702" s="1" t="s">
        <v>71</v>
      </c>
    </row>
    <row r="2703" customFormat="false" ht="15" hidden="false" customHeight="false" outlineLevel="0" collapsed="false">
      <c r="A2703" s="1" t="s">
        <v>9093</v>
      </c>
      <c r="B2703" s="1" t="s">
        <v>9094</v>
      </c>
      <c r="C2703" s="1" t="s">
        <v>9091</v>
      </c>
      <c r="D2703" s="1" t="s">
        <v>8839</v>
      </c>
      <c r="E2703" s="1" t="s">
        <v>82</v>
      </c>
      <c r="F2703" s="1" t="s">
        <v>391</v>
      </c>
      <c r="G2703" s="1" t="s">
        <v>97</v>
      </c>
      <c r="H2703" s="1" t="s">
        <v>406</v>
      </c>
      <c r="K2703" s="1" t="s">
        <v>65</v>
      </c>
      <c r="L2703" s="1" t="s">
        <v>860</v>
      </c>
      <c r="M2703" s="1" t="s">
        <v>496</v>
      </c>
      <c r="N2703" s="1" t="s">
        <v>9095</v>
      </c>
      <c r="O2703" s="1" t="s">
        <v>9096</v>
      </c>
      <c r="P2703" s="1" t="s">
        <v>9097</v>
      </c>
      <c r="U2703" s="1" t="s">
        <v>9093</v>
      </c>
      <c r="Z2703" s="1" t="s">
        <v>71</v>
      </c>
      <c r="AE2703" s="1" t="s">
        <v>9092</v>
      </c>
      <c r="AF2703" s="1" t="s">
        <v>59</v>
      </c>
      <c r="AH2703" s="1" t="s">
        <v>73</v>
      </c>
      <c r="AK2703" s="1" t="s">
        <v>71</v>
      </c>
      <c r="AS2703" s="1" t="s">
        <v>71</v>
      </c>
    </row>
    <row r="2704" customFormat="false" ht="15" hidden="false" customHeight="false" outlineLevel="0" collapsed="false">
      <c r="A2704" s="1" t="s">
        <v>9098</v>
      </c>
      <c r="B2704" s="1" t="s">
        <v>9099</v>
      </c>
      <c r="C2704" s="1" t="s">
        <v>163</v>
      </c>
      <c r="D2704" s="1" t="s">
        <v>267</v>
      </c>
      <c r="E2704" s="1" t="s">
        <v>82</v>
      </c>
      <c r="F2704" s="1" t="s">
        <v>391</v>
      </c>
      <c r="G2704" s="1" t="s">
        <v>97</v>
      </c>
      <c r="H2704" s="1" t="s">
        <v>406</v>
      </c>
      <c r="K2704" s="1" t="s">
        <v>65</v>
      </c>
      <c r="L2704" s="1" t="s">
        <v>860</v>
      </c>
      <c r="M2704" s="1" t="s">
        <v>3458</v>
      </c>
      <c r="N2704" s="1" t="s">
        <v>9100</v>
      </c>
      <c r="O2704" s="1" t="s">
        <v>9101</v>
      </c>
      <c r="P2704" s="1" t="s">
        <v>9102</v>
      </c>
      <c r="U2704" s="1" t="s">
        <v>9098</v>
      </c>
      <c r="Z2704" s="1" t="s">
        <v>71</v>
      </c>
      <c r="AE2704" s="1" t="s">
        <v>9092</v>
      </c>
      <c r="AF2704" s="1" t="s">
        <v>59</v>
      </c>
      <c r="AH2704" s="1" t="s">
        <v>73</v>
      </c>
      <c r="AK2704" s="1" t="s">
        <v>71</v>
      </c>
      <c r="AS2704" s="1" t="s">
        <v>71</v>
      </c>
    </row>
    <row r="2705" customFormat="false" ht="15" hidden="false" customHeight="false" outlineLevel="0" collapsed="false">
      <c r="A2705" s="1" t="s">
        <v>9103</v>
      </c>
      <c r="B2705" s="1" t="s">
        <v>9104</v>
      </c>
      <c r="C2705" s="1" t="s">
        <v>161</v>
      </c>
      <c r="D2705" s="1" t="s">
        <v>162</v>
      </c>
      <c r="E2705" s="1" t="s">
        <v>61</v>
      </c>
      <c r="F2705" s="1" t="s">
        <v>101</v>
      </c>
      <c r="G2705" s="1" t="s">
        <v>93</v>
      </c>
      <c r="H2705" s="1" t="s">
        <v>64</v>
      </c>
      <c r="K2705" s="1" t="s">
        <v>3150</v>
      </c>
      <c r="L2705" s="1" t="s">
        <v>3151</v>
      </c>
      <c r="M2705" s="1" t="s">
        <v>592</v>
      </c>
      <c r="N2705" s="1" t="s">
        <v>203</v>
      </c>
      <c r="O2705" s="1" t="s">
        <v>204</v>
      </c>
      <c r="P2705" s="1" t="s">
        <v>3536</v>
      </c>
      <c r="U2705" s="1" t="s">
        <v>9103</v>
      </c>
      <c r="Z2705" s="1" t="s">
        <v>71</v>
      </c>
      <c r="AE2705" s="1" t="s">
        <v>9105</v>
      </c>
      <c r="AH2705" s="1" t="s">
        <v>73</v>
      </c>
      <c r="AK2705" s="1" t="s">
        <v>71</v>
      </c>
      <c r="AM2705" s="1" t="s">
        <v>71</v>
      </c>
      <c r="AN2705" s="1" t="s">
        <v>71</v>
      </c>
      <c r="AS2705" s="1" t="s">
        <v>71</v>
      </c>
      <c r="AY2705" s="1" t="s">
        <v>59</v>
      </c>
      <c r="AZ2705" s="1" t="s">
        <v>74</v>
      </c>
      <c r="BH2705" s="1" t="s">
        <v>71</v>
      </c>
    </row>
    <row r="2706" customFormat="false" ht="15" hidden="false" customHeight="false" outlineLevel="0" collapsed="false">
      <c r="A2706" s="1" t="s">
        <v>9106</v>
      </c>
      <c r="B2706" s="1" t="s">
        <v>9107</v>
      </c>
      <c r="C2706" s="1" t="s">
        <v>222</v>
      </c>
      <c r="D2706" s="1" t="s">
        <v>223</v>
      </c>
      <c r="E2706" s="1" t="s">
        <v>61</v>
      </c>
      <c r="F2706" s="1" t="s">
        <v>101</v>
      </c>
      <c r="G2706" s="1" t="s">
        <v>93</v>
      </c>
      <c r="H2706" s="1" t="s">
        <v>64</v>
      </c>
      <c r="K2706" s="1" t="s">
        <v>9108</v>
      </c>
      <c r="L2706" s="1" t="s">
        <v>9109</v>
      </c>
      <c r="M2706" s="1" t="s">
        <v>285</v>
      </c>
      <c r="N2706" s="1" t="s">
        <v>105</v>
      </c>
      <c r="O2706" s="1" t="s">
        <v>106</v>
      </c>
      <c r="P2706" s="1" t="s">
        <v>3539</v>
      </c>
      <c r="U2706" s="1" t="s">
        <v>9106</v>
      </c>
      <c r="Z2706" s="1" t="s">
        <v>71</v>
      </c>
      <c r="AE2706" s="1" t="s">
        <v>9110</v>
      </c>
      <c r="AH2706" s="1" t="s">
        <v>73</v>
      </c>
      <c r="AK2706" s="1" t="s">
        <v>71</v>
      </c>
      <c r="AM2706" s="1" t="s">
        <v>71</v>
      </c>
      <c r="AN2706" s="1" t="s">
        <v>71</v>
      </c>
      <c r="AS2706" s="1" t="s">
        <v>71</v>
      </c>
      <c r="AX2706" s="1" t="s">
        <v>71</v>
      </c>
      <c r="AY2706" s="1" t="s">
        <v>59</v>
      </c>
      <c r="AZ2706" s="1" t="s">
        <v>74</v>
      </c>
      <c r="BH2706" s="1" t="s">
        <v>71</v>
      </c>
    </row>
    <row r="2707" customFormat="false" ht="15" hidden="false" customHeight="false" outlineLevel="0" collapsed="false">
      <c r="A2707" s="1" t="s">
        <v>9111</v>
      </c>
      <c r="B2707" s="1" t="s">
        <v>9112</v>
      </c>
      <c r="C2707" s="1" t="s">
        <v>647</v>
      </c>
      <c r="D2707" s="1" t="s">
        <v>2056</v>
      </c>
      <c r="E2707" s="1" t="s">
        <v>82</v>
      </c>
      <c r="F2707" s="1" t="s">
        <v>391</v>
      </c>
      <c r="G2707" s="1" t="s">
        <v>213</v>
      </c>
      <c r="H2707" s="1" t="s">
        <v>477</v>
      </c>
      <c r="K2707" s="1" t="s">
        <v>1904</v>
      </c>
      <c r="L2707" s="1" t="s">
        <v>1905</v>
      </c>
      <c r="M2707" s="1" t="s">
        <v>496</v>
      </c>
      <c r="N2707" s="1" t="s">
        <v>9113</v>
      </c>
      <c r="O2707" s="1" t="s">
        <v>9114</v>
      </c>
      <c r="P2707" s="1" t="s">
        <v>9115</v>
      </c>
      <c r="U2707" s="1" t="s">
        <v>9111</v>
      </c>
      <c r="Z2707" s="1" t="s">
        <v>71</v>
      </c>
      <c r="AE2707" s="1" t="s">
        <v>9116</v>
      </c>
      <c r="AH2707" s="1" t="s">
        <v>73</v>
      </c>
      <c r="AK2707" s="1" t="s">
        <v>71</v>
      </c>
      <c r="AS2707" s="1" t="s">
        <v>71</v>
      </c>
    </row>
    <row r="2708" customFormat="false" ht="15" hidden="false" customHeight="false" outlineLevel="0" collapsed="false">
      <c r="A2708" s="1" t="s">
        <v>9117</v>
      </c>
      <c r="B2708" s="1" t="s">
        <v>9118</v>
      </c>
      <c r="C2708" s="1" t="s">
        <v>161</v>
      </c>
      <c r="D2708" s="1" t="s">
        <v>162</v>
      </c>
      <c r="E2708" s="1" t="s">
        <v>61</v>
      </c>
      <c r="F2708" s="1" t="s">
        <v>101</v>
      </c>
      <c r="G2708" s="1" t="s">
        <v>93</v>
      </c>
      <c r="H2708" s="1" t="s">
        <v>64</v>
      </c>
      <c r="K2708" s="1" t="s">
        <v>108</v>
      </c>
      <c r="L2708" s="1" t="s">
        <v>2547</v>
      </c>
      <c r="M2708" s="1" t="s">
        <v>310</v>
      </c>
      <c r="N2708" s="1" t="s">
        <v>105</v>
      </c>
      <c r="O2708" s="1" t="s">
        <v>106</v>
      </c>
      <c r="P2708" s="1" t="s">
        <v>3539</v>
      </c>
      <c r="U2708" s="1" t="s">
        <v>9117</v>
      </c>
      <c r="Z2708" s="1" t="s">
        <v>71</v>
      </c>
      <c r="AE2708" s="1" t="s">
        <v>9116</v>
      </c>
      <c r="AH2708" s="1" t="s">
        <v>73</v>
      </c>
      <c r="AK2708" s="1" t="s">
        <v>71</v>
      </c>
      <c r="AM2708" s="1" t="s">
        <v>71</v>
      </c>
      <c r="AN2708" s="1" t="s">
        <v>71</v>
      </c>
      <c r="AS2708" s="1" t="s">
        <v>71</v>
      </c>
      <c r="AX2708" s="1" t="s">
        <v>71</v>
      </c>
      <c r="AY2708" s="1" t="s">
        <v>59</v>
      </c>
      <c r="AZ2708" s="1" t="s">
        <v>74</v>
      </c>
      <c r="BH2708" s="1" t="s">
        <v>71</v>
      </c>
    </row>
    <row r="2709" customFormat="false" ht="15" hidden="false" customHeight="false" outlineLevel="0" collapsed="false">
      <c r="A2709" s="1" t="s">
        <v>9119</v>
      </c>
      <c r="B2709" s="1" t="s">
        <v>9120</v>
      </c>
      <c r="C2709" s="1" t="s">
        <v>2090</v>
      </c>
      <c r="D2709" s="1" t="s">
        <v>7238</v>
      </c>
      <c r="E2709" s="1" t="s">
        <v>61</v>
      </c>
      <c r="F2709" s="1" t="s">
        <v>101</v>
      </c>
      <c r="G2709" s="1" t="s">
        <v>93</v>
      </c>
      <c r="H2709" s="1" t="s">
        <v>64</v>
      </c>
      <c r="K2709" s="1" t="s">
        <v>215</v>
      </c>
      <c r="L2709" s="1" t="s">
        <v>197</v>
      </c>
      <c r="M2709" s="1" t="s">
        <v>310</v>
      </c>
      <c r="N2709" s="1" t="s">
        <v>105</v>
      </c>
      <c r="O2709" s="1" t="s">
        <v>106</v>
      </c>
      <c r="P2709" s="1" t="s">
        <v>3539</v>
      </c>
      <c r="U2709" s="1" t="s">
        <v>9119</v>
      </c>
      <c r="Z2709" s="1" t="s">
        <v>71</v>
      </c>
      <c r="AE2709" s="1" t="s">
        <v>9116</v>
      </c>
      <c r="AH2709" s="1" t="s">
        <v>73</v>
      </c>
      <c r="AK2709" s="1" t="s">
        <v>71</v>
      </c>
      <c r="AM2709" s="1" t="s">
        <v>71</v>
      </c>
      <c r="AN2709" s="1" t="s">
        <v>71</v>
      </c>
      <c r="AS2709" s="1" t="s">
        <v>71</v>
      </c>
      <c r="AX2709" s="1" t="s">
        <v>71</v>
      </c>
      <c r="AY2709" s="1" t="s">
        <v>59</v>
      </c>
      <c r="AZ2709" s="1" t="s">
        <v>74</v>
      </c>
      <c r="BH2709" s="1" t="s">
        <v>71</v>
      </c>
    </row>
    <row r="2710" customFormat="false" ht="15" hidden="false" customHeight="false" outlineLevel="0" collapsed="false">
      <c r="A2710" s="1" t="s">
        <v>9121</v>
      </c>
      <c r="B2710" s="1" t="s">
        <v>9122</v>
      </c>
      <c r="C2710" s="1" t="s">
        <v>2090</v>
      </c>
      <c r="D2710" s="1" t="s">
        <v>7238</v>
      </c>
      <c r="E2710" s="1" t="s">
        <v>61</v>
      </c>
      <c r="F2710" s="1" t="s">
        <v>101</v>
      </c>
      <c r="G2710" s="1" t="s">
        <v>93</v>
      </c>
      <c r="H2710" s="1" t="s">
        <v>64</v>
      </c>
      <c r="K2710" s="1" t="s">
        <v>108</v>
      </c>
      <c r="L2710" s="1" t="s">
        <v>2547</v>
      </c>
      <c r="M2710" s="1" t="s">
        <v>1387</v>
      </c>
      <c r="N2710" s="1" t="s">
        <v>105</v>
      </c>
      <c r="O2710" s="1" t="s">
        <v>106</v>
      </c>
      <c r="P2710" s="1" t="s">
        <v>3539</v>
      </c>
      <c r="U2710" s="1" t="s">
        <v>9121</v>
      </c>
      <c r="Z2710" s="1" t="s">
        <v>71</v>
      </c>
      <c r="AE2710" s="1" t="s">
        <v>9116</v>
      </c>
      <c r="AH2710" s="1" t="s">
        <v>73</v>
      </c>
      <c r="AK2710" s="1" t="s">
        <v>71</v>
      </c>
      <c r="AM2710" s="1" t="s">
        <v>71</v>
      </c>
      <c r="AN2710" s="1" t="s">
        <v>71</v>
      </c>
      <c r="AS2710" s="1" t="s">
        <v>71</v>
      </c>
      <c r="AX2710" s="1" t="s">
        <v>71</v>
      </c>
      <c r="AY2710" s="1" t="s">
        <v>59</v>
      </c>
      <c r="AZ2710" s="1" t="s">
        <v>74</v>
      </c>
      <c r="BH2710" s="1" t="s">
        <v>71</v>
      </c>
    </row>
    <row r="2711" customFormat="false" ht="15" hidden="false" customHeight="false" outlineLevel="0" collapsed="false">
      <c r="A2711" s="1" t="s">
        <v>9123</v>
      </c>
      <c r="B2711" s="1" t="s">
        <v>9124</v>
      </c>
      <c r="C2711" s="1" t="s">
        <v>2216</v>
      </c>
      <c r="D2711" s="1" t="s">
        <v>7612</v>
      </c>
      <c r="E2711" s="1" t="s">
        <v>61</v>
      </c>
      <c r="F2711" s="1" t="s">
        <v>101</v>
      </c>
      <c r="G2711" s="1" t="s">
        <v>138</v>
      </c>
      <c r="H2711" s="1" t="s">
        <v>7621</v>
      </c>
      <c r="K2711" s="1" t="s">
        <v>59</v>
      </c>
      <c r="L2711" s="1" t="s">
        <v>7622</v>
      </c>
      <c r="M2711" s="1" t="s">
        <v>8331</v>
      </c>
      <c r="N2711" s="1" t="s">
        <v>6357</v>
      </c>
      <c r="O2711" s="1" t="s">
        <v>6358</v>
      </c>
      <c r="P2711" s="1" t="s">
        <v>6359</v>
      </c>
      <c r="U2711" s="1" t="s">
        <v>9123</v>
      </c>
      <c r="Z2711" s="1" t="s">
        <v>71</v>
      </c>
      <c r="AE2711" s="1" t="s">
        <v>9125</v>
      </c>
      <c r="AH2711" s="1" t="s">
        <v>73</v>
      </c>
      <c r="AK2711" s="1" t="s">
        <v>71</v>
      </c>
      <c r="AM2711" s="1" t="s">
        <v>71</v>
      </c>
      <c r="AN2711" s="1" t="s">
        <v>71</v>
      </c>
      <c r="AS2711" s="1" t="s">
        <v>71</v>
      </c>
      <c r="AX2711" s="1" t="s">
        <v>71</v>
      </c>
      <c r="AY2711" s="1" t="s">
        <v>59</v>
      </c>
      <c r="AZ2711" s="1" t="s">
        <v>74</v>
      </c>
      <c r="BH2711" s="1" t="s">
        <v>71</v>
      </c>
    </row>
    <row r="2712" customFormat="false" ht="15" hidden="false" customHeight="false" outlineLevel="0" collapsed="false">
      <c r="A2712" s="1" t="s">
        <v>9126</v>
      </c>
      <c r="B2712" s="1" t="s">
        <v>9127</v>
      </c>
      <c r="C2712" s="1" t="s">
        <v>752</v>
      </c>
      <c r="D2712" s="1" t="s">
        <v>2143</v>
      </c>
      <c r="E2712" s="1" t="s">
        <v>82</v>
      </c>
      <c r="F2712" s="1" t="s">
        <v>391</v>
      </c>
      <c r="G2712" s="1" t="s">
        <v>97</v>
      </c>
      <c r="H2712" s="1" t="s">
        <v>406</v>
      </c>
      <c r="K2712" s="1" t="s">
        <v>59</v>
      </c>
      <c r="L2712" s="1" t="s">
        <v>791</v>
      </c>
      <c r="M2712" s="1" t="s">
        <v>496</v>
      </c>
      <c r="N2712" s="1" t="s">
        <v>8457</v>
      </c>
      <c r="O2712" s="1" t="s">
        <v>400</v>
      </c>
      <c r="P2712" s="1" t="s">
        <v>8458</v>
      </c>
      <c r="U2712" s="1" t="s">
        <v>9126</v>
      </c>
      <c r="Z2712" s="1" t="s">
        <v>71</v>
      </c>
      <c r="AE2712" s="1" t="s">
        <v>9128</v>
      </c>
      <c r="AH2712" s="1" t="s">
        <v>73</v>
      </c>
      <c r="AK2712" s="1" t="s">
        <v>71</v>
      </c>
      <c r="AQ2712" s="1" t="s">
        <v>496</v>
      </c>
      <c r="AR2712" s="1" t="s">
        <v>1275</v>
      </c>
      <c r="AS2712" s="1" t="s">
        <v>71</v>
      </c>
    </row>
    <row r="2713" customFormat="false" ht="15" hidden="false" customHeight="false" outlineLevel="0" collapsed="false">
      <c r="A2713" s="1" t="s">
        <v>9129</v>
      </c>
      <c r="B2713" s="1" t="s">
        <v>9130</v>
      </c>
      <c r="C2713" s="1" t="s">
        <v>2141</v>
      </c>
      <c r="D2713" s="1" t="s">
        <v>7438</v>
      </c>
      <c r="E2713" s="1" t="s">
        <v>82</v>
      </c>
      <c r="F2713" s="1" t="s">
        <v>391</v>
      </c>
      <c r="G2713" s="1" t="s">
        <v>97</v>
      </c>
      <c r="H2713" s="1" t="s">
        <v>406</v>
      </c>
      <c r="K2713" s="1" t="s">
        <v>59</v>
      </c>
      <c r="L2713" s="1" t="s">
        <v>791</v>
      </c>
      <c r="M2713" s="1" t="s">
        <v>496</v>
      </c>
      <c r="N2713" s="1" t="s">
        <v>9131</v>
      </c>
      <c r="O2713" s="1" t="s">
        <v>9132</v>
      </c>
      <c r="P2713" s="1" t="s">
        <v>9133</v>
      </c>
      <c r="U2713" s="1" t="s">
        <v>9129</v>
      </c>
      <c r="Z2713" s="1" t="s">
        <v>71</v>
      </c>
      <c r="AE2713" s="1" t="s">
        <v>9134</v>
      </c>
      <c r="AH2713" s="1" t="s">
        <v>73</v>
      </c>
      <c r="AK2713" s="1" t="s">
        <v>71</v>
      </c>
      <c r="AS2713" s="1" t="s">
        <v>71</v>
      </c>
    </row>
    <row r="2714" customFormat="false" ht="15" hidden="false" customHeight="false" outlineLevel="0" collapsed="false">
      <c r="A2714" s="1" t="s">
        <v>9135</v>
      </c>
      <c r="B2714" s="1" t="s">
        <v>9136</v>
      </c>
      <c r="C2714" s="1" t="s">
        <v>2141</v>
      </c>
      <c r="D2714" s="1" t="s">
        <v>7438</v>
      </c>
      <c r="E2714" s="1" t="s">
        <v>82</v>
      </c>
      <c r="F2714" s="1" t="s">
        <v>391</v>
      </c>
      <c r="G2714" s="1" t="s">
        <v>97</v>
      </c>
      <c r="H2714" s="1" t="s">
        <v>406</v>
      </c>
      <c r="K2714" s="1" t="s">
        <v>59</v>
      </c>
      <c r="L2714" s="1" t="s">
        <v>791</v>
      </c>
      <c r="M2714" s="1" t="s">
        <v>496</v>
      </c>
      <c r="N2714" s="1" t="s">
        <v>9131</v>
      </c>
      <c r="O2714" s="1" t="s">
        <v>9132</v>
      </c>
      <c r="P2714" s="1" t="s">
        <v>9133</v>
      </c>
      <c r="U2714" s="1" t="s">
        <v>9135</v>
      </c>
      <c r="Z2714" s="1" t="s">
        <v>71</v>
      </c>
      <c r="AE2714" s="1" t="s">
        <v>9134</v>
      </c>
      <c r="AH2714" s="1" t="s">
        <v>73</v>
      </c>
      <c r="AK2714" s="1" t="s">
        <v>71</v>
      </c>
      <c r="AS2714" s="1" t="s">
        <v>71</v>
      </c>
    </row>
    <row r="2715" customFormat="false" ht="15" hidden="false" customHeight="false" outlineLevel="0" collapsed="false">
      <c r="A2715" s="1" t="s">
        <v>9137</v>
      </c>
      <c r="B2715" s="1" t="s">
        <v>9138</v>
      </c>
      <c r="C2715" s="1" t="s">
        <v>2695</v>
      </c>
      <c r="D2715" s="1" t="s">
        <v>9139</v>
      </c>
      <c r="E2715" s="1" t="s">
        <v>88</v>
      </c>
      <c r="F2715" s="1" t="s">
        <v>432</v>
      </c>
      <c r="G2715" s="1" t="s">
        <v>433</v>
      </c>
      <c r="H2715" s="1" t="s">
        <v>434</v>
      </c>
      <c r="K2715" s="1" t="s">
        <v>144</v>
      </c>
      <c r="L2715" s="1" t="s">
        <v>7852</v>
      </c>
      <c r="M2715" s="1" t="s">
        <v>496</v>
      </c>
      <c r="N2715" s="1" t="s">
        <v>9140</v>
      </c>
      <c r="O2715" s="1" t="s">
        <v>400</v>
      </c>
      <c r="P2715" s="1" t="s">
        <v>9141</v>
      </c>
      <c r="U2715" s="1" t="s">
        <v>9137</v>
      </c>
      <c r="Z2715" s="1" t="s">
        <v>71</v>
      </c>
      <c r="AE2715" s="1" t="s">
        <v>9142</v>
      </c>
      <c r="AH2715" s="1" t="s">
        <v>73</v>
      </c>
      <c r="AK2715" s="1" t="s">
        <v>71</v>
      </c>
      <c r="AS2715" s="1" t="s">
        <v>71</v>
      </c>
    </row>
    <row r="2716" customFormat="false" ht="15" hidden="false" customHeight="false" outlineLevel="0" collapsed="false">
      <c r="A2716" s="1" t="s">
        <v>9143</v>
      </c>
      <c r="B2716" s="1" t="s">
        <v>9144</v>
      </c>
      <c r="C2716" s="1" t="s">
        <v>2695</v>
      </c>
      <c r="D2716" s="1" t="s">
        <v>9139</v>
      </c>
      <c r="E2716" s="1" t="s">
        <v>82</v>
      </c>
      <c r="F2716" s="1" t="s">
        <v>391</v>
      </c>
      <c r="G2716" s="1" t="s">
        <v>97</v>
      </c>
      <c r="H2716" s="1" t="s">
        <v>406</v>
      </c>
      <c r="K2716" s="1" t="s">
        <v>59</v>
      </c>
      <c r="L2716" s="1" t="s">
        <v>791</v>
      </c>
      <c r="M2716" s="1" t="s">
        <v>496</v>
      </c>
      <c r="N2716" s="1" t="s">
        <v>4690</v>
      </c>
      <c r="O2716" s="1" t="s">
        <v>4691</v>
      </c>
      <c r="P2716" s="1" t="s">
        <v>4692</v>
      </c>
      <c r="U2716" s="1" t="s">
        <v>9143</v>
      </c>
      <c r="Z2716" s="1" t="s">
        <v>71</v>
      </c>
      <c r="AE2716" s="1" t="s">
        <v>9142</v>
      </c>
      <c r="AH2716" s="1" t="s">
        <v>73</v>
      </c>
      <c r="AK2716" s="1" t="s">
        <v>71</v>
      </c>
      <c r="AS2716" s="1" t="s">
        <v>71</v>
      </c>
    </row>
    <row r="2717" customFormat="false" ht="15" hidden="false" customHeight="false" outlineLevel="0" collapsed="false">
      <c r="A2717" s="1" t="s">
        <v>9145</v>
      </c>
      <c r="B2717" s="1" t="s">
        <v>9146</v>
      </c>
      <c r="C2717" s="1" t="s">
        <v>2695</v>
      </c>
      <c r="D2717" s="1" t="s">
        <v>9139</v>
      </c>
      <c r="E2717" s="1" t="s">
        <v>82</v>
      </c>
      <c r="F2717" s="1" t="s">
        <v>391</v>
      </c>
      <c r="G2717" s="1" t="s">
        <v>97</v>
      </c>
      <c r="H2717" s="1" t="s">
        <v>406</v>
      </c>
      <c r="K2717" s="1" t="s">
        <v>59</v>
      </c>
      <c r="L2717" s="1" t="s">
        <v>791</v>
      </c>
      <c r="M2717" s="1" t="s">
        <v>496</v>
      </c>
      <c r="N2717" s="1" t="s">
        <v>1282</v>
      </c>
      <c r="O2717" s="1" t="s">
        <v>447</v>
      </c>
      <c r="P2717" s="1" t="s">
        <v>9147</v>
      </c>
      <c r="U2717" s="1" t="s">
        <v>9145</v>
      </c>
      <c r="Z2717" s="1" t="s">
        <v>71</v>
      </c>
      <c r="AE2717" s="1" t="s">
        <v>9142</v>
      </c>
      <c r="AH2717" s="1" t="s">
        <v>73</v>
      </c>
      <c r="AK2717" s="1" t="s">
        <v>71</v>
      </c>
      <c r="AS2717" s="1" t="s">
        <v>71</v>
      </c>
    </row>
    <row r="2718" customFormat="false" ht="15" hidden="false" customHeight="false" outlineLevel="0" collapsed="false">
      <c r="A2718" s="1" t="s">
        <v>9148</v>
      </c>
      <c r="B2718" s="1" t="s">
        <v>9149</v>
      </c>
      <c r="C2718" s="1" t="s">
        <v>163</v>
      </c>
      <c r="D2718" s="1" t="s">
        <v>267</v>
      </c>
      <c r="E2718" s="1" t="s">
        <v>61</v>
      </c>
      <c r="F2718" s="1" t="s">
        <v>101</v>
      </c>
      <c r="G2718" s="1" t="s">
        <v>108</v>
      </c>
      <c r="H2718" s="1" t="s">
        <v>1495</v>
      </c>
      <c r="K2718" s="1" t="s">
        <v>5922</v>
      </c>
      <c r="L2718" s="1" t="s">
        <v>9150</v>
      </c>
      <c r="M2718" s="1" t="s">
        <v>9151</v>
      </c>
      <c r="N2718" s="1" t="s">
        <v>5423</v>
      </c>
      <c r="O2718" s="1" t="s">
        <v>5424</v>
      </c>
      <c r="P2718" s="1" t="s">
        <v>5425</v>
      </c>
      <c r="U2718" s="1" t="s">
        <v>9148</v>
      </c>
      <c r="Z2718" s="1" t="s">
        <v>71</v>
      </c>
      <c r="AE2718" s="1" t="s">
        <v>9142</v>
      </c>
      <c r="AH2718" s="1" t="s">
        <v>73</v>
      </c>
      <c r="AK2718" s="1" t="s">
        <v>71</v>
      </c>
      <c r="AM2718" s="1" t="s">
        <v>71</v>
      </c>
      <c r="AN2718" s="1" t="s">
        <v>71</v>
      </c>
      <c r="AS2718" s="1" t="s">
        <v>71</v>
      </c>
      <c r="AX2718" s="1" t="s">
        <v>71</v>
      </c>
      <c r="AY2718" s="1" t="s">
        <v>59</v>
      </c>
      <c r="AZ2718" s="1" t="s">
        <v>74</v>
      </c>
      <c r="BH2718" s="1" t="s">
        <v>71</v>
      </c>
    </row>
    <row r="2719" customFormat="false" ht="15" hidden="false" customHeight="false" outlineLevel="0" collapsed="false">
      <c r="A2719" s="1" t="s">
        <v>9152</v>
      </c>
      <c r="B2719" s="1" t="s">
        <v>9153</v>
      </c>
      <c r="C2719" s="1" t="s">
        <v>5543</v>
      </c>
      <c r="D2719" s="1" t="s">
        <v>5544</v>
      </c>
      <c r="E2719" s="1" t="s">
        <v>61</v>
      </c>
      <c r="F2719" s="1" t="s">
        <v>101</v>
      </c>
      <c r="G2719" s="1" t="s">
        <v>93</v>
      </c>
      <c r="H2719" s="1" t="s">
        <v>64</v>
      </c>
      <c r="K2719" s="1" t="s">
        <v>2190</v>
      </c>
      <c r="L2719" s="1" t="s">
        <v>5590</v>
      </c>
      <c r="M2719" s="1" t="s">
        <v>5591</v>
      </c>
      <c r="N2719" s="1" t="s">
        <v>5592</v>
      </c>
      <c r="O2719" s="1" t="s">
        <v>5593</v>
      </c>
      <c r="P2719" s="1" t="s">
        <v>5594</v>
      </c>
      <c r="U2719" s="1" t="s">
        <v>9152</v>
      </c>
      <c r="Z2719" s="1" t="s">
        <v>71</v>
      </c>
      <c r="AE2719" s="1" t="s">
        <v>9154</v>
      </c>
      <c r="AH2719" s="1" t="s">
        <v>73</v>
      </c>
      <c r="AK2719" s="1" t="s">
        <v>71</v>
      </c>
      <c r="AM2719" s="1" t="s">
        <v>71</v>
      </c>
      <c r="AN2719" s="1" t="s">
        <v>71</v>
      </c>
      <c r="AS2719" s="1" t="s">
        <v>71</v>
      </c>
      <c r="AX2719" s="1" t="s">
        <v>71</v>
      </c>
      <c r="AY2719" s="1" t="s">
        <v>59</v>
      </c>
      <c r="AZ2719" s="1" t="s">
        <v>74</v>
      </c>
      <c r="BH2719" s="1" t="s">
        <v>71</v>
      </c>
    </row>
    <row r="2720" customFormat="false" ht="15" hidden="false" customHeight="false" outlineLevel="0" collapsed="false">
      <c r="A2720" s="1" t="s">
        <v>9155</v>
      </c>
      <c r="B2720" s="1" t="s">
        <v>9156</v>
      </c>
      <c r="C2720" s="1" t="s">
        <v>5543</v>
      </c>
      <c r="D2720" s="1" t="s">
        <v>5544</v>
      </c>
      <c r="E2720" s="1" t="s">
        <v>61</v>
      </c>
      <c r="F2720" s="1" t="s">
        <v>101</v>
      </c>
      <c r="G2720" s="1" t="s">
        <v>93</v>
      </c>
      <c r="H2720" s="1" t="s">
        <v>64</v>
      </c>
      <c r="K2720" s="1" t="s">
        <v>2190</v>
      </c>
      <c r="L2720" s="1" t="s">
        <v>5590</v>
      </c>
      <c r="M2720" s="1" t="s">
        <v>5591</v>
      </c>
      <c r="N2720" s="1" t="s">
        <v>5592</v>
      </c>
      <c r="O2720" s="1" t="s">
        <v>5593</v>
      </c>
      <c r="P2720" s="1" t="s">
        <v>5594</v>
      </c>
      <c r="U2720" s="1" t="s">
        <v>9155</v>
      </c>
      <c r="Z2720" s="1" t="s">
        <v>71</v>
      </c>
      <c r="AE2720" s="1" t="s">
        <v>9154</v>
      </c>
      <c r="AH2720" s="1" t="s">
        <v>73</v>
      </c>
      <c r="AK2720" s="1" t="s">
        <v>71</v>
      </c>
      <c r="AM2720" s="1" t="s">
        <v>71</v>
      </c>
      <c r="AN2720" s="1" t="s">
        <v>71</v>
      </c>
      <c r="AS2720" s="1" t="s">
        <v>71</v>
      </c>
      <c r="AX2720" s="1" t="s">
        <v>71</v>
      </c>
      <c r="AY2720" s="1" t="s">
        <v>59</v>
      </c>
      <c r="AZ2720" s="1" t="s">
        <v>74</v>
      </c>
      <c r="BH2720" s="1" t="s">
        <v>71</v>
      </c>
    </row>
    <row r="2721" customFormat="false" ht="15" hidden="false" customHeight="false" outlineLevel="0" collapsed="false">
      <c r="A2721" s="1" t="s">
        <v>9157</v>
      </c>
      <c r="B2721" s="1" t="s">
        <v>9158</v>
      </c>
      <c r="C2721" s="1" t="s">
        <v>1158</v>
      </c>
      <c r="D2721" s="1" t="s">
        <v>4456</v>
      </c>
      <c r="E2721" s="1" t="s">
        <v>82</v>
      </c>
      <c r="F2721" s="1" t="s">
        <v>391</v>
      </c>
      <c r="G2721" s="1" t="s">
        <v>213</v>
      </c>
      <c r="H2721" s="1" t="s">
        <v>477</v>
      </c>
      <c r="K2721" s="1" t="s">
        <v>478</v>
      </c>
      <c r="L2721" s="1" t="s">
        <v>479</v>
      </c>
      <c r="M2721" s="1" t="s">
        <v>496</v>
      </c>
      <c r="N2721" s="1" t="s">
        <v>9159</v>
      </c>
      <c r="O2721" s="1" t="s">
        <v>9160</v>
      </c>
      <c r="P2721" s="1" t="s">
        <v>9161</v>
      </c>
      <c r="U2721" s="1" t="s">
        <v>9157</v>
      </c>
      <c r="Z2721" s="1" t="s">
        <v>71</v>
      </c>
      <c r="AE2721" s="1" t="s">
        <v>9162</v>
      </c>
      <c r="AF2721" s="1" t="s">
        <v>59</v>
      </c>
      <c r="AH2721" s="1" t="s">
        <v>73</v>
      </c>
      <c r="AK2721" s="1" t="s">
        <v>71</v>
      </c>
      <c r="AS2721" s="1" t="s">
        <v>71</v>
      </c>
    </row>
    <row r="2722" customFormat="false" ht="15" hidden="false" customHeight="false" outlineLevel="0" collapsed="false">
      <c r="A2722" s="1" t="s">
        <v>9163</v>
      </c>
      <c r="B2722" s="1" t="s">
        <v>9164</v>
      </c>
      <c r="C2722" s="1" t="s">
        <v>1158</v>
      </c>
      <c r="D2722" s="1" t="s">
        <v>4456</v>
      </c>
      <c r="E2722" s="1" t="s">
        <v>82</v>
      </c>
      <c r="F2722" s="1" t="s">
        <v>391</v>
      </c>
      <c r="G2722" s="1" t="s">
        <v>213</v>
      </c>
      <c r="H2722" s="1" t="s">
        <v>477</v>
      </c>
      <c r="K2722" s="1" t="s">
        <v>478</v>
      </c>
      <c r="L2722" s="1" t="s">
        <v>479</v>
      </c>
      <c r="M2722" s="1" t="s">
        <v>496</v>
      </c>
      <c r="N2722" s="1" t="s">
        <v>518</v>
      </c>
      <c r="O2722" s="1" t="s">
        <v>519</v>
      </c>
      <c r="P2722" s="1" t="s">
        <v>4181</v>
      </c>
      <c r="U2722" s="1" t="s">
        <v>9163</v>
      </c>
      <c r="Z2722" s="1" t="s">
        <v>71</v>
      </c>
      <c r="AE2722" s="1" t="s">
        <v>9162</v>
      </c>
      <c r="AH2722" s="1" t="s">
        <v>73</v>
      </c>
      <c r="AK2722" s="1" t="s">
        <v>71</v>
      </c>
      <c r="AS2722" s="1" t="s">
        <v>71</v>
      </c>
    </row>
    <row r="2723" customFormat="false" ht="15" hidden="false" customHeight="false" outlineLevel="0" collapsed="false">
      <c r="A2723" s="1" t="s">
        <v>9165</v>
      </c>
      <c r="B2723" s="1" t="s">
        <v>9166</v>
      </c>
      <c r="C2723" s="1" t="s">
        <v>2090</v>
      </c>
      <c r="D2723" s="1" t="s">
        <v>7238</v>
      </c>
      <c r="E2723" s="1" t="s">
        <v>61</v>
      </c>
      <c r="F2723" s="1" t="s">
        <v>101</v>
      </c>
      <c r="G2723" s="1" t="s">
        <v>93</v>
      </c>
      <c r="H2723" s="1" t="s">
        <v>64</v>
      </c>
      <c r="K2723" s="1" t="s">
        <v>3150</v>
      </c>
      <c r="L2723" s="1" t="s">
        <v>3151</v>
      </c>
      <c r="M2723" s="1" t="s">
        <v>7958</v>
      </c>
      <c r="N2723" s="1" t="s">
        <v>203</v>
      </c>
      <c r="O2723" s="1" t="s">
        <v>204</v>
      </c>
      <c r="P2723" s="1" t="s">
        <v>3536</v>
      </c>
      <c r="U2723" s="1" t="s">
        <v>9165</v>
      </c>
      <c r="Z2723" s="1" t="s">
        <v>71</v>
      </c>
      <c r="AE2723" s="1" t="s">
        <v>9162</v>
      </c>
      <c r="AH2723" s="1" t="s">
        <v>73</v>
      </c>
      <c r="AK2723" s="1" t="s">
        <v>71</v>
      </c>
      <c r="AM2723" s="1" t="s">
        <v>71</v>
      </c>
      <c r="AN2723" s="1" t="s">
        <v>71</v>
      </c>
      <c r="AS2723" s="1" t="s">
        <v>71</v>
      </c>
      <c r="AY2723" s="1" t="s">
        <v>59</v>
      </c>
      <c r="AZ2723" s="1" t="s">
        <v>74</v>
      </c>
      <c r="BH2723" s="1" t="s">
        <v>71</v>
      </c>
    </row>
    <row r="2724" customFormat="false" ht="15" hidden="false" customHeight="false" outlineLevel="0" collapsed="false">
      <c r="A2724" s="1" t="s">
        <v>9167</v>
      </c>
      <c r="B2724" s="1" t="s">
        <v>9168</v>
      </c>
      <c r="C2724" s="1" t="s">
        <v>2090</v>
      </c>
      <c r="D2724" s="1" t="s">
        <v>7238</v>
      </c>
      <c r="E2724" s="1" t="s">
        <v>61</v>
      </c>
      <c r="F2724" s="1" t="s">
        <v>101</v>
      </c>
      <c r="G2724" s="1" t="s">
        <v>93</v>
      </c>
      <c r="H2724" s="1" t="s">
        <v>64</v>
      </c>
      <c r="K2724" s="1" t="s">
        <v>206</v>
      </c>
      <c r="L2724" s="1" t="s">
        <v>1558</v>
      </c>
      <c r="M2724" s="1" t="s">
        <v>104</v>
      </c>
      <c r="N2724" s="1" t="s">
        <v>105</v>
      </c>
      <c r="O2724" s="1" t="s">
        <v>106</v>
      </c>
      <c r="P2724" s="1" t="s">
        <v>3539</v>
      </c>
      <c r="U2724" s="1" t="s">
        <v>9167</v>
      </c>
      <c r="Z2724" s="1" t="s">
        <v>71</v>
      </c>
      <c r="AE2724" s="1" t="s">
        <v>9162</v>
      </c>
      <c r="AH2724" s="1" t="s">
        <v>73</v>
      </c>
      <c r="AK2724" s="1" t="s">
        <v>71</v>
      </c>
      <c r="AM2724" s="1" t="s">
        <v>71</v>
      </c>
      <c r="AN2724" s="1" t="s">
        <v>71</v>
      </c>
      <c r="AS2724" s="1" t="s">
        <v>71</v>
      </c>
      <c r="AX2724" s="1" t="s">
        <v>71</v>
      </c>
      <c r="AY2724" s="1" t="s">
        <v>59</v>
      </c>
      <c r="AZ2724" s="1" t="s">
        <v>74</v>
      </c>
      <c r="BH2724" s="1" t="s">
        <v>71</v>
      </c>
    </row>
    <row r="2725" customFormat="false" ht="15" hidden="false" customHeight="false" outlineLevel="0" collapsed="false">
      <c r="A2725" s="1" t="s">
        <v>9169</v>
      </c>
      <c r="B2725" s="1" t="s">
        <v>9170</v>
      </c>
      <c r="C2725" s="1" t="s">
        <v>2090</v>
      </c>
      <c r="D2725" s="1" t="s">
        <v>7238</v>
      </c>
      <c r="E2725" s="1" t="s">
        <v>61</v>
      </c>
      <c r="F2725" s="1" t="s">
        <v>101</v>
      </c>
      <c r="G2725" s="1" t="s">
        <v>93</v>
      </c>
      <c r="H2725" s="1" t="s">
        <v>64</v>
      </c>
      <c r="K2725" s="1" t="s">
        <v>108</v>
      </c>
      <c r="L2725" s="1" t="s">
        <v>2547</v>
      </c>
      <c r="M2725" s="1" t="s">
        <v>1387</v>
      </c>
      <c r="N2725" s="1" t="s">
        <v>105</v>
      </c>
      <c r="O2725" s="1" t="s">
        <v>106</v>
      </c>
      <c r="P2725" s="1" t="s">
        <v>3539</v>
      </c>
      <c r="U2725" s="1" t="s">
        <v>9169</v>
      </c>
      <c r="Z2725" s="1" t="s">
        <v>71</v>
      </c>
      <c r="AE2725" s="1" t="s">
        <v>9162</v>
      </c>
      <c r="AH2725" s="1" t="s">
        <v>73</v>
      </c>
      <c r="AK2725" s="1" t="s">
        <v>71</v>
      </c>
      <c r="AM2725" s="1" t="s">
        <v>71</v>
      </c>
      <c r="AN2725" s="1" t="s">
        <v>71</v>
      </c>
      <c r="AS2725" s="1" t="s">
        <v>71</v>
      </c>
      <c r="AX2725" s="1" t="s">
        <v>71</v>
      </c>
      <c r="AY2725" s="1" t="s">
        <v>59</v>
      </c>
      <c r="AZ2725" s="1" t="s">
        <v>74</v>
      </c>
      <c r="BH2725" s="1" t="s">
        <v>71</v>
      </c>
    </row>
    <row r="2726" customFormat="false" ht="15" hidden="false" customHeight="false" outlineLevel="0" collapsed="false">
      <c r="A2726" s="1" t="s">
        <v>9171</v>
      </c>
      <c r="B2726" s="1" t="s">
        <v>9172</v>
      </c>
      <c r="C2726" s="1" t="s">
        <v>2090</v>
      </c>
      <c r="D2726" s="1" t="s">
        <v>7238</v>
      </c>
      <c r="E2726" s="1" t="s">
        <v>61</v>
      </c>
      <c r="F2726" s="1" t="s">
        <v>101</v>
      </c>
      <c r="G2726" s="1" t="s">
        <v>1772</v>
      </c>
      <c r="H2726" s="1" t="s">
        <v>6148</v>
      </c>
      <c r="K2726" s="1" t="s">
        <v>275</v>
      </c>
      <c r="L2726" s="1" t="s">
        <v>6652</v>
      </c>
      <c r="M2726" s="1" t="s">
        <v>9173</v>
      </c>
      <c r="N2726" s="1" t="s">
        <v>8917</v>
      </c>
      <c r="O2726" s="1" t="s">
        <v>6444</v>
      </c>
      <c r="P2726" s="1" t="s">
        <v>8918</v>
      </c>
      <c r="S2726" s="1" t="s">
        <v>229</v>
      </c>
      <c r="U2726" s="1" t="s">
        <v>9171</v>
      </c>
      <c r="Z2726" s="1" t="s">
        <v>71</v>
      </c>
      <c r="AE2726" s="1" t="s">
        <v>9162</v>
      </c>
      <c r="AH2726" s="1" t="s">
        <v>73</v>
      </c>
      <c r="AK2726" s="1" t="s">
        <v>71</v>
      </c>
      <c r="AM2726" s="1" t="s">
        <v>71</v>
      </c>
      <c r="AN2726" s="1" t="s">
        <v>71</v>
      </c>
      <c r="AS2726" s="1" t="s">
        <v>71</v>
      </c>
      <c r="AX2726" s="1" t="s">
        <v>71</v>
      </c>
      <c r="AY2726" s="1" t="s">
        <v>59</v>
      </c>
      <c r="AZ2726" s="1" t="s">
        <v>74</v>
      </c>
      <c r="BH2726" s="1" t="s">
        <v>71</v>
      </c>
    </row>
    <row r="2727" customFormat="false" ht="15" hidden="false" customHeight="false" outlineLevel="0" collapsed="false">
      <c r="A2727" s="1" t="s">
        <v>9174</v>
      </c>
      <c r="B2727" s="1" t="s">
        <v>9175</v>
      </c>
      <c r="C2727" s="1" t="s">
        <v>2090</v>
      </c>
      <c r="D2727" s="1" t="s">
        <v>7238</v>
      </c>
      <c r="E2727" s="1" t="s">
        <v>61</v>
      </c>
      <c r="F2727" s="1" t="s">
        <v>101</v>
      </c>
      <c r="G2727" s="1" t="s">
        <v>115</v>
      </c>
      <c r="H2727" s="1" t="s">
        <v>5689</v>
      </c>
      <c r="K2727" s="1" t="s">
        <v>65</v>
      </c>
      <c r="L2727" s="1" t="s">
        <v>4731</v>
      </c>
      <c r="M2727" s="1" t="s">
        <v>1387</v>
      </c>
      <c r="N2727" s="1" t="s">
        <v>5692</v>
      </c>
      <c r="O2727" s="1" t="s">
        <v>5693</v>
      </c>
      <c r="P2727" s="1" t="s">
        <v>5694</v>
      </c>
      <c r="U2727" s="1" t="s">
        <v>9174</v>
      </c>
      <c r="Z2727" s="1" t="s">
        <v>71</v>
      </c>
      <c r="AE2727" s="1" t="s">
        <v>9162</v>
      </c>
      <c r="AH2727" s="1" t="s">
        <v>73</v>
      </c>
      <c r="AK2727" s="1" t="s">
        <v>71</v>
      </c>
      <c r="AM2727" s="1" t="s">
        <v>71</v>
      </c>
      <c r="AN2727" s="1" t="s">
        <v>71</v>
      </c>
      <c r="AS2727" s="1" t="s">
        <v>71</v>
      </c>
      <c r="AX2727" s="1" t="s">
        <v>71</v>
      </c>
      <c r="AY2727" s="1" t="s">
        <v>59</v>
      </c>
      <c r="AZ2727" s="1" t="s">
        <v>74</v>
      </c>
      <c r="BH2727" s="1" t="s">
        <v>71</v>
      </c>
    </row>
    <row r="2728" customFormat="false" ht="15" hidden="false" customHeight="false" outlineLevel="0" collapsed="false">
      <c r="A2728" s="1" t="s">
        <v>9176</v>
      </c>
      <c r="B2728" s="1" t="s">
        <v>9177</v>
      </c>
      <c r="C2728" s="1" t="s">
        <v>2090</v>
      </c>
      <c r="D2728" s="1" t="s">
        <v>7238</v>
      </c>
      <c r="E2728" s="1" t="s">
        <v>61</v>
      </c>
      <c r="F2728" s="1" t="s">
        <v>101</v>
      </c>
      <c r="G2728" s="1" t="s">
        <v>1772</v>
      </c>
      <c r="H2728" s="1" t="s">
        <v>6148</v>
      </c>
      <c r="K2728" s="1" t="s">
        <v>275</v>
      </c>
      <c r="L2728" s="1" t="s">
        <v>6652</v>
      </c>
      <c r="M2728" s="1" t="s">
        <v>278</v>
      </c>
      <c r="N2728" s="1" t="s">
        <v>8917</v>
      </c>
      <c r="O2728" s="1" t="s">
        <v>6444</v>
      </c>
      <c r="P2728" s="1" t="s">
        <v>8918</v>
      </c>
      <c r="S2728" s="1" t="s">
        <v>229</v>
      </c>
      <c r="U2728" s="1" t="s">
        <v>9176</v>
      </c>
      <c r="Z2728" s="1" t="s">
        <v>71</v>
      </c>
      <c r="AE2728" s="1" t="s">
        <v>9178</v>
      </c>
      <c r="AH2728" s="1" t="s">
        <v>73</v>
      </c>
      <c r="AK2728" s="1" t="s">
        <v>71</v>
      </c>
      <c r="AM2728" s="1" t="s">
        <v>71</v>
      </c>
      <c r="AN2728" s="1" t="s">
        <v>71</v>
      </c>
      <c r="AS2728" s="1" t="s">
        <v>71</v>
      </c>
      <c r="AX2728" s="1" t="s">
        <v>71</v>
      </c>
      <c r="AY2728" s="1" t="s">
        <v>59</v>
      </c>
      <c r="AZ2728" s="1" t="s">
        <v>74</v>
      </c>
      <c r="BH2728" s="1" t="s">
        <v>71</v>
      </c>
    </row>
    <row r="2729" customFormat="false" ht="15" hidden="false" customHeight="false" outlineLevel="0" collapsed="false">
      <c r="A2729" s="1" t="s">
        <v>9179</v>
      </c>
      <c r="B2729" s="1" t="s">
        <v>9180</v>
      </c>
      <c r="C2729" s="1" t="s">
        <v>2669</v>
      </c>
      <c r="D2729" s="1" t="s">
        <v>9181</v>
      </c>
      <c r="E2729" s="1" t="s">
        <v>82</v>
      </c>
      <c r="F2729" s="1" t="s">
        <v>391</v>
      </c>
      <c r="G2729" s="1" t="s">
        <v>97</v>
      </c>
      <c r="H2729" s="1" t="s">
        <v>406</v>
      </c>
      <c r="K2729" s="1" t="s">
        <v>2144</v>
      </c>
      <c r="L2729" s="1" t="s">
        <v>2145</v>
      </c>
      <c r="M2729" s="1" t="s">
        <v>496</v>
      </c>
      <c r="N2729" s="1" t="s">
        <v>8951</v>
      </c>
      <c r="O2729" s="1" t="s">
        <v>8952</v>
      </c>
      <c r="P2729" s="1" t="s">
        <v>8953</v>
      </c>
      <c r="U2729" s="1" t="s">
        <v>9179</v>
      </c>
      <c r="Z2729" s="1" t="s">
        <v>71</v>
      </c>
      <c r="AE2729" s="1" t="s">
        <v>9178</v>
      </c>
      <c r="AH2729" s="1" t="s">
        <v>73</v>
      </c>
      <c r="AK2729" s="1" t="s">
        <v>71</v>
      </c>
      <c r="AS2729" s="1" t="s">
        <v>71</v>
      </c>
    </row>
    <row r="2730" customFormat="false" ht="15" hidden="false" customHeight="false" outlineLevel="0" collapsed="false">
      <c r="A2730" s="1" t="s">
        <v>9182</v>
      </c>
      <c r="B2730" s="1" t="s">
        <v>9183</v>
      </c>
      <c r="C2730" s="1" t="s">
        <v>1221</v>
      </c>
      <c r="D2730" s="1" t="s">
        <v>2466</v>
      </c>
      <c r="E2730" s="1" t="s">
        <v>82</v>
      </c>
      <c r="F2730" s="1" t="s">
        <v>391</v>
      </c>
      <c r="G2730" s="1" t="s">
        <v>213</v>
      </c>
      <c r="H2730" s="1" t="s">
        <v>477</v>
      </c>
      <c r="K2730" s="1" t="s">
        <v>1904</v>
      </c>
      <c r="L2730" s="1" t="s">
        <v>1905</v>
      </c>
      <c r="M2730" s="1" t="s">
        <v>465</v>
      </c>
      <c r="N2730" s="1" t="s">
        <v>3982</v>
      </c>
      <c r="O2730" s="1" t="s">
        <v>447</v>
      </c>
      <c r="P2730" s="1" t="s">
        <v>3983</v>
      </c>
      <c r="U2730" s="1" t="s">
        <v>9182</v>
      </c>
      <c r="Z2730" s="1" t="s">
        <v>71</v>
      </c>
      <c r="AE2730" s="1" t="s">
        <v>9184</v>
      </c>
      <c r="AH2730" s="1" t="s">
        <v>73</v>
      </c>
      <c r="AK2730" s="1" t="s">
        <v>71</v>
      </c>
      <c r="AS2730" s="1" t="s">
        <v>71</v>
      </c>
    </row>
    <row r="2731" customFormat="false" ht="15" hidden="false" customHeight="false" outlineLevel="0" collapsed="false">
      <c r="A2731" s="1" t="s">
        <v>9185</v>
      </c>
      <c r="B2731" s="1" t="s">
        <v>9186</v>
      </c>
      <c r="C2731" s="1" t="s">
        <v>1221</v>
      </c>
      <c r="D2731" s="1" t="s">
        <v>2466</v>
      </c>
      <c r="E2731" s="1" t="s">
        <v>82</v>
      </c>
      <c r="F2731" s="1" t="s">
        <v>391</v>
      </c>
      <c r="G2731" s="1" t="s">
        <v>213</v>
      </c>
      <c r="H2731" s="1" t="s">
        <v>477</v>
      </c>
      <c r="K2731" s="1" t="s">
        <v>478</v>
      </c>
      <c r="L2731" s="1" t="s">
        <v>479</v>
      </c>
      <c r="M2731" s="1" t="s">
        <v>59</v>
      </c>
      <c r="N2731" s="1" t="s">
        <v>9187</v>
      </c>
      <c r="O2731" s="1" t="s">
        <v>9188</v>
      </c>
      <c r="P2731" s="1" t="s">
        <v>9189</v>
      </c>
      <c r="U2731" s="1" t="s">
        <v>9185</v>
      </c>
      <c r="Z2731" s="1" t="s">
        <v>71</v>
      </c>
      <c r="AE2731" s="1" t="s">
        <v>9184</v>
      </c>
      <c r="AH2731" s="1" t="s">
        <v>73</v>
      </c>
      <c r="AK2731" s="1" t="s">
        <v>71</v>
      </c>
      <c r="AS2731" s="1" t="s">
        <v>71</v>
      </c>
    </row>
    <row r="2732" customFormat="false" ht="15" hidden="false" customHeight="false" outlineLevel="0" collapsed="false">
      <c r="A2732" s="1" t="s">
        <v>9190</v>
      </c>
      <c r="B2732" s="1" t="s">
        <v>9191</v>
      </c>
      <c r="C2732" s="1" t="s">
        <v>2523</v>
      </c>
      <c r="D2732" s="1" t="s">
        <v>8559</v>
      </c>
      <c r="E2732" s="1" t="s">
        <v>61</v>
      </c>
      <c r="F2732" s="1" t="s">
        <v>101</v>
      </c>
      <c r="G2732" s="1" t="s">
        <v>148</v>
      </c>
      <c r="H2732" s="1" t="s">
        <v>231</v>
      </c>
      <c r="K2732" s="1" t="s">
        <v>240</v>
      </c>
      <c r="L2732" s="1" t="s">
        <v>241</v>
      </c>
      <c r="M2732" s="1" t="s">
        <v>310</v>
      </c>
      <c r="N2732" s="1" t="s">
        <v>243</v>
      </c>
      <c r="O2732" s="1" t="s">
        <v>244</v>
      </c>
      <c r="P2732" s="1" t="s">
        <v>3503</v>
      </c>
      <c r="U2732" s="1" t="s">
        <v>9190</v>
      </c>
      <c r="Z2732" s="1" t="s">
        <v>71</v>
      </c>
      <c r="AE2732" s="1" t="s">
        <v>9184</v>
      </c>
      <c r="AH2732" s="1" t="s">
        <v>73</v>
      </c>
      <c r="AK2732" s="1" t="s">
        <v>71</v>
      </c>
      <c r="AM2732" s="1" t="s">
        <v>71</v>
      </c>
      <c r="AN2732" s="1" t="s">
        <v>71</v>
      </c>
      <c r="AS2732" s="1" t="s">
        <v>71</v>
      </c>
      <c r="AX2732" s="1" t="s">
        <v>71</v>
      </c>
      <c r="AY2732" s="1" t="s">
        <v>59</v>
      </c>
      <c r="AZ2732" s="1" t="s">
        <v>74</v>
      </c>
      <c r="BH2732" s="1" t="s">
        <v>71</v>
      </c>
    </row>
    <row r="2733" customFormat="false" ht="15" hidden="false" customHeight="false" outlineLevel="0" collapsed="false">
      <c r="A2733" s="1" t="s">
        <v>9192</v>
      </c>
      <c r="B2733" s="1" t="s">
        <v>9193</v>
      </c>
      <c r="C2733" s="1" t="s">
        <v>222</v>
      </c>
      <c r="D2733" s="1" t="s">
        <v>223</v>
      </c>
      <c r="E2733" s="1" t="s">
        <v>61</v>
      </c>
      <c r="F2733" s="1" t="s">
        <v>101</v>
      </c>
      <c r="G2733" s="1" t="s">
        <v>93</v>
      </c>
      <c r="H2733" s="1" t="s">
        <v>64</v>
      </c>
      <c r="K2733" s="1" t="s">
        <v>290</v>
      </c>
      <c r="L2733" s="1" t="s">
        <v>291</v>
      </c>
      <c r="M2733" s="1" t="s">
        <v>828</v>
      </c>
      <c r="N2733" s="1" t="s">
        <v>105</v>
      </c>
      <c r="O2733" s="1" t="s">
        <v>106</v>
      </c>
      <c r="P2733" s="1" t="s">
        <v>3539</v>
      </c>
      <c r="U2733" s="1" t="s">
        <v>9192</v>
      </c>
      <c r="Z2733" s="1" t="s">
        <v>71</v>
      </c>
      <c r="AE2733" s="1" t="s">
        <v>9184</v>
      </c>
      <c r="AH2733" s="1" t="s">
        <v>73</v>
      </c>
      <c r="AK2733" s="1" t="s">
        <v>71</v>
      </c>
      <c r="AM2733" s="1" t="s">
        <v>71</v>
      </c>
      <c r="AN2733" s="1" t="s">
        <v>71</v>
      </c>
      <c r="AS2733" s="1" t="s">
        <v>71</v>
      </c>
      <c r="AX2733" s="1" t="s">
        <v>71</v>
      </c>
      <c r="AY2733" s="1" t="s">
        <v>59</v>
      </c>
      <c r="AZ2733" s="1" t="s">
        <v>74</v>
      </c>
      <c r="BH2733" s="1" t="s">
        <v>71</v>
      </c>
    </row>
    <row r="2734" customFormat="false" ht="15" hidden="false" customHeight="false" outlineLevel="0" collapsed="false">
      <c r="A2734" s="1" t="s">
        <v>9194</v>
      </c>
      <c r="B2734" s="1" t="s">
        <v>9195</v>
      </c>
      <c r="C2734" s="1" t="s">
        <v>222</v>
      </c>
      <c r="D2734" s="1" t="s">
        <v>223</v>
      </c>
      <c r="E2734" s="1" t="s">
        <v>61</v>
      </c>
      <c r="F2734" s="1" t="s">
        <v>101</v>
      </c>
      <c r="G2734" s="1" t="s">
        <v>93</v>
      </c>
      <c r="H2734" s="1" t="s">
        <v>64</v>
      </c>
      <c r="K2734" s="1" t="s">
        <v>108</v>
      </c>
      <c r="L2734" s="1" t="s">
        <v>2547</v>
      </c>
      <c r="M2734" s="1" t="s">
        <v>828</v>
      </c>
      <c r="N2734" s="1" t="s">
        <v>105</v>
      </c>
      <c r="O2734" s="1" t="s">
        <v>106</v>
      </c>
      <c r="P2734" s="1" t="s">
        <v>3539</v>
      </c>
      <c r="U2734" s="1" t="s">
        <v>9194</v>
      </c>
      <c r="Z2734" s="1" t="s">
        <v>71</v>
      </c>
      <c r="AE2734" s="1" t="s">
        <v>9196</v>
      </c>
      <c r="AH2734" s="1" t="s">
        <v>73</v>
      </c>
      <c r="AK2734" s="1" t="s">
        <v>71</v>
      </c>
      <c r="AM2734" s="1" t="s">
        <v>71</v>
      </c>
      <c r="AN2734" s="1" t="s">
        <v>71</v>
      </c>
      <c r="AS2734" s="1" t="s">
        <v>71</v>
      </c>
      <c r="AX2734" s="1" t="s">
        <v>71</v>
      </c>
      <c r="AY2734" s="1" t="s">
        <v>59</v>
      </c>
      <c r="AZ2734" s="1" t="s">
        <v>74</v>
      </c>
      <c r="BH2734" s="1" t="s">
        <v>71</v>
      </c>
    </row>
    <row r="2735" customFormat="false" ht="15" hidden="false" customHeight="false" outlineLevel="0" collapsed="false">
      <c r="A2735" s="1" t="s">
        <v>9197</v>
      </c>
      <c r="B2735" s="1" t="s">
        <v>9198</v>
      </c>
      <c r="C2735" s="1" t="s">
        <v>222</v>
      </c>
      <c r="D2735" s="1" t="s">
        <v>223</v>
      </c>
      <c r="E2735" s="1" t="s">
        <v>61</v>
      </c>
      <c r="F2735" s="1" t="s">
        <v>101</v>
      </c>
      <c r="G2735" s="1" t="s">
        <v>93</v>
      </c>
      <c r="H2735" s="1" t="s">
        <v>64</v>
      </c>
      <c r="K2735" s="1" t="s">
        <v>224</v>
      </c>
      <c r="L2735" s="1" t="s">
        <v>225</v>
      </c>
      <c r="M2735" s="1" t="s">
        <v>310</v>
      </c>
      <c r="N2735" s="1" t="s">
        <v>123</v>
      </c>
      <c r="O2735" s="1" t="s">
        <v>124</v>
      </c>
      <c r="P2735" s="1" t="s">
        <v>4161</v>
      </c>
      <c r="U2735" s="1" t="s">
        <v>9197</v>
      </c>
      <c r="Z2735" s="1" t="s">
        <v>71</v>
      </c>
      <c r="AE2735" s="1" t="s">
        <v>9196</v>
      </c>
      <c r="AH2735" s="1" t="s">
        <v>73</v>
      </c>
      <c r="AK2735" s="1" t="s">
        <v>71</v>
      </c>
      <c r="AM2735" s="1" t="s">
        <v>71</v>
      </c>
      <c r="AN2735" s="1" t="s">
        <v>71</v>
      </c>
      <c r="AS2735" s="1" t="s">
        <v>71</v>
      </c>
      <c r="AX2735" s="1" t="s">
        <v>71</v>
      </c>
      <c r="AY2735" s="1" t="s">
        <v>59</v>
      </c>
      <c r="AZ2735" s="1" t="s">
        <v>74</v>
      </c>
      <c r="BH2735" s="1" t="s">
        <v>71</v>
      </c>
    </row>
    <row r="2736" customFormat="false" ht="15" hidden="false" customHeight="false" outlineLevel="0" collapsed="false">
      <c r="A2736" s="1" t="s">
        <v>9199</v>
      </c>
      <c r="B2736" s="1" t="s">
        <v>9200</v>
      </c>
      <c r="C2736" s="1" t="s">
        <v>2223</v>
      </c>
      <c r="D2736" s="1" t="s">
        <v>7636</v>
      </c>
      <c r="E2736" s="1" t="s">
        <v>93</v>
      </c>
      <c r="F2736" s="1" t="s">
        <v>6348</v>
      </c>
      <c r="G2736" s="1" t="s">
        <v>142</v>
      </c>
      <c r="H2736" s="1" t="s">
        <v>7637</v>
      </c>
      <c r="K2736" s="1" t="s">
        <v>59</v>
      </c>
      <c r="L2736" s="1" t="s">
        <v>7638</v>
      </c>
      <c r="M2736" s="1" t="s">
        <v>7904</v>
      </c>
      <c r="N2736" s="1" t="s">
        <v>7640</v>
      </c>
      <c r="O2736" s="1" t="s">
        <v>7641</v>
      </c>
      <c r="P2736" s="1" t="s">
        <v>7642</v>
      </c>
      <c r="U2736" s="1" t="s">
        <v>9199</v>
      </c>
      <c r="Z2736" s="1" t="s">
        <v>71</v>
      </c>
      <c r="AE2736" s="1" t="s">
        <v>9201</v>
      </c>
      <c r="AH2736" s="1" t="s">
        <v>73</v>
      </c>
      <c r="AK2736" s="1" t="s">
        <v>71</v>
      </c>
      <c r="AM2736" s="1" t="s">
        <v>71</v>
      </c>
      <c r="AN2736" s="1" t="s">
        <v>71</v>
      </c>
      <c r="AS2736" s="1" t="s">
        <v>71</v>
      </c>
      <c r="AX2736" s="1" t="s">
        <v>71</v>
      </c>
      <c r="AY2736" s="1" t="s">
        <v>59</v>
      </c>
      <c r="AZ2736" s="1" t="s">
        <v>74</v>
      </c>
      <c r="BH2736" s="1" t="s">
        <v>71</v>
      </c>
    </row>
    <row r="2737" customFormat="false" ht="15" hidden="false" customHeight="false" outlineLevel="0" collapsed="false">
      <c r="A2737" s="1" t="s">
        <v>9202</v>
      </c>
      <c r="B2737" s="1" t="s">
        <v>9203</v>
      </c>
      <c r="C2737" s="1" t="s">
        <v>2223</v>
      </c>
      <c r="D2737" s="1" t="s">
        <v>7636</v>
      </c>
      <c r="E2737" s="1" t="s">
        <v>93</v>
      </c>
      <c r="F2737" s="1" t="s">
        <v>6348</v>
      </c>
      <c r="G2737" s="1" t="s">
        <v>372</v>
      </c>
      <c r="H2737" s="1" t="s">
        <v>5583</v>
      </c>
      <c r="K2737" s="1" t="s">
        <v>61</v>
      </c>
      <c r="L2737" s="1" t="s">
        <v>9204</v>
      </c>
      <c r="M2737" s="1" t="s">
        <v>7904</v>
      </c>
      <c r="N2737" s="1" t="s">
        <v>7653</v>
      </c>
      <c r="O2737" s="1" t="s">
        <v>7654</v>
      </c>
      <c r="P2737" s="1" t="s">
        <v>7655</v>
      </c>
      <c r="U2737" s="1" t="s">
        <v>9202</v>
      </c>
      <c r="Z2737" s="1" t="s">
        <v>71</v>
      </c>
      <c r="AE2737" s="1" t="s">
        <v>9201</v>
      </c>
      <c r="AH2737" s="1" t="s">
        <v>73</v>
      </c>
      <c r="AK2737" s="1" t="s">
        <v>71</v>
      </c>
      <c r="AM2737" s="1" t="s">
        <v>71</v>
      </c>
      <c r="AN2737" s="1" t="s">
        <v>71</v>
      </c>
      <c r="AS2737" s="1" t="s">
        <v>71</v>
      </c>
      <c r="AX2737" s="1" t="s">
        <v>71</v>
      </c>
      <c r="AY2737" s="1" t="s">
        <v>59</v>
      </c>
      <c r="AZ2737" s="1" t="s">
        <v>74</v>
      </c>
      <c r="BH2737" s="1" t="s">
        <v>71</v>
      </c>
    </row>
    <row r="2738" customFormat="false" ht="15" hidden="false" customHeight="false" outlineLevel="0" collapsed="false">
      <c r="A2738" s="1" t="s">
        <v>9205</v>
      </c>
      <c r="B2738" s="1" t="s">
        <v>9206</v>
      </c>
      <c r="C2738" s="1" t="s">
        <v>2719</v>
      </c>
      <c r="D2738" s="1" t="s">
        <v>9207</v>
      </c>
      <c r="E2738" s="1" t="s">
        <v>93</v>
      </c>
      <c r="F2738" s="1" t="s">
        <v>6348</v>
      </c>
      <c r="G2738" s="1" t="s">
        <v>155</v>
      </c>
      <c r="H2738" s="1" t="s">
        <v>8433</v>
      </c>
      <c r="K2738" s="1" t="s">
        <v>65</v>
      </c>
      <c r="L2738" s="1" t="s">
        <v>8443</v>
      </c>
      <c r="M2738" s="1" t="s">
        <v>9208</v>
      </c>
      <c r="N2738" s="1" t="s">
        <v>8445</v>
      </c>
      <c r="O2738" s="1" t="s">
        <v>8446</v>
      </c>
      <c r="P2738" s="1" t="s">
        <v>8447</v>
      </c>
      <c r="U2738" s="1" t="s">
        <v>9205</v>
      </c>
      <c r="Z2738" s="1" t="s">
        <v>71</v>
      </c>
      <c r="AE2738" s="1" t="s">
        <v>9201</v>
      </c>
      <c r="AH2738" s="1" t="s">
        <v>73</v>
      </c>
      <c r="AK2738" s="1" t="s">
        <v>71</v>
      </c>
      <c r="AM2738" s="1" t="s">
        <v>71</v>
      </c>
      <c r="AN2738" s="1" t="s">
        <v>71</v>
      </c>
      <c r="AS2738" s="1" t="s">
        <v>71</v>
      </c>
      <c r="AX2738" s="1" t="s">
        <v>71</v>
      </c>
      <c r="AY2738" s="1" t="s">
        <v>59</v>
      </c>
      <c r="AZ2738" s="1" t="s">
        <v>74</v>
      </c>
      <c r="BH2738" s="1" t="s">
        <v>71</v>
      </c>
    </row>
    <row r="2739" customFormat="false" ht="15" hidden="false" customHeight="false" outlineLevel="0" collapsed="false">
      <c r="A2739" s="1" t="s">
        <v>9209</v>
      </c>
      <c r="B2739" s="1" t="s">
        <v>9210</v>
      </c>
      <c r="C2739" s="1" t="s">
        <v>2719</v>
      </c>
      <c r="D2739" s="1" t="s">
        <v>9207</v>
      </c>
      <c r="E2739" s="1" t="s">
        <v>93</v>
      </c>
      <c r="F2739" s="1" t="s">
        <v>6348</v>
      </c>
      <c r="G2739" s="1" t="s">
        <v>155</v>
      </c>
      <c r="H2739" s="1" t="s">
        <v>8433</v>
      </c>
      <c r="K2739" s="1" t="s">
        <v>65</v>
      </c>
      <c r="L2739" s="1" t="s">
        <v>8443</v>
      </c>
      <c r="M2739" s="1" t="s">
        <v>9211</v>
      </c>
      <c r="N2739" s="1" t="s">
        <v>8445</v>
      </c>
      <c r="O2739" s="1" t="s">
        <v>8446</v>
      </c>
      <c r="P2739" s="1" t="s">
        <v>8447</v>
      </c>
      <c r="U2739" s="1" t="s">
        <v>9209</v>
      </c>
      <c r="Z2739" s="1" t="s">
        <v>71</v>
      </c>
      <c r="AE2739" s="1" t="s">
        <v>9201</v>
      </c>
      <c r="AH2739" s="1" t="s">
        <v>73</v>
      </c>
      <c r="AK2739" s="1" t="s">
        <v>71</v>
      </c>
      <c r="AM2739" s="1" t="s">
        <v>71</v>
      </c>
      <c r="AN2739" s="1" t="s">
        <v>71</v>
      </c>
      <c r="AS2739" s="1" t="s">
        <v>71</v>
      </c>
      <c r="AX2739" s="1" t="s">
        <v>71</v>
      </c>
      <c r="AY2739" s="1" t="s">
        <v>59</v>
      </c>
      <c r="AZ2739" s="1" t="s">
        <v>74</v>
      </c>
      <c r="BH2739" s="1" t="s">
        <v>71</v>
      </c>
    </row>
    <row r="2740" customFormat="false" ht="15" hidden="false" customHeight="false" outlineLevel="0" collapsed="false">
      <c r="A2740" s="1" t="s">
        <v>9212</v>
      </c>
      <c r="B2740" s="1" t="s">
        <v>9213</v>
      </c>
      <c r="C2740" s="1" t="s">
        <v>2724</v>
      </c>
      <c r="D2740" s="1" t="s">
        <v>9214</v>
      </c>
      <c r="E2740" s="1" t="s">
        <v>93</v>
      </c>
      <c r="F2740" s="1" t="s">
        <v>6348</v>
      </c>
      <c r="G2740" s="1" t="s">
        <v>3150</v>
      </c>
      <c r="H2740" s="1" t="s">
        <v>9215</v>
      </c>
      <c r="K2740" s="1" t="s">
        <v>59</v>
      </c>
      <c r="L2740" s="1" t="s">
        <v>9216</v>
      </c>
      <c r="M2740" s="1" t="s">
        <v>9217</v>
      </c>
      <c r="N2740" s="1" t="s">
        <v>9218</v>
      </c>
      <c r="O2740" s="1" t="s">
        <v>9219</v>
      </c>
      <c r="P2740" s="1" t="s">
        <v>9220</v>
      </c>
      <c r="U2740" s="1" t="s">
        <v>9212</v>
      </c>
      <c r="Z2740" s="1" t="s">
        <v>71</v>
      </c>
      <c r="AE2740" s="1" t="s">
        <v>9221</v>
      </c>
      <c r="AH2740" s="1" t="s">
        <v>73</v>
      </c>
      <c r="AK2740" s="1" t="s">
        <v>71</v>
      </c>
      <c r="AM2740" s="1" t="s">
        <v>71</v>
      </c>
      <c r="AN2740" s="1" t="s">
        <v>71</v>
      </c>
      <c r="AS2740" s="1" t="s">
        <v>71</v>
      </c>
      <c r="AX2740" s="1" t="s">
        <v>71</v>
      </c>
      <c r="AY2740" s="1" t="s">
        <v>59</v>
      </c>
      <c r="AZ2740" s="1" t="s">
        <v>74</v>
      </c>
      <c r="BH2740" s="1" t="s">
        <v>71</v>
      </c>
    </row>
    <row r="2741" customFormat="false" ht="15" hidden="false" customHeight="false" outlineLevel="0" collapsed="false">
      <c r="A2741" s="1" t="s">
        <v>9222</v>
      </c>
      <c r="B2741" s="1" t="s">
        <v>9223</v>
      </c>
      <c r="C2741" s="1" t="s">
        <v>2724</v>
      </c>
      <c r="D2741" s="1" t="s">
        <v>9214</v>
      </c>
      <c r="E2741" s="1" t="s">
        <v>93</v>
      </c>
      <c r="F2741" s="1" t="s">
        <v>6348</v>
      </c>
      <c r="G2741" s="1" t="s">
        <v>3150</v>
      </c>
      <c r="H2741" s="1" t="s">
        <v>9215</v>
      </c>
      <c r="K2741" s="1" t="s">
        <v>65</v>
      </c>
      <c r="L2741" s="1" t="s">
        <v>9224</v>
      </c>
      <c r="M2741" s="1" t="s">
        <v>9217</v>
      </c>
      <c r="N2741" s="1" t="s">
        <v>9218</v>
      </c>
      <c r="O2741" s="1" t="s">
        <v>9219</v>
      </c>
      <c r="P2741" s="1" t="s">
        <v>9220</v>
      </c>
      <c r="U2741" s="1" t="s">
        <v>9222</v>
      </c>
      <c r="Z2741" s="1" t="s">
        <v>71</v>
      </c>
      <c r="AE2741" s="1" t="s">
        <v>9221</v>
      </c>
      <c r="AH2741" s="1" t="s">
        <v>73</v>
      </c>
      <c r="AK2741" s="1" t="s">
        <v>71</v>
      </c>
      <c r="AM2741" s="1" t="s">
        <v>71</v>
      </c>
      <c r="AN2741" s="1" t="s">
        <v>71</v>
      </c>
      <c r="AS2741" s="1" t="s">
        <v>71</v>
      </c>
      <c r="AX2741" s="1" t="s">
        <v>71</v>
      </c>
      <c r="AY2741" s="1" t="s">
        <v>59</v>
      </c>
      <c r="AZ2741" s="1" t="s">
        <v>74</v>
      </c>
      <c r="BH2741" s="1" t="s">
        <v>71</v>
      </c>
    </row>
    <row r="2742" customFormat="false" ht="15" hidden="false" customHeight="false" outlineLevel="0" collapsed="false">
      <c r="A2742" s="1" t="s">
        <v>9225</v>
      </c>
      <c r="B2742" s="1" t="s">
        <v>9226</v>
      </c>
      <c r="C2742" s="1" t="s">
        <v>2732</v>
      </c>
      <c r="D2742" s="1" t="s">
        <v>9227</v>
      </c>
      <c r="E2742" s="1" t="s">
        <v>61</v>
      </c>
      <c r="F2742" s="1" t="s">
        <v>101</v>
      </c>
      <c r="G2742" s="1" t="s">
        <v>93</v>
      </c>
      <c r="H2742" s="1" t="s">
        <v>64</v>
      </c>
      <c r="K2742" s="1" t="s">
        <v>108</v>
      </c>
      <c r="L2742" s="1" t="s">
        <v>2547</v>
      </c>
      <c r="M2742" s="1" t="s">
        <v>9228</v>
      </c>
      <c r="N2742" s="1" t="s">
        <v>105</v>
      </c>
      <c r="O2742" s="1" t="s">
        <v>106</v>
      </c>
      <c r="P2742" s="1" t="s">
        <v>3539</v>
      </c>
      <c r="U2742" s="1" t="s">
        <v>9225</v>
      </c>
      <c r="Z2742" s="1" t="s">
        <v>71</v>
      </c>
      <c r="AE2742" s="1" t="s">
        <v>9229</v>
      </c>
      <c r="AH2742" s="1" t="s">
        <v>73</v>
      </c>
      <c r="AK2742" s="1" t="s">
        <v>71</v>
      </c>
      <c r="AM2742" s="1" t="s">
        <v>71</v>
      </c>
      <c r="AN2742" s="1" t="s">
        <v>71</v>
      </c>
      <c r="AS2742" s="1" t="s">
        <v>71</v>
      </c>
      <c r="AX2742" s="1" t="s">
        <v>71</v>
      </c>
      <c r="AY2742" s="1" t="s">
        <v>59</v>
      </c>
      <c r="AZ2742" s="1" t="s">
        <v>74</v>
      </c>
      <c r="BH2742" s="1" t="s">
        <v>71</v>
      </c>
    </row>
    <row r="2743" customFormat="false" ht="15" hidden="false" customHeight="false" outlineLevel="0" collapsed="false">
      <c r="A2743" s="1" t="s">
        <v>9230</v>
      </c>
      <c r="B2743" s="1" t="s">
        <v>9231</v>
      </c>
      <c r="C2743" s="1" t="s">
        <v>2732</v>
      </c>
      <c r="D2743" s="1" t="s">
        <v>9227</v>
      </c>
      <c r="E2743" s="1" t="s">
        <v>61</v>
      </c>
      <c r="F2743" s="1" t="s">
        <v>101</v>
      </c>
      <c r="G2743" s="1" t="s">
        <v>93</v>
      </c>
      <c r="H2743" s="1" t="s">
        <v>64</v>
      </c>
      <c r="K2743" s="1" t="s">
        <v>290</v>
      </c>
      <c r="L2743" s="1" t="s">
        <v>291</v>
      </c>
      <c r="M2743" s="1" t="s">
        <v>9228</v>
      </c>
      <c r="N2743" s="1" t="s">
        <v>105</v>
      </c>
      <c r="O2743" s="1" t="s">
        <v>106</v>
      </c>
      <c r="P2743" s="1" t="s">
        <v>3539</v>
      </c>
      <c r="U2743" s="1" t="s">
        <v>9230</v>
      </c>
      <c r="Z2743" s="1" t="s">
        <v>71</v>
      </c>
      <c r="AE2743" s="1" t="s">
        <v>9229</v>
      </c>
      <c r="AH2743" s="1" t="s">
        <v>73</v>
      </c>
      <c r="AK2743" s="1" t="s">
        <v>71</v>
      </c>
      <c r="AM2743" s="1" t="s">
        <v>71</v>
      </c>
      <c r="AN2743" s="1" t="s">
        <v>71</v>
      </c>
      <c r="AS2743" s="1" t="s">
        <v>71</v>
      </c>
      <c r="AX2743" s="1" t="s">
        <v>71</v>
      </c>
      <c r="AY2743" s="1" t="s">
        <v>59</v>
      </c>
      <c r="AZ2743" s="1" t="s">
        <v>74</v>
      </c>
      <c r="BH2743" s="1" t="s">
        <v>71</v>
      </c>
    </row>
    <row r="2744" customFormat="false" ht="15" hidden="false" customHeight="false" outlineLevel="0" collapsed="false">
      <c r="A2744" s="1" t="s">
        <v>9232</v>
      </c>
      <c r="B2744" s="1" t="s">
        <v>9233</v>
      </c>
      <c r="C2744" s="1" t="s">
        <v>2732</v>
      </c>
      <c r="D2744" s="1" t="s">
        <v>9227</v>
      </c>
      <c r="E2744" s="1" t="s">
        <v>61</v>
      </c>
      <c r="F2744" s="1" t="s">
        <v>101</v>
      </c>
      <c r="G2744" s="1" t="s">
        <v>93</v>
      </c>
      <c r="H2744" s="1" t="s">
        <v>64</v>
      </c>
      <c r="K2744" s="1" t="s">
        <v>290</v>
      </c>
      <c r="L2744" s="1" t="s">
        <v>291</v>
      </c>
      <c r="M2744" s="1" t="s">
        <v>9228</v>
      </c>
      <c r="N2744" s="1" t="s">
        <v>105</v>
      </c>
      <c r="O2744" s="1" t="s">
        <v>106</v>
      </c>
      <c r="P2744" s="1" t="s">
        <v>3539</v>
      </c>
      <c r="U2744" s="1" t="s">
        <v>9232</v>
      </c>
      <c r="Z2744" s="1" t="s">
        <v>71</v>
      </c>
      <c r="AE2744" s="1" t="s">
        <v>9229</v>
      </c>
      <c r="AH2744" s="1" t="s">
        <v>73</v>
      </c>
      <c r="AK2744" s="1" t="s">
        <v>71</v>
      </c>
      <c r="AM2744" s="1" t="s">
        <v>71</v>
      </c>
      <c r="AN2744" s="1" t="s">
        <v>71</v>
      </c>
      <c r="AS2744" s="1" t="s">
        <v>71</v>
      </c>
      <c r="AX2744" s="1" t="s">
        <v>71</v>
      </c>
      <c r="AY2744" s="1" t="s">
        <v>59</v>
      </c>
      <c r="AZ2744" s="1" t="s">
        <v>74</v>
      </c>
      <c r="BH2744" s="1" t="s">
        <v>71</v>
      </c>
    </row>
    <row r="2745" customFormat="false" ht="15" hidden="false" customHeight="false" outlineLevel="0" collapsed="false">
      <c r="A2745" s="1" t="s">
        <v>9234</v>
      </c>
      <c r="B2745" s="1" t="s">
        <v>9235</v>
      </c>
      <c r="C2745" s="1" t="s">
        <v>2732</v>
      </c>
      <c r="D2745" s="1" t="s">
        <v>9227</v>
      </c>
      <c r="E2745" s="1" t="s">
        <v>61</v>
      </c>
      <c r="F2745" s="1" t="s">
        <v>101</v>
      </c>
      <c r="G2745" s="1" t="s">
        <v>93</v>
      </c>
      <c r="H2745" s="1" t="s">
        <v>64</v>
      </c>
      <c r="K2745" s="1" t="s">
        <v>290</v>
      </c>
      <c r="L2745" s="1" t="s">
        <v>291</v>
      </c>
      <c r="M2745" s="1" t="s">
        <v>9236</v>
      </c>
      <c r="N2745" s="1" t="s">
        <v>105</v>
      </c>
      <c r="O2745" s="1" t="s">
        <v>106</v>
      </c>
      <c r="P2745" s="1" t="s">
        <v>3539</v>
      </c>
      <c r="U2745" s="1" t="s">
        <v>9234</v>
      </c>
      <c r="Z2745" s="1" t="s">
        <v>71</v>
      </c>
      <c r="AE2745" s="1" t="s">
        <v>9229</v>
      </c>
      <c r="AH2745" s="1" t="s">
        <v>73</v>
      </c>
      <c r="AK2745" s="1" t="s">
        <v>71</v>
      </c>
      <c r="AM2745" s="1" t="s">
        <v>71</v>
      </c>
      <c r="AN2745" s="1" t="s">
        <v>71</v>
      </c>
      <c r="AS2745" s="1" t="s">
        <v>71</v>
      </c>
      <c r="AX2745" s="1" t="s">
        <v>71</v>
      </c>
      <c r="AY2745" s="1" t="s">
        <v>59</v>
      </c>
      <c r="AZ2745" s="1" t="s">
        <v>74</v>
      </c>
      <c r="BH2745" s="1" t="s">
        <v>71</v>
      </c>
    </row>
    <row r="2746" customFormat="false" ht="15" hidden="false" customHeight="false" outlineLevel="0" collapsed="false">
      <c r="A2746" s="1" t="s">
        <v>9237</v>
      </c>
      <c r="B2746" s="1" t="s">
        <v>9238</v>
      </c>
      <c r="C2746" s="1" t="s">
        <v>2732</v>
      </c>
      <c r="D2746" s="1" t="s">
        <v>9227</v>
      </c>
      <c r="E2746" s="1" t="s">
        <v>61</v>
      </c>
      <c r="F2746" s="1" t="s">
        <v>101</v>
      </c>
      <c r="G2746" s="1" t="s">
        <v>93</v>
      </c>
      <c r="H2746" s="1" t="s">
        <v>64</v>
      </c>
      <c r="K2746" s="1" t="s">
        <v>126</v>
      </c>
      <c r="L2746" s="1" t="s">
        <v>335</v>
      </c>
      <c r="M2746" s="1" t="s">
        <v>9239</v>
      </c>
      <c r="N2746" s="1" t="s">
        <v>105</v>
      </c>
      <c r="O2746" s="1" t="s">
        <v>106</v>
      </c>
      <c r="P2746" s="1" t="s">
        <v>3539</v>
      </c>
      <c r="U2746" s="1" t="s">
        <v>9237</v>
      </c>
      <c r="Z2746" s="1" t="s">
        <v>71</v>
      </c>
      <c r="AE2746" s="1" t="s">
        <v>9229</v>
      </c>
      <c r="AH2746" s="1" t="s">
        <v>73</v>
      </c>
      <c r="AK2746" s="1" t="s">
        <v>71</v>
      </c>
      <c r="AM2746" s="1" t="s">
        <v>71</v>
      </c>
      <c r="AN2746" s="1" t="s">
        <v>71</v>
      </c>
      <c r="AS2746" s="1" t="s">
        <v>71</v>
      </c>
      <c r="AX2746" s="1" t="s">
        <v>71</v>
      </c>
      <c r="AY2746" s="1" t="s">
        <v>59</v>
      </c>
      <c r="AZ2746" s="1" t="s">
        <v>74</v>
      </c>
      <c r="BH2746" s="1" t="s">
        <v>71</v>
      </c>
    </row>
    <row r="2747" customFormat="false" ht="15" hidden="false" customHeight="false" outlineLevel="0" collapsed="false">
      <c r="A2747" s="1" t="s">
        <v>9240</v>
      </c>
      <c r="B2747" s="1" t="s">
        <v>9241</v>
      </c>
      <c r="C2747" s="1" t="s">
        <v>2732</v>
      </c>
      <c r="D2747" s="1" t="s">
        <v>9227</v>
      </c>
      <c r="E2747" s="1" t="s">
        <v>61</v>
      </c>
      <c r="F2747" s="1" t="s">
        <v>101</v>
      </c>
      <c r="G2747" s="1" t="s">
        <v>93</v>
      </c>
      <c r="H2747" s="1" t="s">
        <v>64</v>
      </c>
      <c r="K2747" s="1" t="s">
        <v>126</v>
      </c>
      <c r="L2747" s="1" t="s">
        <v>335</v>
      </c>
      <c r="M2747" s="1" t="s">
        <v>9228</v>
      </c>
      <c r="N2747" s="1" t="s">
        <v>105</v>
      </c>
      <c r="O2747" s="1" t="s">
        <v>106</v>
      </c>
      <c r="P2747" s="1" t="s">
        <v>3539</v>
      </c>
      <c r="U2747" s="1" t="s">
        <v>9240</v>
      </c>
      <c r="Z2747" s="1" t="s">
        <v>71</v>
      </c>
      <c r="AE2747" s="1" t="s">
        <v>9229</v>
      </c>
      <c r="AH2747" s="1" t="s">
        <v>73</v>
      </c>
      <c r="AK2747" s="1" t="s">
        <v>71</v>
      </c>
      <c r="AM2747" s="1" t="s">
        <v>71</v>
      </c>
      <c r="AN2747" s="1" t="s">
        <v>71</v>
      </c>
      <c r="AS2747" s="1" t="s">
        <v>71</v>
      </c>
      <c r="AX2747" s="1" t="s">
        <v>71</v>
      </c>
      <c r="AY2747" s="1" t="s">
        <v>59</v>
      </c>
      <c r="AZ2747" s="1" t="s">
        <v>74</v>
      </c>
      <c r="BH2747" s="1" t="s">
        <v>71</v>
      </c>
    </row>
    <row r="2748" customFormat="false" ht="15" hidden="false" customHeight="false" outlineLevel="0" collapsed="false">
      <c r="A2748" s="1" t="s">
        <v>9242</v>
      </c>
      <c r="B2748" s="1" t="s">
        <v>9243</v>
      </c>
      <c r="C2748" s="1" t="s">
        <v>2732</v>
      </c>
      <c r="D2748" s="1" t="s">
        <v>9227</v>
      </c>
      <c r="E2748" s="1" t="s">
        <v>61</v>
      </c>
      <c r="F2748" s="1" t="s">
        <v>101</v>
      </c>
      <c r="G2748" s="1" t="s">
        <v>93</v>
      </c>
      <c r="H2748" s="1" t="s">
        <v>64</v>
      </c>
      <c r="K2748" s="1" t="s">
        <v>217</v>
      </c>
      <c r="L2748" s="1" t="s">
        <v>218</v>
      </c>
      <c r="M2748" s="1" t="s">
        <v>828</v>
      </c>
      <c r="N2748" s="1" t="s">
        <v>105</v>
      </c>
      <c r="O2748" s="1" t="s">
        <v>106</v>
      </c>
      <c r="P2748" s="1" t="s">
        <v>3539</v>
      </c>
      <c r="U2748" s="1" t="s">
        <v>9242</v>
      </c>
      <c r="Z2748" s="1" t="s">
        <v>71</v>
      </c>
      <c r="AE2748" s="1" t="s">
        <v>9229</v>
      </c>
      <c r="AH2748" s="1" t="s">
        <v>73</v>
      </c>
      <c r="AK2748" s="1" t="s">
        <v>71</v>
      </c>
      <c r="AM2748" s="1" t="s">
        <v>71</v>
      </c>
      <c r="AN2748" s="1" t="s">
        <v>71</v>
      </c>
      <c r="AS2748" s="1" t="s">
        <v>71</v>
      </c>
      <c r="AX2748" s="1" t="s">
        <v>71</v>
      </c>
      <c r="AY2748" s="1" t="s">
        <v>59</v>
      </c>
      <c r="AZ2748" s="1" t="s">
        <v>74</v>
      </c>
      <c r="BH2748" s="1" t="s">
        <v>71</v>
      </c>
    </row>
    <row r="2749" customFormat="false" ht="15" hidden="false" customHeight="false" outlineLevel="0" collapsed="false">
      <c r="A2749" s="1" t="s">
        <v>9244</v>
      </c>
      <c r="B2749" s="1" t="s">
        <v>9245</v>
      </c>
      <c r="C2749" s="1" t="s">
        <v>2732</v>
      </c>
      <c r="D2749" s="1" t="s">
        <v>9227</v>
      </c>
      <c r="E2749" s="1" t="s">
        <v>61</v>
      </c>
      <c r="F2749" s="1" t="s">
        <v>101</v>
      </c>
      <c r="G2749" s="1" t="s">
        <v>93</v>
      </c>
      <c r="H2749" s="1" t="s">
        <v>64</v>
      </c>
      <c r="K2749" s="1" t="s">
        <v>290</v>
      </c>
      <c r="L2749" s="1" t="s">
        <v>291</v>
      </c>
      <c r="M2749" s="1" t="s">
        <v>9246</v>
      </c>
      <c r="N2749" s="1" t="s">
        <v>105</v>
      </c>
      <c r="O2749" s="1" t="s">
        <v>106</v>
      </c>
      <c r="P2749" s="1" t="s">
        <v>3539</v>
      </c>
      <c r="U2749" s="1" t="s">
        <v>9244</v>
      </c>
      <c r="Z2749" s="1" t="s">
        <v>71</v>
      </c>
      <c r="AE2749" s="1" t="s">
        <v>9229</v>
      </c>
      <c r="AH2749" s="1" t="s">
        <v>73</v>
      </c>
      <c r="AK2749" s="1" t="s">
        <v>71</v>
      </c>
      <c r="AM2749" s="1" t="s">
        <v>71</v>
      </c>
      <c r="AN2749" s="1" t="s">
        <v>71</v>
      </c>
      <c r="AS2749" s="1" t="s">
        <v>71</v>
      </c>
      <c r="AX2749" s="1" t="s">
        <v>71</v>
      </c>
      <c r="AY2749" s="1" t="s">
        <v>59</v>
      </c>
      <c r="AZ2749" s="1" t="s">
        <v>74</v>
      </c>
      <c r="BH2749" s="1" t="s">
        <v>71</v>
      </c>
    </row>
    <row r="2750" customFormat="false" ht="15" hidden="false" customHeight="false" outlineLevel="0" collapsed="false">
      <c r="A2750" s="1" t="s">
        <v>9247</v>
      </c>
      <c r="B2750" s="1" t="s">
        <v>9248</v>
      </c>
      <c r="C2750" s="1" t="s">
        <v>2732</v>
      </c>
      <c r="D2750" s="1" t="s">
        <v>9227</v>
      </c>
      <c r="E2750" s="1" t="s">
        <v>61</v>
      </c>
      <c r="F2750" s="1" t="s">
        <v>101</v>
      </c>
      <c r="G2750" s="1" t="s">
        <v>93</v>
      </c>
      <c r="H2750" s="1" t="s">
        <v>64</v>
      </c>
      <c r="K2750" s="1" t="s">
        <v>108</v>
      </c>
      <c r="L2750" s="1" t="s">
        <v>2547</v>
      </c>
      <c r="M2750" s="1" t="s">
        <v>1387</v>
      </c>
      <c r="N2750" s="1" t="s">
        <v>105</v>
      </c>
      <c r="O2750" s="1" t="s">
        <v>106</v>
      </c>
      <c r="P2750" s="1" t="s">
        <v>3539</v>
      </c>
      <c r="U2750" s="1" t="s">
        <v>9247</v>
      </c>
      <c r="Z2750" s="1" t="s">
        <v>71</v>
      </c>
      <c r="AE2750" s="1" t="s">
        <v>9229</v>
      </c>
      <c r="AH2750" s="1" t="s">
        <v>73</v>
      </c>
      <c r="AK2750" s="1" t="s">
        <v>71</v>
      </c>
      <c r="AM2750" s="1" t="s">
        <v>71</v>
      </c>
      <c r="AN2750" s="1" t="s">
        <v>71</v>
      </c>
      <c r="AS2750" s="1" t="s">
        <v>71</v>
      </c>
      <c r="AX2750" s="1" t="s">
        <v>71</v>
      </c>
      <c r="AY2750" s="1" t="s">
        <v>59</v>
      </c>
      <c r="AZ2750" s="1" t="s">
        <v>74</v>
      </c>
      <c r="BH2750" s="1" t="s">
        <v>71</v>
      </c>
    </row>
    <row r="2751" customFormat="false" ht="15" hidden="false" customHeight="false" outlineLevel="0" collapsed="false">
      <c r="A2751" s="1" t="s">
        <v>9249</v>
      </c>
      <c r="B2751" s="1" t="s">
        <v>9250</v>
      </c>
      <c r="C2751" s="1" t="s">
        <v>2732</v>
      </c>
      <c r="D2751" s="1" t="s">
        <v>9227</v>
      </c>
      <c r="E2751" s="1" t="s">
        <v>61</v>
      </c>
      <c r="F2751" s="1" t="s">
        <v>101</v>
      </c>
      <c r="G2751" s="1" t="s">
        <v>93</v>
      </c>
      <c r="H2751" s="1" t="s">
        <v>64</v>
      </c>
      <c r="K2751" s="1" t="s">
        <v>108</v>
      </c>
      <c r="L2751" s="1" t="s">
        <v>2547</v>
      </c>
      <c r="M2751" s="1" t="s">
        <v>828</v>
      </c>
      <c r="N2751" s="1" t="s">
        <v>105</v>
      </c>
      <c r="O2751" s="1" t="s">
        <v>106</v>
      </c>
      <c r="P2751" s="1" t="s">
        <v>3539</v>
      </c>
      <c r="U2751" s="1" t="s">
        <v>9249</v>
      </c>
      <c r="Z2751" s="1" t="s">
        <v>71</v>
      </c>
      <c r="AE2751" s="1" t="s">
        <v>9229</v>
      </c>
      <c r="AH2751" s="1" t="s">
        <v>73</v>
      </c>
      <c r="AK2751" s="1" t="s">
        <v>71</v>
      </c>
      <c r="AM2751" s="1" t="s">
        <v>71</v>
      </c>
      <c r="AN2751" s="1" t="s">
        <v>71</v>
      </c>
      <c r="AS2751" s="1" t="s">
        <v>71</v>
      </c>
      <c r="AX2751" s="1" t="s">
        <v>71</v>
      </c>
      <c r="AY2751" s="1" t="s">
        <v>59</v>
      </c>
      <c r="AZ2751" s="1" t="s">
        <v>74</v>
      </c>
      <c r="BH2751" s="1" t="s">
        <v>71</v>
      </c>
    </row>
    <row r="2752" customFormat="false" ht="15" hidden="false" customHeight="false" outlineLevel="0" collapsed="false">
      <c r="A2752" s="1" t="s">
        <v>9251</v>
      </c>
      <c r="B2752" s="1" t="s">
        <v>9252</v>
      </c>
      <c r="C2752" s="1" t="s">
        <v>2732</v>
      </c>
      <c r="D2752" s="1" t="s">
        <v>9227</v>
      </c>
      <c r="E2752" s="1" t="s">
        <v>61</v>
      </c>
      <c r="F2752" s="1" t="s">
        <v>101</v>
      </c>
      <c r="G2752" s="1" t="s">
        <v>93</v>
      </c>
      <c r="H2752" s="1" t="s">
        <v>64</v>
      </c>
      <c r="K2752" s="1" t="s">
        <v>1688</v>
      </c>
      <c r="L2752" s="1" t="s">
        <v>9253</v>
      </c>
      <c r="M2752" s="1" t="s">
        <v>828</v>
      </c>
      <c r="N2752" s="1" t="s">
        <v>9254</v>
      </c>
      <c r="O2752" s="1" t="s">
        <v>9255</v>
      </c>
      <c r="P2752" s="1" t="s">
        <v>9256</v>
      </c>
      <c r="U2752" s="1" t="s">
        <v>9251</v>
      </c>
      <c r="Z2752" s="1" t="s">
        <v>71</v>
      </c>
      <c r="AE2752" s="1" t="s">
        <v>9229</v>
      </c>
      <c r="AH2752" s="1" t="s">
        <v>73</v>
      </c>
      <c r="AK2752" s="1" t="s">
        <v>71</v>
      </c>
      <c r="AM2752" s="1" t="s">
        <v>71</v>
      </c>
      <c r="AN2752" s="1" t="s">
        <v>71</v>
      </c>
      <c r="AS2752" s="1" t="s">
        <v>71</v>
      </c>
      <c r="AX2752" s="1" t="s">
        <v>71</v>
      </c>
      <c r="AY2752" s="1" t="s">
        <v>59</v>
      </c>
      <c r="AZ2752" s="1" t="s">
        <v>74</v>
      </c>
      <c r="BH2752" s="1" t="s">
        <v>71</v>
      </c>
    </row>
    <row r="2753" customFormat="false" ht="15" hidden="false" customHeight="false" outlineLevel="0" collapsed="false">
      <c r="A2753" s="1" t="s">
        <v>9257</v>
      </c>
      <c r="B2753" s="1" t="s">
        <v>9258</v>
      </c>
      <c r="C2753" s="1" t="s">
        <v>2732</v>
      </c>
      <c r="D2753" s="1" t="s">
        <v>9227</v>
      </c>
      <c r="E2753" s="1" t="s">
        <v>61</v>
      </c>
      <c r="F2753" s="1" t="s">
        <v>101</v>
      </c>
      <c r="G2753" s="1" t="s">
        <v>93</v>
      </c>
      <c r="H2753" s="1" t="s">
        <v>64</v>
      </c>
      <c r="K2753" s="1" t="s">
        <v>2219</v>
      </c>
      <c r="L2753" s="1" t="s">
        <v>7251</v>
      </c>
      <c r="M2753" s="1" t="s">
        <v>5580</v>
      </c>
      <c r="N2753" s="1" t="s">
        <v>105</v>
      </c>
      <c r="O2753" s="1" t="s">
        <v>106</v>
      </c>
      <c r="P2753" s="1" t="s">
        <v>3539</v>
      </c>
      <c r="U2753" s="1" t="s">
        <v>9257</v>
      </c>
      <c r="Z2753" s="1" t="s">
        <v>71</v>
      </c>
      <c r="AE2753" s="1" t="s">
        <v>9229</v>
      </c>
      <c r="AH2753" s="1" t="s">
        <v>73</v>
      </c>
      <c r="AK2753" s="1" t="s">
        <v>71</v>
      </c>
      <c r="AM2753" s="1" t="s">
        <v>71</v>
      </c>
      <c r="AN2753" s="1" t="s">
        <v>71</v>
      </c>
      <c r="AS2753" s="1" t="s">
        <v>71</v>
      </c>
      <c r="AX2753" s="1" t="s">
        <v>71</v>
      </c>
      <c r="AY2753" s="1" t="s">
        <v>59</v>
      </c>
      <c r="AZ2753" s="1" t="s">
        <v>74</v>
      </c>
      <c r="BH2753" s="1" t="s">
        <v>71</v>
      </c>
    </row>
    <row r="2754" customFormat="false" ht="15" hidden="false" customHeight="false" outlineLevel="0" collapsed="false">
      <c r="A2754" s="1" t="s">
        <v>9259</v>
      </c>
      <c r="B2754" s="1" t="s">
        <v>9260</v>
      </c>
      <c r="C2754" s="1" t="s">
        <v>2732</v>
      </c>
      <c r="D2754" s="1" t="s">
        <v>9227</v>
      </c>
      <c r="E2754" s="1" t="s">
        <v>61</v>
      </c>
      <c r="F2754" s="1" t="s">
        <v>101</v>
      </c>
      <c r="G2754" s="1" t="s">
        <v>93</v>
      </c>
      <c r="H2754" s="1" t="s">
        <v>64</v>
      </c>
      <c r="K2754" s="1" t="s">
        <v>217</v>
      </c>
      <c r="L2754" s="1" t="s">
        <v>218</v>
      </c>
      <c r="M2754" s="1" t="s">
        <v>9261</v>
      </c>
      <c r="N2754" s="1" t="s">
        <v>105</v>
      </c>
      <c r="O2754" s="1" t="s">
        <v>106</v>
      </c>
      <c r="P2754" s="1" t="s">
        <v>3539</v>
      </c>
      <c r="U2754" s="1" t="s">
        <v>9259</v>
      </c>
      <c r="Z2754" s="1" t="s">
        <v>71</v>
      </c>
      <c r="AE2754" s="1" t="s">
        <v>9229</v>
      </c>
      <c r="AH2754" s="1" t="s">
        <v>73</v>
      </c>
      <c r="AK2754" s="1" t="s">
        <v>71</v>
      </c>
      <c r="AM2754" s="1" t="s">
        <v>71</v>
      </c>
      <c r="AN2754" s="1" t="s">
        <v>71</v>
      </c>
      <c r="AS2754" s="1" t="s">
        <v>71</v>
      </c>
      <c r="AX2754" s="1" t="s">
        <v>71</v>
      </c>
      <c r="AY2754" s="1" t="s">
        <v>59</v>
      </c>
      <c r="AZ2754" s="1" t="s">
        <v>74</v>
      </c>
      <c r="BH2754" s="1" t="s">
        <v>71</v>
      </c>
    </row>
    <row r="2755" customFormat="false" ht="15" hidden="false" customHeight="false" outlineLevel="0" collapsed="false">
      <c r="A2755" s="1" t="s">
        <v>9262</v>
      </c>
      <c r="B2755" s="1" t="s">
        <v>9263</v>
      </c>
      <c r="C2755" s="1" t="s">
        <v>2732</v>
      </c>
      <c r="D2755" s="1" t="s">
        <v>9227</v>
      </c>
      <c r="E2755" s="1" t="s">
        <v>61</v>
      </c>
      <c r="F2755" s="1" t="s">
        <v>101</v>
      </c>
      <c r="G2755" s="1" t="s">
        <v>93</v>
      </c>
      <c r="H2755" s="1" t="s">
        <v>64</v>
      </c>
      <c r="K2755" s="1" t="s">
        <v>290</v>
      </c>
      <c r="L2755" s="1" t="s">
        <v>291</v>
      </c>
      <c r="M2755" s="1" t="s">
        <v>226</v>
      </c>
      <c r="N2755" s="1" t="s">
        <v>105</v>
      </c>
      <c r="O2755" s="1" t="s">
        <v>106</v>
      </c>
      <c r="P2755" s="1" t="s">
        <v>3539</v>
      </c>
      <c r="U2755" s="1" t="s">
        <v>9262</v>
      </c>
      <c r="Z2755" s="1" t="s">
        <v>71</v>
      </c>
      <c r="AE2755" s="1" t="s">
        <v>9229</v>
      </c>
      <c r="AH2755" s="1" t="s">
        <v>73</v>
      </c>
      <c r="AK2755" s="1" t="s">
        <v>71</v>
      </c>
      <c r="AM2755" s="1" t="s">
        <v>71</v>
      </c>
      <c r="AN2755" s="1" t="s">
        <v>71</v>
      </c>
      <c r="AS2755" s="1" t="s">
        <v>71</v>
      </c>
      <c r="AX2755" s="1" t="s">
        <v>71</v>
      </c>
      <c r="AY2755" s="1" t="s">
        <v>59</v>
      </c>
      <c r="AZ2755" s="1" t="s">
        <v>74</v>
      </c>
      <c r="BH2755" s="1" t="s">
        <v>71</v>
      </c>
    </row>
    <row r="2756" customFormat="false" ht="15" hidden="false" customHeight="false" outlineLevel="0" collapsed="false">
      <c r="A2756" s="1" t="s">
        <v>9264</v>
      </c>
      <c r="B2756" s="1" t="s">
        <v>9265</v>
      </c>
      <c r="C2756" s="1" t="s">
        <v>2732</v>
      </c>
      <c r="D2756" s="1" t="s">
        <v>9227</v>
      </c>
      <c r="E2756" s="1" t="s">
        <v>61</v>
      </c>
      <c r="F2756" s="1" t="s">
        <v>101</v>
      </c>
      <c r="G2756" s="1" t="s">
        <v>93</v>
      </c>
      <c r="H2756" s="1" t="s">
        <v>64</v>
      </c>
      <c r="K2756" s="1" t="s">
        <v>582</v>
      </c>
      <c r="L2756" s="1" t="s">
        <v>4731</v>
      </c>
      <c r="M2756" s="1" t="s">
        <v>9266</v>
      </c>
      <c r="N2756" s="1" t="s">
        <v>1177</v>
      </c>
      <c r="O2756" s="1" t="s">
        <v>1178</v>
      </c>
      <c r="P2756" s="1" t="s">
        <v>4732</v>
      </c>
      <c r="U2756" s="1" t="s">
        <v>9264</v>
      </c>
      <c r="Z2756" s="1" t="s">
        <v>71</v>
      </c>
      <c r="AE2756" s="1" t="s">
        <v>9229</v>
      </c>
      <c r="AH2756" s="1" t="s">
        <v>73</v>
      </c>
      <c r="AK2756" s="1" t="s">
        <v>71</v>
      </c>
      <c r="AM2756" s="1" t="s">
        <v>71</v>
      </c>
      <c r="AN2756" s="1" t="s">
        <v>71</v>
      </c>
      <c r="AS2756" s="1" t="s">
        <v>71</v>
      </c>
      <c r="AX2756" s="1" t="s">
        <v>71</v>
      </c>
      <c r="AY2756" s="1" t="s">
        <v>59</v>
      </c>
      <c r="AZ2756" s="1" t="s">
        <v>74</v>
      </c>
      <c r="BH2756" s="1" t="s">
        <v>71</v>
      </c>
    </row>
    <row r="2757" customFormat="false" ht="15" hidden="false" customHeight="false" outlineLevel="0" collapsed="false">
      <c r="A2757" s="1" t="s">
        <v>9267</v>
      </c>
      <c r="B2757" s="1" t="s">
        <v>9268</v>
      </c>
      <c r="C2757" s="1" t="s">
        <v>2732</v>
      </c>
      <c r="D2757" s="1" t="s">
        <v>9227</v>
      </c>
      <c r="E2757" s="1" t="s">
        <v>61</v>
      </c>
      <c r="F2757" s="1" t="s">
        <v>101</v>
      </c>
      <c r="G2757" s="1" t="s">
        <v>93</v>
      </c>
      <c r="H2757" s="1" t="s">
        <v>64</v>
      </c>
      <c r="K2757" s="1" t="s">
        <v>290</v>
      </c>
      <c r="L2757" s="1" t="s">
        <v>291</v>
      </c>
      <c r="M2757" s="1" t="s">
        <v>9269</v>
      </c>
      <c r="N2757" s="1" t="s">
        <v>105</v>
      </c>
      <c r="O2757" s="1" t="s">
        <v>106</v>
      </c>
      <c r="P2757" s="1" t="s">
        <v>3539</v>
      </c>
      <c r="U2757" s="1" t="s">
        <v>9267</v>
      </c>
      <c r="Z2757" s="1" t="s">
        <v>71</v>
      </c>
      <c r="AE2757" s="1" t="s">
        <v>9229</v>
      </c>
      <c r="AH2757" s="1" t="s">
        <v>73</v>
      </c>
      <c r="AK2757" s="1" t="s">
        <v>71</v>
      </c>
      <c r="AM2757" s="1" t="s">
        <v>71</v>
      </c>
      <c r="AN2757" s="1" t="s">
        <v>71</v>
      </c>
      <c r="AS2757" s="1" t="s">
        <v>71</v>
      </c>
      <c r="AX2757" s="1" t="s">
        <v>71</v>
      </c>
      <c r="AY2757" s="1" t="s">
        <v>59</v>
      </c>
      <c r="AZ2757" s="1" t="s">
        <v>74</v>
      </c>
      <c r="BH2757" s="1" t="s">
        <v>71</v>
      </c>
    </row>
    <row r="2758" customFormat="false" ht="15" hidden="false" customHeight="false" outlineLevel="0" collapsed="false">
      <c r="A2758" s="1" t="s">
        <v>9270</v>
      </c>
      <c r="B2758" s="1" t="s">
        <v>9271</v>
      </c>
      <c r="C2758" s="1" t="s">
        <v>2732</v>
      </c>
      <c r="D2758" s="1" t="s">
        <v>9227</v>
      </c>
      <c r="E2758" s="1" t="s">
        <v>61</v>
      </c>
      <c r="F2758" s="1" t="s">
        <v>101</v>
      </c>
      <c r="G2758" s="1" t="s">
        <v>93</v>
      </c>
      <c r="H2758" s="1" t="s">
        <v>64</v>
      </c>
      <c r="K2758" s="1" t="s">
        <v>1018</v>
      </c>
      <c r="L2758" s="1" t="s">
        <v>1019</v>
      </c>
      <c r="M2758" s="1" t="s">
        <v>9272</v>
      </c>
      <c r="N2758" s="1" t="s">
        <v>105</v>
      </c>
      <c r="O2758" s="1" t="s">
        <v>106</v>
      </c>
      <c r="P2758" s="1" t="s">
        <v>3539</v>
      </c>
      <c r="U2758" s="1" t="s">
        <v>9270</v>
      </c>
      <c r="Z2758" s="1" t="s">
        <v>71</v>
      </c>
      <c r="AE2758" s="1" t="s">
        <v>9229</v>
      </c>
      <c r="AH2758" s="1" t="s">
        <v>73</v>
      </c>
      <c r="AK2758" s="1" t="s">
        <v>71</v>
      </c>
      <c r="AM2758" s="1" t="s">
        <v>71</v>
      </c>
      <c r="AN2758" s="1" t="s">
        <v>71</v>
      </c>
      <c r="AS2758" s="1" t="s">
        <v>71</v>
      </c>
      <c r="AX2758" s="1" t="s">
        <v>71</v>
      </c>
      <c r="AY2758" s="1" t="s">
        <v>59</v>
      </c>
      <c r="AZ2758" s="1" t="s">
        <v>74</v>
      </c>
      <c r="BH2758" s="1" t="s">
        <v>71</v>
      </c>
    </row>
    <row r="2759" customFormat="false" ht="15" hidden="false" customHeight="false" outlineLevel="0" collapsed="false">
      <c r="A2759" s="1" t="s">
        <v>9273</v>
      </c>
      <c r="B2759" s="1" t="s">
        <v>9274</v>
      </c>
      <c r="C2759" s="1" t="s">
        <v>2743</v>
      </c>
      <c r="D2759" s="1" t="s">
        <v>9275</v>
      </c>
      <c r="E2759" s="1" t="s">
        <v>88</v>
      </c>
      <c r="F2759" s="1" t="s">
        <v>432</v>
      </c>
      <c r="G2759" s="1" t="s">
        <v>283</v>
      </c>
      <c r="H2759" s="1" t="s">
        <v>2652</v>
      </c>
      <c r="M2759" s="1" t="s">
        <v>9276</v>
      </c>
      <c r="N2759" s="1" t="s">
        <v>9277</v>
      </c>
      <c r="O2759" s="1" t="s">
        <v>400</v>
      </c>
      <c r="P2759" s="1" t="s">
        <v>9278</v>
      </c>
      <c r="U2759" s="1" t="s">
        <v>9273</v>
      </c>
      <c r="Z2759" s="1" t="s">
        <v>71</v>
      </c>
      <c r="AE2759" s="1" t="s">
        <v>9279</v>
      </c>
      <c r="AH2759" s="1" t="s">
        <v>73</v>
      </c>
      <c r="AK2759" s="1" t="s">
        <v>71</v>
      </c>
      <c r="AS2759" s="1" t="s">
        <v>71</v>
      </c>
    </row>
    <row r="2760" customFormat="false" ht="15" hidden="false" customHeight="false" outlineLevel="0" collapsed="false">
      <c r="A2760" s="1" t="s">
        <v>9280</v>
      </c>
      <c r="B2760" s="1" t="s">
        <v>9281</v>
      </c>
      <c r="C2760" s="1" t="s">
        <v>2141</v>
      </c>
      <c r="D2760" s="1" t="s">
        <v>7438</v>
      </c>
      <c r="E2760" s="1" t="s">
        <v>82</v>
      </c>
      <c r="F2760" s="1" t="s">
        <v>391</v>
      </c>
      <c r="G2760" s="1" t="s">
        <v>97</v>
      </c>
      <c r="H2760" s="1" t="s">
        <v>406</v>
      </c>
      <c r="K2760" s="1" t="s">
        <v>59</v>
      </c>
      <c r="L2760" s="1" t="s">
        <v>791</v>
      </c>
      <c r="M2760" s="1" t="s">
        <v>496</v>
      </c>
      <c r="N2760" s="1" t="s">
        <v>9282</v>
      </c>
      <c r="O2760" s="1" t="s">
        <v>9283</v>
      </c>
      <c r="P2760" s="1" t="s">
        <v>9284</v>
      </c>
      <c r="U2760" s="1" t="s">
        <v>9280</v>
      </c>
      <c r="Z2760" s="1" t="s">
        <v>71</v>
      </c>
      <c r="AE2760" s="1" t="s">
        <v>9279</v>
      </c>
      <c r="AH2760" s="1" t="s">
        <v>73</v>
      </c>
      <c r="AK2760" s="1" t="s">
        <v>71</v>
      </c>
      <c r="AS2760" s="1" t="s">
        <v>71</v>
      </c>
    </row>
    <row r="2761" customFormat="false" ht="15" hidden="false" customHeight="false" outlineLevel="0" collapsed="false">
      <c r="A2761" s="1" t="s">
        <v>9285</v>
      </c>
      <c r="B2761" s="1" t="s">
        <v>9286</v>
      </c>
      <c r="C2761" s="1" t="s">
        <v>2754</v>
      </c>
      <c r="D2761" s="1" t="s">
        <v>9287</v>
      </c>
      <c r="E2761" s="1" t="s">
        <v>82</v>
      </c>
      <c r="F2761" s="1" t="s">
        <v>391</v>
      </c>
      <c r="G2761" s="1" t="s">
        <v>97</v>
      </c>
      <c r="H2761" s="1" t="s">
        <v>406</v>
      </c>
      <c r="K2761" s="1" t="s">
        <v>59</v>
      </c>
      <c r="L2761" s="1" t="s">
        <v>791</v>
      </c>
      <c r="M2761" s="1" t="s">
        <v>496</v>
      </c>
      <c r="N2761" s="1" t="s">
        <v>9288</v>
      </c>
      <c r="O2761" s="1" t="s">
        <v>447</v>
      </c>
      <c r="P2761" s="1" t="s">
        <v>9289</v>
      </c>
      <c r="U2761" s="1" t="s">
        <v>9285</v>
      </c>
      <c r="Z2761" s="1" t="s">
        <v>71</v>
      </c>
      <c r="AE2761" s="1" t="s">
        <v>9290</v>
      </c>
      <c r="AH2761" s="1" t="s">
        <v>73</v>
      </c>
      <c r="AK2761" s="1" t="s">
        <v>71</v>
      </c>
      <c r="AS2761" s="1" t="s">
        <v>71</v>
      </c>
    </row>
    <row r="2762" customFormat="false" ht="15" hidden="false" customHeight="false" outlineLevel="0" collapsed="false">
      <c r="A2762" s="1" t="s">
        <v>9291</v>
      </c>
      <c r="B2762" s="1" t="s">
        <v>9292</v>
      </c>
      <c r="C2762" s="1" t="s">
        <v>2754</v>
      </c>
      <c r="D2762" s="1" t="s">
        <v>9287</v>
      </c>
      <c r="E2762" s="1" t="s">
        <v>82</v>
      </c>
      <c r="F2762" s="1" t="s">
        <v>391</v>
      </c>
      <c r="G2762" s="1" t="s">
        <v>97</v>
      </c>
      <c r="H2762" s="1" t="s">
        <v>406</v>
      </c>
      <c r="K2762" s="1" t="s">
        <v>59</v>
      </c>
      <c r="L2762" s="1" t="s">
        <v>791</v>
      </c>
      <c r="M2762" s="1" t="s">
        <v>496</v>
      </c>
      <c r="N2762" s="1" t="s">
        <v>9293</v>
      </c>
      <c r="O2762" s="1" t="s">
        <v>400</v>
      </c>
      <c r="P2762" s="1" t="s">
        <v>9294</v>
      </c>
      <c r="U2762" s="1" t="s">
        <v>9291</v>
      </c>
      <c r="Z2762" s="1" t="s">
        <v>71</v>
      </c>
      <c r="AE2762" s="1" t="s">
        <v>9290</v>
      </c>
      <c r="AH2762" s="1" t="s">
        <v>73</v>
      </c>
      <c r="AK2762" s="1" t="s">
        <v>71</v>
      </c>
      <c r="AS2762" s="1" t="s">
        <v>71</v>
      </c>
    </row>
    <row r="2763" customFormat="false" ht="15" hidden="false" customHeight="false" outlineLevel="0" collapsed="false">
      <c r="A2763" s="1" t="s">
        <v>9295</v>
      </c>
      <c r="B2763" s="1" t="s">
        <v>9296</v>
      </c>
      <c r="C2763" s="1" t="s">
        <v>5845</v>
      </c>
      <c r="D2763" s="1" t="s">
        <v>5846</v>
      </c>
      <c r="E2763" s="1" t="s">
        <v>88</v>
      </c>
      <c r="F2763" s="1" t="s">
        <v>432</v>
      </c>
      <c r="G2763" s="1" t="s">
        <v>433</v>
      </c>
      <c r="H2763" s="1" t="s">
        <v>434</v>
      </c>
      <c r="K2763" s="1" t="s">
        <v>144</v>
      </c>
      <c r="L2763" s="1" t="s">
        <v>7852</v>
      </c>
      <c r="M2763" s="1" t="s">
        <v>496</v>
      </c>
      <c r="N2763" s="1" t="s">
        <v>9297</v>
      </c>
      <c r="O2763" s="1" t="s">
        <v>400</v>
      </c>
      <c r="P2763" s="1" t="s">
        <v>9298</v>
      </c>
      <c r="U2763" s="1" t="s">
        <v>9295</v>
      </c>
      <c r="Z2763" s="1" t="s">
        <v>71</v>
      </c>
      <c r="AE2763" s="1" t="s">
        <v>9299</v>
      </c>
      <c r="AH2763" s="1" t="s">
        <v>73</v>
      </c>
      <c r="AK2763" s="1" t="s">
        <v>71</v>
      </c>
      <c r="AS2763" s="1" t="s">
        <v>71</v>
      </c>
    </row>
    <row r="2764" customFormat="false" ht="15" hidden="false" customHeight="false" outlineLevel="0" collapsed="false">
      <c r="A2764" s="1" t="s">
        <v>9300</v>
      </c>
      <c r="B2764" s="1" t="s">
        <v>9301</v>
      </c>
      <c r="C2764" s="1" t="s">
        <v>1158</v>
      </c>
      <c r="D2764" s="1" t="s">
        <v>4456</v>
      </c>
      <c r="E2764" s="1" t="s">
        <v>82</v>
      </c>
      <c r="F2764" s="1" t="s">
        <v>391</v>
      </c>
      <c r="G2764" s="1" t="s">
        <v>213</v>
      </c>
      <c r="H2764" s="1" t="s">
        <v>477</v>
      </c>
      <c r="K2764" s="1" t="s">
        <v>478</v>
      </c>
      <c r="L2764" s="1" t="s">
        <v>479</v>
      </c>
      <c r="M2764" s="1" t="s">
        <v>496</v>
      </c>
      <c r="N2764" s="1" t="s">
        <v>740</v>
      </c>
      <c r="O2764" s="1" t="s">
        <v>741</v>
      </c>
      <c r="P2764" s="1" t="s">
        <v>3775</v>
      </c>
      <c r="U2764" s="1" t="s">
        <v>9300</v>
      </c>
      <c r="Z2764" s="1" t="s">
        <v>71</v>
      </c>
      <c r="AE2764" s="1" t="s">
        <v>9302</v>
      </c>
      <c r="AH2764" s="1" t="s">
        <v>73</v>
      </c>
      <c r="AK2764" s="1" t="s">
        <v>71</v>
      </c>
      <c r="AS2764" s="1" t="s">
        <v>71</v>
      </c>
    </row>
    <row r="2765" customFormat="false" ht="15" hidden="false" customHeight="false" outlineLevel="0" collapsed="false">
      <c r="A2765" s="1" t="s">
        <v>9303</v>
      </c>
      <c r="B2765" s="1" t="s">
        <v>9304</v>
      </c>
      <c r="C2765" s="1" t="s">
        <v>1158</v>
      </c>
      <c r="D2765" s="1" t="s">
        <v>4456</v>
      </c>
      <c r="E2765" s="1" t="s">
        <v>82</v>
      </c>
      <c r="F2765" s="1" t="s">
        <v>391</v>
      </c>
      <c r="G2765" s="1" t="s">
        <v>213</v>
      </c>
      <c r="H2765" s="1" t="s">
        <v>477</v>
      </c>
      <c r="K2765" s="1" t="s">
        <v>478</v>
      </c>
      <c r="L2765" s="1" t="s">
        <v>479</v>
      </c>
      <c r="M2765" s="1" t="s">
        <v>496</v>
      </c>
      <c r="N2765" s="1" t="s">
        <v>608</v>
      </c>
      <c r="O2765" s="1" t="s">
        <v>609</v>
      </c>
      <c r="P2765" s="1" t="s">
        <v>4655</v>
      </c>
      <c r="U2765" s="1" t="s">
        <v>9303</v>
      </c>
      <c r="Z2765" s="1" t="s">
        <v>71</v>
      </c>
      <c r="AE2765" s="1" t="s">
        <v>9302</v>
      </c>
      <c r="AH2765" s="1" t="s">
        <v>73</v>
      </c>
      <c r="AK2765" s="1" t="s">
        <v>71</v>
      </c>
      <c r="AS2765" s="1" t="s">
        <v>71</v>
      </c>
    </row>
    <row r="2766" customFormat="false" ht="15" hidden="false" customHeight="false" outlineLevel="0" collapsed="false">
      <c r="A2766" s="1" t="s">
        <v>9305</v>
      </c>
      <c r="B2766" s="1" t="s">
        <v>9306</v>
      </c>
      <c r="C2766" s="1" t="s">
        <v>2706</v>
      </c>
      <c r="D2766" s="1" t="s">
        <v>2707</v>
      </c>
      <c r="E2766" s="1" t="s">
        <v>82</v>
      </c>
      <c r="F2766" s="1" t="s">
        <v>391</v>
      </c>
      <c r="G2766" s="1" t="s">
        <v>97</v>
      </c>
      <c r="H2766" s="1" t="s">
        <v>406</v>
      </c>
      <c r="K2766" s="1" t="s">
        <v>2144</v>
      </c>
      <c r="L2766" s="1" t="s">
        <v>2145</v>
      </c>
      <c r="M2766" s="1" t="s">
        <v>496</v>
      </c>
      <c r="N2766" s="1" t="s">
        <v>9307</v>
      </c>
      <c r="O2766" s="1" t="s">
        <v>400</v>
      </c>
      <c r="P2766" s="1" t="s">
        <v>9308</v>
      </c>
      <c r="U2766" s="1" t="s">
        <v>9305</v>
      </c>
      <c r="Z2766" s="1" t="s">
        <v>71</v>
      </c>
      <c r="AE2766" s="1" t="s">
        <v>9302</v>
      </c>
      <c r="AH2766" s="1" t="s">
        <v>73</v>
      </c>
      <c r="AK2766" s="1" t="s">
        <v>71</v>
      </c>
      <c r="AS2766" s="1" t="s">
        <v>71</v>
      </c>
    </row>
    <row r="2767" customFormat="false" ht="15" hidden="false" customHeight="false" outlineLevel="0" collapsed="false">
      <c r="A2767" s="1" t="s">
        <v>9309</v>
      </c>
      <c r="B2767" s="1" t="s">
        <v>9310</v>
      </c>
      <c r="C2767" s="1" t="s">
        <v>2706</v>
      </c>
      <c r="D2767" s="1" t="s">
        <v>2707</v>
      </c>
      <c r="E2767" s="1" t="s">
        <v>82</v>
      </c>
      <c r="F2767" s="1" t="s">
        <v>391</v>
      </c>
      <c r="G2767" s="1" t="s">
        <v>97</v>
      </c>
      <c r="H2767" s="1" t="s">
        <v>406</v>
      </c>
      <c r="K2767" s="1" t="s">
        <v>2144</v>
      </c>
      <c r="L2767" s="1" t="s">
        <v>2145</v>
      </c>
      <c r="M2767" s="1" t="s">
        <v>496</v>
      </c>
      <c r="N2767" s="1" t="s">
        <v>9311</v>
      </c>
      <c r="O2767" s="1" t="s">
        <v>9312</v>
      </c>
      <c r="P2767" s="1" t="s">
        <v>9313</v>
      </c>
      <c r="U2767" s="1" t="s">
        <v>9309</v>
      </c>
      <c r="Z2767" s="1" t="s">
        <v>71</v>
      </c>
      <c r="AE2767" s="1" t="s">
        <v>9302</v>
      </c>
      <c r="AH2767" s="1" t="s">
        <v>73</v>
      </c>
      <c r="AK2767" s="1" t="s">
        <v>71</v>
      </c>
      <c r="AS2767" s="1" t="s">
        <v>71</v>
      </c>
    </row>
    <row r="2768" customFormat="false" ht="15" hidden="false" customHeight="false" outlineLevel="0" collapsed="false">
      <c r="A2768" s="1" t="s">
        <v>9314</v>
      </c>
      <c r="B2768" s="1" t="s">
        <v>9315</v>
      </c>
      <c r="C2768" s="1" t="s">
        <v>2090</v>
      </c>
      <c r="D2768" s="1" t="s">
        <v>7238</v>
      </c>
      <c r="E2768" s="1" t="s">
        <v>61</v>
      </c>
      <c r="F2768" s="1" t="s">
        <v>101</v>
      </c>
      <c r="G2768" s="1" t="s">
        <v>93</v>
      </c>
      <c r="H2768" s="1" t="s">
        <v>64</v>
      </c>
      <c r="K2768" s="1" t="s">
        <v>150</v>
      </c>
      <c r="L2768" s="1" t="s">
        <v>4630</v>
      </c>
      <c r="M2768" s="1" t="s">
        <v>310</v>
      </c>
      <c r="N2768" s="1" t="s">
        <v>203</v>
      </c>
      <c r="O2768" s="1" t="s">
        <v>204</v>
      </c>
      <c r="P2768" s="1" t="s">
        <v>3536</v>
      </c>
      <c r="U2768" s="1" t="s">
        <v>9314</v>
      </c>
      <c r="Z2768" s="1" t="s">
        <v>71</v>
      </c>
      <c r="AE2768" s="1" t="s">
        <v>9316</v>
      </c>
      <c r="AH2768" s="1" t="s">
        <v>73</v>
      </c>
      <c r="AK2768" s="1" t="s">
        <v>71</v>
      </c>
      <c r="AM2768" s="1" t="s">
        <v>71</v>
      </c>
      <c r="AN2768" s="1" t="s">
        <v>71</v>
      </c>
      <c r="AS2768" s="1" t="s">
        <v>71</v>
      </c>
      <c r="AX2768" s="1" t="s">
        <v>71</v>
      </c>
      <c r="AY2768" s="1" t="s">
        <v>59</v>
      </c>
      <c r="AZ2768" s="1" t="s">
        <v>74</v>
      </c>
      <c r="BH2768" s="1" t="s">
        <v>71</v>
      </c>
    </row>
    <row r="2769" customFormat="false" ht="15" hidden="false" customHeight="false" outlineLevel="0" collapsed="false">
      <c r="A2769" s="1" t="s">
        <v>9317</v>
      </c>
      <c r="B2769" s="1" t="s">
        <v>9318</v>
      </c>
      <c r="C2769" s="1" t="s">
        <v>2090</v>
      </c>
      <c r="D2769" s="1" t="s">
        <v>7238</v>
      </c>
      <c r="E2769" s="1" t="s">
        <v>61</v>
      </c>
      <c r="F2769" s="1" t="s">
        <v>101</v>
      </c>
      <c r="G2769" s="1" t="s">
        <v>93</v>
      </c>
      <c r="H2769" s="1" t="s">
        <v>64</v>
      </c>
      <c r="K2769" s="1" t="s">
        <v>206</v>
      </c>
      <c r="L2769" s="1" t="s">
        <v>1558</v>
      </c>
      <c r="M2769" s="1" t="s">
        <v>104</v>
      </c>
      <c r="N2769" s="1" t="s">
        <v>105</v>
      </c>
      <c r="O2769" s="1" t="s">
        <v>106</v>
      </c>
      <c r="P2769" s="1" t="s">
        <v>3539</v>
      </c>
      <c r="U2769" s="1" t="s">
        <v>9317</v>
      </c>
      <c r="Z2769" s="1" t="s">
        <v>71</v>
      </c>
      <c r="AE2769" s="1" t="s">
        <v>9316</v>
      </c>
      <c r="AH2769" s="1" t="s">
        <v>73</v>
      </c>
      <c r="AK2769" s="1" t="s">
        <v>71</v>
      </c>
      <c r="AM2769" s="1" t="s">
        <v>71</v>
      </c>
      <c r="AN2769" s="1" t="s">
        <v>71</v>
      </c>
      <c r="AS2769" s="1" t="s">
        <v>71</v>
      </c>
      <c r="AX2769" s="1" t="s">
        <v>71</v>
      </c>
      <c r="AY2769" s="1" t="s">
        <v>59</v>
      </c>
      <c r="AZ2769" s="1" t="s">
        <v>74</v>
      </c>
      <c r="BH2769" s="1" t="s">
        <v>71</v>
      </c>
    </row>
    <row r="2770" customFormat="false" ht="15" hidden="false" customHeight="false" outlineLevel="0" collapsed="false">
      <c r="A2770" s="1" t="s">
        <v>9319</v>
      </c>
      <c r="B2770" s="1" t="s">
        <v>9320</v>
      </c>
      <c r="C2770" s="1" t="s">
        <v>2090</v>
      </c>
      <c r="D2770" s="1" t="s">
        <v>7238</v>
      </c>
      <c r="E2770" s="1" t="s">
        <v>61</v>
      </c>
      <c r="F2770" s="1" t="s">
        <v>101</v>
      </c>
      <c r="G2770" s="1" t="s">
        <v>93</v>
      </c>
      <c r="H2770" s="1" t="s">
        <v>64</v>
      </c>
      <c r="K2770" s="1" t="s">
        <v>206</v>
      </c>
      <c r="L2770" s="1" t="s">
        <v>1558</v>
      </c>
      <c r="M2770" s="1" t="s">
        <v>104</v>
      </c>
      <c r="N2770" s="1" t="s">
        <v>105</v>
      </c>
      <c r="O2770" s="1" t="s">
        <v>106</v>
      </c>
      <c r="P2770" s="1" t="s">
        <v>3539</v>
      </c>
      <c r="U2770" s="1" t="s">
        <v>9319</v>
      </c>
      <c r="Z2770" s="1" t="s">
        <v>71</v>
      </c>
      <c r="AE2770" s="1" t="s">
        <v>9316</v>
      </c>
      <c r="AH2770" s="1" t="s">
        <v>73</v>
      </c>
      <c r="AK2770" s="1" t="s">
        <v>71</v>
      </c>
      <c r="AM2770" s="1" t="s">
        <v>71</v>
      </c>
      <c r="AN2770" s="1" t="s">
        <v>71</v>
      </c>
      <c r="AS2770" s="1" t="s">
        <v>71</v>
      </c>
      <c r="AX2770" s="1" t="s">
        <v>71</v>
      </c>
      <c r="AY2770" s="1" t="s">
        <v>59</v>
      </c>
      <c r="AZ2770" s="1" t="s">
        <v>74</v>
      </c>
      <c r="BH2770" s="1" t="s">
        <v>71</v>
      </c>
    </row>
    <row r="2771" customFormat="false" ht="15" hidden="false" customHeight="false" outlineLevel="0" collapsed="false">
      <c r="A2771" s="1" t="s">
        <v>9321</v>
      </c>
      <c r="B2771" s="1" t="s">
        <v>9322</v>
      </c>
      <c r="C2771" s="1" t="s">
        <v>2090</v>
      </c>
      <c r="D2771" s="1" t="s">
        <v>7238</v>
      </c>
      <c r="E2771" s="1" t="s">
        <v>61</v>
      </c>
      <c r="F2771" s="1" t="s">
        <v>101</v>
      </c>
      <c r="G2771" s="1" t="s">
        <v>93</v>
      </c>
      <c r="H2771" s="1" t="s">
        <v>64</v>
      </c>
      <c r="K2771" s="1" t="s">
        <v>206</v>
      </c>
      <c r="L2771" s="1" t="s">
        <v>1558</v>
      </c>
      <c r="M2771" s="1" t="s">
        <v>104</v>
      </c>
      <c r="N2771" s="1" t="s">
        <v>105</v>
      </c>
      <c r="O2771" s="1" t="s">
        <v>106</v>
      </c>
      <c r="P2771" s="1" t="s">
        <v>3539</v>
      </c>
      <c r="U2771" s="1" t="s">
        <v>9321</v>
      </c>
      <c r="Z2771" s="1" t="s">
        <v>71</v>
      </c>
      <c r="AE2771" s="1" t="s">
        <v>9316</v>
      </c>
      <c r="AH2771" s="1" t="s">
        <v>73</v>
      </c>
      <c r="AK2771" s="1" t="s">
        <v>71</v>
      </c>
      <c r="AM2771" s="1" t="s">
        <v>71</v>
      </c>
      <c r="AN2771" s="1" t="s">
        <v>71</v>
      </c>
      <c r="AS2771" s="1" t="s">
        <v>71</v>
      </c>
      <c r="AX2771" s="1" t="s">
        <v>71</v>
      </c>
      <c r="AY2771" s="1" t="s">
        <v>59</v>
      </c>
      <c r="AZ2771" s="1" t="s">
        <v>74</v>
      </c>
      <c r="BH2771" s="1" t="s">
        <v>71</v>
      </c>
    </row>
    <row r="2772" customFormat="false" ht="15" hidden="false" customHeight="false" outlineLevel="0" collapsed="false">
      <c r="A2772" s="1" t="s">
        <v>9323</v>
      </c>
      <c r="B2772" s="1" t="s">
        <v>9324</v>
      </c>
      <c r="C2772" s="1" t="s">
        <v>2090</v>
      </c>
      <c r="D2772" s="1" t="s">
        <v>7238</v>
      </c>
      <c r="E2772" s="1" t="s">
        <v>61</v>
      </c>
      <c r="F2772" s="1" t="s">
        <v>101</v>
      </c>
      <c r="G2772" s="1" t="s">
        <v>93</v>
      </c>
      <c r="H2772" s="1" t="s">
        <v>64</v>
      </c>
      <c r="K2772" s="1" t="s">
        <v>224</v>
      </c>
      <c r="L2772" s="1" t="s">
        <v>225</v>
      </c>
      <c r="M2772" s="1" t="s">
        <v>1555</v>
      </c>
      <c r="N2772" s="1" t="s">
        <v>105</v>
      </c>
      <c r="O2772" s="1" t="s">
        <v>106</v>
      </c>
      <c r="P2772" s="1" t="s">
        <v>3539</v>
      </c>
      <c r="U2772" s="1" t="s">
        <v>9323</v>
      </c>
      <c r="Z2772" s="1" t="s">
        <v>71</v>
      </c>
      <c r="AE2772" s="1" t="s">
        <v>9316</v>
      </c>
      <c r="AH2772" s="1" t="s">
        <v>73</v>
      </c>
      <c r="AK2772" s="1" t="s">
        <v>71</v>
      </c>
      <c r="AM2772" s="1" t="s">
        <v>71</v>
      </c>
      <c r="AN2772" s="1" t="s">
        <v>71</v>
      </c>
      <c r="AS2772" s="1" t="s">
        <v>71</v>
      </c>
      <c r="AX2772" s="1" t="s">
        <v>71</v>
      </c>
      <c r="AY2772" s="1" t="s">
        <v>59</v>
      </c>
      <c r="AZ2772" s="1" t="s">
        <v>74</v>
      </c>
      <c r="BH2772" s="1" t="s">
        <v>71</v>
      </c>
    </row>
    <row r="2773" customFormat="false" ht="15" hidden="false" customHeight="false" outlineLevel="0" collapsed="false">
      <c r="A2773" s="1" t="s">
        <v>9325</v>
      </c>
      <c r="B2773" s="1" t="s">
        <v>9326</v>
      </c>
      <c r="C2773" s="1" t="s">
        <v>2090</v>
      </c>
      <c r="D2773" s="1" t="s">
        <v>7238</v>
      </c>
      <c r="E2773" s="1" t="s">
        <v>61</v>
      </c>
      <c r="F2773" s="1" t="s">
        <v>101</v>
      </c>
      <c r="G2773" s="1" t="s">
        <v>115</v>
      </c>
      <c r="H2773" s="1" t="s">
        <v>5689</v>
      </c>
      <c r="K2773" s="1" t="s">
        <v>82</v>
      </c>
      <c r="L2773" s="1" t="s">
        <v>1420</v>
      </c>
      <c r="M2773" s="1" t="s">
        <v>1387</v>
      </c>
      <c r="N2773" s="1" t="s">
        <v>6195</v>
      </c>
      <c r="O2773" s="1" t="s">
        <v>6196</v>
      </c>
      <c r="P2773" s="1" t="s">
        <v>6197</v>
      </c>
      <c r="U2773" s="1" t="s">
        <v>9325</v>
      </c>
      <c r="Z2773" s="1" t="s">
        <v>71</v>
      </c>
      <c r="AE2773" s="1" t="s">
        <v>9316</v>
      </c>
      <c r="AH2773" s="1" t="s">
        <v>73</v>
      </c>
      <c r="AK2773" s="1" t="s">
        <v>71</v>
      </c>
      <c r="AM2773" s="1" t="s">
        <v>71</v>
      </c>
      <c r="AN2773" s="1" t="s">
        <v>71</v>
      </c>
      <c r="AS2773" s="1" t="s">
        <v>71</v>
      </c>
      <c r="AX2773" s="1" t="s">
        <v>71</v>
      </c>
      <c r="AY2773" s="1" t="s">
        <v>59</v>
      </c>
      <c r="AZ2773" s="1" t="s">
        <v>74</v>
      </c>
      <c r="BH2773" s="1" t="s">
        <v>71</v>
      </c>
    </row>
    <row r="2774" customFormat="false" ht="15" hidden="false" customHeight="false" outlineLevel="0" collapsed="false">
      <c r="A2774" s="1" t="s">
        <v>9327</v>
      </c>
      <c r="B2774" s="1" t="s">
        <v>9328</v>
      </c>
      <c r="C2774" s="1" t="s">
        <v>2090</v>
      </c>
      <c r="D2774" s="1" t="s">
        <v>7238</v>
      </c>
      <c r="E2774" s="1" t="s">
        <v>61</v>
      </c>
      <c r="F2774" s="1" t="s">
        <v>101</v>
      </c>
      <c r="G2774" s="1" t="s">
        <v>115</v>
      </c>
      <c r="H2774" s="1" t="s">
        <v>5689</v>
      </c>
      <c r="K2774" s="1" t="s">
        <v>148</v>
      </c>
      <c r="L2774" s="1" t="s">
        <v>6497</v>
      </c>
      <c r="M2774" s="1" t="s">
        <v>1387</v>
      </c>
      <c r="N2774" s="1" t="s">
        <v>6195</v>
      </c>
      <c r="O2774" s="1" t="s">
        <v>6196</v>
      </c>
      <c r="P2774" s="1" t="s">
        <v>6197</v>
      </c>
      <c r="U2774" s="1" t="s">
        <v>9327</v>
      </c>
      <c r="Z2774" s="1" t="s">
        <v>71</v>
      </c>
      <c r="AE2774" s="1" t="s">
        <v>9316</v>
      </c>
      <c r="AH2774" s="1" t="s">
        <v>73</v>
      </c>
      <c r="AK2774" s="1" t="s">
        <v>71</v>
      </c>
      <c r="AM2774" s="1" t="s">
        <v>71</v>
      </c>
      <c r="AN2774" s="1" t="s">
        <v>71</v>
      </c>
      <c r="AS2774" s="1" t="s">
        <v>71</v>
      </c>
      <c r="AX2774" s="1" t="s">
        <v>71</v>
      </c>
      <c r="AY2774" s="1" t="s">
        <v>59</v>
      </c>
      <c r="AZ2774" s="1" t="s">
        <v>74</v>
      </c>
      <c r="BH2774" s="1" t="s">
        <v>71</v>
      </c>
    </row>
    <row r="2775" customFormat="false" ht="15" hidden="false" customHeight="false" outlineLevel="0" collapsed="false">
      <c r="A2775" s="1" t="s">
        <v>9329</v>
      </c>
      <c r="B2775" s="1" t="s">
        <v>9330</v>
      </c>
      <c r="C2775" s="1" t="s">
        <v>2090</v>
      </c>
      <c r="D2775" s="1" t="s">
        <v>7238</v>
      </c>
      <c r="E2775" s="1" t="s">
        <v>61</v>
      </c>
      <c r="F2775" s="1" t="s">
        <v>101</v>
      </c>
      <c r="G2775" s="1" t="s">
        <v>177</v>
      </c>
      <c r="H2775" s="1" t="s">
        <v>255</v>
      </c>
      <c r="K2775" s="1" t="s">
        <v>136</v>
      </c>
      <c r="L2775" s="1" t="s">
        <v>6018</v>
      </c>
      <c r="M2775" s="1" t="s">
        <v>6813</v>
      </c>
      <c r="N2775" s="1" t="s">
        <v>259</v>
      </c>
      <c r="O2775" s="1" t="s">
        <v>260</v>
      </c>
      <c r="P2775" s="1" t="s">
        <v>3768</v>
      </c>
      <c r="U2775" s="1" t="s">
        <v>9329</v>
      </c>
      <c r="Z2775" s="1" t="s">
        <v>71</v>
      </c>
      <c r="AE2775" s="1" t="s">
        <v>9316</v>
      </c>
      <c r="AH2775" s="1" t="s">
        <v>73</v>
      </c>
      <c r="AK2775" s="1" t="s">
        <v>71</v>
      </c>
      <c r="AM2775" s="1" t="s">
        <v>71</v>
      </c>
      <c r="AN2775" s="1" t="s">
        <v>71</v>
      </c>
      <c r="AS2775" s="1" t="s">
        <v>71</v>
      </c>
      <c r="AX2775" s="1" t="s">
        <v>71</v>
      </c>
      <c r="AY2775" s="1" t="s">
        <v>59</v>
      </c>
      <c r="AZ2775" s="1" t="s">
        <v>74</v>
      </c>
      <c r="BH2775" s="1" t="s">
        <v>71</v>
      </c>
    </row>
    <row r="2776" customFormat="false" ht="15" hidden="false" customHeight="false" outlineLevel="0" collapsed="false">
      <c r="A2776" s="1" t="s">
        <v>9331</v>
      </c>
      <c r="B2776" s="1" t="s">
        <v>9332</v>
      </c>
      <c r="C2776" s="1" t="s">
        <v>2090</v>
      </c>
      <c r="D2776" s="1" t="s">
        <v>7238</v>
      </c>
      <c r="E2776" s="1" t="s">
        <v>61</v>
      </c>
      <c r="F2776" s="1" t="s">
        <v>101</v>
      </c>
      <c r="G2776" s="1" t="s">
        <v>177</v>
      </c>
      <c r="H2776" s="1" t="s">
        <v>255</v>
      </c>
      <c r="K2776" s="1" t="s">
        <v>136</v>
      </c>
      <c r="L2776" s="1" t="s">
        <v>6018</v>
      </c>
      <c r="M2776" s="1" t="s">
        <v>6813</v>
      </c>
      <c r="N2776" s="1" t="s">
        <v>259</v>
      </c>
      <c r="O2776" s="1" t="s">
        <v>260</v>
      </c>
      <c r="P2776" s="1" t="s">
        <v>3768</v>
      </c>
      <c r="U2776" s="1" t="s">
        <v>9331</v>
      </c>
      <c r="Z2776" s="1" t="s">
        <v>71</v>
      </c>
      <c r="AE2776" s="1" t="s">
        <v>9316</v>
      </c>
      <c r="AH2776" s="1" t="s">
        <v>73</v>
      </c>
      <c r="AK2776" s="1" t="s">
        <v>71</v>
      </c>
      <c r="AM2776" s="1" t="s">
        <v>71</v>
      </c>
      <c r="AN2776" s="1" t="s">
        <v>71</v>
      </c>
      <c r="AS2776" s="1" t="s">
        <v>71</v>
      </c>
      <c r="AX2776" s="1" t="s">
        <v>71</v>
      </c>
      <c r="AY2776" s="1" t="s">
        <v>59</v>
      </c>
      <c r="AZ2776" s="1" t="s">
        <v>74</v>
      </c>
      <c r="BH2776" s="1" t="s">
        <v>71</v>
      </c>
    </row>
    <row r="2777" customFormat="false" ht="15" hidden="false" customHeight="false" outlineLevel="0" collapsed="false">
      <c r="A2777" s="1" t="s">
        <v>9333</v>
      </c>
      <c r="B2777" s="1" t="s">
        <v>9334</v>
      </c>
      <c r="C2777" s="1" t="s">
        <v>163</v>
      </c>
      <c r="D2777" s="1" t="s">
        <v>267</v>
      </c>
      <c r="E2777" s="1" t="s">
        <v>61</v>
      </c>
      <c r="F2777" s="1" t="s">
        <v>101</v>
      </c>
      <c r="G2777" s="1" t="s">
        <v>108</v>
      </c>
      <c r="H2777" s="1" t="s">
        <v>1495</v>
      </c>
      <c r="K2777" s="1" t="s">
        <v>120</v>
      </c>
      <c r="L2777" s="1" t="s">
        <v>9335</v>
      </c>
      <c r="M2777" s="1" t="s">
        <v>9151</v>
      </c>
      <c r="N2777" s="1" t="s">
        <v>5423</v>
      </c>
      <c r="O2777" s="1" t="s">
        <v>5424</v>
      </c>
      <c r="P2777" s="1" t="s">
        <v>5425</v>
      </c>
      <c r="U2777" s="1" t="s">
        <v>9333</v>
      </c>
      <c r="Z2777" s="1" t="s">
        <v>71</v>
      </c>
      <c r="AE2777" s="1" t="s">
        <v>9316</v>
      </c>
      <c r="AH2777" s="1" t="s">
        <v>73</v>
      </c>
      <c r="AK2777" s="1" t="s">
        <v>71</v>
      </c>
      <c r="AM2777" s="1" t="s">
        <v>71</v>
      </c>
      <c r="AN2777" s="1" t="s">
        <v>71</v>
      </c>
      <c r="AS2777" s="1" t="s">
        <v>71</v>
      </c>
      <c r="AX2777" s="1" t="s">
        <v>71</v>
      </c>
      <c r="AY2777" s="1" t="s">
        <v>59</v>
      </c>
      <c r="AZ2777" s="1" t="s">
        <v>74</v>
      </c>
      <c r="BH2777" s="1" t="s">
        <v>71</v>
      </c>
    </row>
    <row r="2778" customFormat="false" ht="15" hidden="false" customHeight="false" outlineLevel="0" collapsed="false">
      <c r="A2778" s="1" t="s">
        <v>9336</v>
      </c>
      <c r="B2778" s="1" t="s">
        <v>9337</v>
      </c>
      <c r="C2778" s="1" t="s">
        <v>163</v>
      </c>
      <c r="D2778" s="1" t="s">
        <v>267</v>
      </c>
      <c r="E2778" s="1" t="s">
        <v>61</v>
      </c>
      <c r="F2778" s="1" t="s">
        <v>101</v>
      </c>
      <c r="G2778" s="1" t="s">
        <v>108</v>
      </c>
      <c r="H2778" s="1" t="s">
        <v>1495</v>
      </c>
      <c r="K2778" s="1" t="s">
        <v>120</v>
      </c>
      <c r="L2778" s="1" t="s">
        <v>9335</v>
      </c>
      <c r="M2778" s="1" t="s">
        <v>9151</v>
      </c>
      <c r="N2778" s="1" t="s">
        <v>5423</v>
      </c>
      <c r="O2778" s="1" t="s">
        <v>5424</v>
      </c>
      <c r="P2778" s="1" t="s">
        <v>5425</v>
      </c>
      <c r="U2778" s="1" t="s">
        <v>9336</v>
      </c>
      <c r="Z2778" s="1" t="s">
        <v>71</v>
      </c>
      <c r="AE2778" s="1" t="s">
        <v>9316</v>
      </c>
      <c r="AH2778" s="1" t="s">
        <v>73</v>
      </c>
      <c r="AK2778" s="1" t="s">
        <v>71</v>
      </c>
      <c r="AM2778" s="1" t="s">
        <v>71</v>
      </c>
      <c r="AN2778" s="1" t="s">
        <v>71</v>
      </c>
      <c r="AS2778" s="1" t="s">
        <v>71</v>
      </c>
      <c r="AX2778" s="1" t="s">
        <v>71</v>
      </c>
      <c r="AY2778" s="1" t="s">
        <v>59</v>
      </c>
      <c r="AZ2778" s="1" t="s">
        <v>74</v>
      </c>
      <c r="BH2778" s="1" t="s">
        <v>71</v>
      </c>
    </row>
    <row r="2779" customFormat="false" ht="15" hidden="false" customHeight="false" outlineLevel="0" collapsed="false">
      <c r="A2779" s="1" t="s">
        <v>9338</v>
      </c>
      <c r="B2779" s="1" t="s">
        <v>9339</v>
      </c>
      <c r="C2779" s="1" t="s">
        <v>163</v>
      </c>
      <c r="D2779" s="1" t="s">
        <v>267</v>
      </c>
      <c r="E2779" s="1" t="s">
        <v>61</v>
      </c>
      <c r="F2779" s="1" t="s">
        <v>101</v>
      </c>
      <c r="G2779" s="1" t="s">
        <v>108</v>
      </c>
      <c r="H2779" s="1" t="s">
        <v>1495</v>
      </c>
      <c r="K2779" s="1" t="s">
        <v>5922</v>
      </c>
      <c r="L2779" s="1" t="s">
        <v>9150</v>
      </c>
      <c r="M2779" s="1" t="s">
        <v>9151</v>
      </c>
      <c r="N2779" s="1" t="s">
        <v>5423</v>
      </c>
      <c r="O2779" s="1" t="s">
        <v>5424</v>
      </c>
      <c r="P2779" s="1" t="s">
        <v>5425</v>
      </c>
      <c r="U2779" s="1" t="s">
        <v>9338</v>
      </c>
      <c r="Z2779" s="1" t="s">
        <v>71</v>
      </c>
      <c r="AE2779" s="1" t="s">
        <v>9316</v>
      </c>
      <c r="AH2779" s="1" t="s">
        <v>73</v>
      </c>
      <c r="AK2779" s="1" t="s">
        <v>71</v>
      </c>
      <c r="AM2779" s="1" t="s">
        <v>71</v>
      </c>
      <c r="AN2779" s="1" t="s">
        <v>71</v>
      </c>
      <c r="AS2779" s="1" t="s">
        <v>71</v>
      </c>
      <c r="AX2779" s="1" t="s">
        <v>71</v>
      </c>
      <c r="AY2779" s="1" t="s">
        <v>59</v>
      </c>
      <c r="AZ2779" s="1" t="s">
        <v>74</v>
      </c>
      <c r="BH2779" s="1" t="s">
        <v>71</v>
      </c>
    </row>
    <row r="2780" customFormat="false" ht="15" hidden="false" customHeight="false" outlineLevel="0" collapsed="false">
      <c r="A2780" s="1" t="s">
        <v>9340</v>
      </c>
      <c r="B2780" s="1" t="s">
        <v>9341</v>
      </c>
      <c r="C2780" s="1" t="s">
        <v>163</v>
      </c>
      <c r="D2780" s="1" t="s">
        <v>267</v>
      </c>
      <c r="E2780" s="1" t="s">
        <v>61</v>
      </c>
      <c r="F2780" s="1" t="s">
        <v>101</v>
      </c>
      <c r="G2780" s="1" t="s">
        <v>108</v>
      </c>
      <c r="H2780" s="1" t="s">
        <v>1495</v>
      </c>
      <c r="K2780" s="1" t="s">
        <v>184</v>
      </c>
      <c r="L2780" s="1" t="s">
        <v>6952</v>
      </c>
      <c r="M2780" s="1" t="s">
        <v>7046</v>
      </c>
      <c r="N2780" s="1" t="s">
        <v>5423</v>
      </c>
      <c r="O2780" s="1" t="s">
        <v>5424</v>
      </c>
      <c r="P2780" s="1" t="s">
        <v>5425</v>
      </c>
      <c r="U2780" s="1" t="s">
        <v>9340</v>
      </c>
      <c r="Z2780" s="1" t="s">
        <v>71</v>
      </c>
      <c r="AE2780" s="1" t="s">
        <v>9316</v>
      </c>
      <c r="AH2780" s="1" t="s">
        <v>73</v>
      </c>
      <c r="AK2780" s="1" t="s">
        <v>71</v>
      </c>
      <c r="AM2780" s="1" t="s">
        <v>71</v>
      </c>
      <c r="AN2780" s="1" t="s">
        <v>71</v>
      </c>
      <c r="AS2780" s="1" t="s">
        <v>71</v>
      </c>
      <c r="AX2780" s="1" t="s">
        <v>71</v>
      </c>
      <c r="AY2780" s="1" t="s">
        <v>59</v>
      </c>
      <c r="AZ2780" s="1" t="s">
        <v>74</v>
      </c>
      <c r="BH2780" s="1" t="s">
        <v>71</v>
      </c>
    </row>
    <row r="2781" customFormat="false" ht="15" hidden="false" customHeight="false" outlineLevel="0" collapsed="false">
      <c r="A2781" s="1" t="s">
        <v>9342</v>
      </c>
      <c r="B2781" s="1" t="s">
        <v>9343</v>
      </c>
      <c r="C2781" s="1" t="s">
        <v>2762</v>
      </c>
      <c r="D2781" s="1" t="s">
        <v>9344</v>
      </c>
      <c r="E2781" s="1" t="s">
        <v>61</v>
      </c>
      <c r="F2781" s="1" t="s">
        <v>101</v>
      </c>
      <c r="G2781" s="1" t="s">
        <v>1479</v>
      </c>
      <c r="H2781" s="1" t="s">
        <v>5583</v>
      </c>
      <c r="K2781" s="1" t="s">
        <v>82</v>
      </c>
      <c r="L2781" s="1" t="s">
        <v>6368</v>
      </c>
      <c r="M2781" s="1" t="s">
        <v>8180</v>
      </c>
      <c r="N2781" s="1" t="s">
        <v>6357</v>
      </c>
      <c r="O2781" s="1" t="s">
        <v>6358</v>
      </c>
      <c r="P2781" s="1" t="s">
        <v>6359</v>
      </c>
      <c r="U2781" s="1" t="s">
        <v>9342</v>
      </c>
      <c r="Z2781" s="1" t="s">
        <v>71</v>
      </c>
      <c r="AE2781" s="1" t="s">
        <v>9345</v>
      </c>
      <c r="AH2781" s="1" t="s">
        <v>73</v>
      </c>
      <c r="AK2781" s="1" t="s">
        <v>71</v>
      </c>
      <c r="AM2781" s="1" t="s">
        <v>71</v>
      </c>
      <c r="AN2781" s="1" t="s">
        <v>71</v>
      </c>
      <c r="AS2781" s="1" t="s">
        <v>71</v>
      </c>
      <c r="AX2781" s="1" t="s">
        <v>71</v>
      </c>
      <c r="AY2781" s="1" t="s">
        <v>59</v>
      </c>
      <c r="AZ2781" s="1" t="s">
        <v>74</v>
      </c>
      <c r="BH2781" s="1" t="s">
        <v>71</v>
      </c>
    </row>
    <row r="2782" customFormat="false" ht="15" hidden="false" customHeight="false" outlineLevel="0" collapsed="false">
      <c r="A2782" s="1" t="s">
        <v>9346</v>
      </c>
      <c r="B2782" s="1" t="s">
        <v>9347</v>
      </c>
      <c r="C2782" s="1" t="s">
        <v>2762</v>
      </c>
      <c r="D2782" s="1" t="s">
        <v>9344</v>
      </c>
      <c r="E2782" s="1" t="s">
        <v>61</v>
      </c>
      <c r="F2782" s="1" t="s">
        <v>101</v>
      </c>
      <c r="G2782" s="1" t="s">
        <v>1479</v>
      </c>
      <c r="H2782" s="1" t="s">
        <v>5583</v>
      </c>
      <c r="K2782" s="1" t="s">
        <v>88</v>
      </c>
      <c r="L2782" s="1" t="s">
        <v>6371</v>
      </c>
      <c r="M2782" s="1" t="s">
        <v>8180</v>
      </c>
      <c r="N2782" s="1" t="s">
        <v>6357</v>
      </c>
      <c r="O2782" s="1" t="s">
        <v>6358</v>
      </c>
      <c r="P2782" s="1" t="s">
        <v>6359</v>
      </c>
      <c r="U2782" s="1" t="s">
        <v>9346</v>
      </c>
      <c r="Z2782" s="1" t="s">
        <v>71</v>
      </c>
      <c r="AE2782" s="1" t="s">
        <v>9345</v>
      </c>
      <c r="AH2782" s="1" t="s">
        <v>73</v>
      </c>
      <c r="AK2782" s="1" t="s">
        <v>71</v>
      </c>
      <c r="AM2782" s="1" t="s">
        <v>71</v>
      </c>
      <c r="AN2782" s="1" t="s">
        <v>71</v>
      </c>
      <c r="AS2782" s="1" t="s">
        <v>71</v>
      </c>
      <c r="AX2782" s="1" t="s">
        <v>71</v>
      </c>
      <c r="AY2782" s="1" t="s">
        <v>59</v>
      </c>
      <c r="AZ2782" s="1" t="s">
        <v>74</v>
      </c>
      <c r="BH2782" s="1" t="s">
        <v>71</v>
      </c>
    </row>
    <row r="2783" customFormat="false" ht="15" hidden="false" customHeight="false" outlineLevel="0" collapsed="false">
      <c r="A2783" s="1" t="s">
        <v>9348</v>
      </c>
      <c r="B2783" s="1" t="s">
        <v>9349</v>
      </c>
      <c r="C2783" s="1" t="s">
        <v>2762</v>
      </c>
      <c r="D2783" s="1" t="s">
        <v>9344</v>
      </c>
      <c r="E2783" s="1" t="s">
        <v>61</v>
      </c>
      <c r="F2783" s="1" t="s">
        <v>101</v>
      </c>
      <c r="G2783" s="1" t="s">
        <v>1479</v>
      </c>
      <c r="H2783" s="1" t="s">
        <v>5583</v>
      </c>
      <c r="K2783" s="1" t="s">
        <v>61</v>
      </c>
      <c r="L2783" s="1" t="s">
        <v>6356</v>
      </c>
      <c r="M2783" s="1" t="s">
        <v>8180</v>
      </c>
      <c r="N2783" s="1" t="s">
        <v>6357</v>
      </c>
      <c r="O2783" s="1" t="s">
        <v>6358</v>
      </c>
      <c r="P2783" s="1" t="s">
        <v>6359</v>
      </c>
      <c r="U2783" s="1" t="s">
        <v>9348</v>
      </c>
      <c r="Z2783" s="1" t="s">
        <v>71</v>
      </c>
      <c r="AE2783" s="1" t="s">
        <v>9345</v>
      </c>
      <c r="AH2783" s="1" t="s">
        <v>73</v>
      </c>
      <c r="AK2783" s="1" t="s">
        <v>71</v>
      </c>
      <c r="AM2783" s="1" t="s">
        <v>71</v>
      </c>
      <c r="AN2783" s="1" t="s">
        <v>71</v>
      </c>
      <c r="AS2783" s="1" t="s">
        <v>71</v>
      </c>
      <c r="AX2783" s="1" t="s">
        <v>71</v>
      </c>
      <c r="AY2783" s="1" t="s">
        <v>59</v>
      </c>
      <c r="AZ2783" s="1" t="s">
        <v>74</v>
      </c>
      <c r="BH2783" s="1" t="s">
        <v>71</v>
      </c>
    </row>
    <row r="2784" customFormat="false" ht="15" hidden="false" customHeight="false" outlineLevel="0" collapsed="false">
      <c r="A2784" s="1" t="s">
        <v>9350</v>
      </c>
      <c r="B2784" s="1" t="s">
        <v>9351</v>
      </c>
      <c r="C2784" s="1" t="s">
        <v>2762</v>
      </c>
      <c r="D2784" s="1" t="s">
        <v>9344</v>
      </c>
      <c r="E2784" s="1" t="s">
        <v>61</v>
      </c>
      <c r="F2784" s="1" t="s">
        <v>101</v>
      </c>
      <c r="G2784" s="1" t="s">
        <v>1479</v>
      </c>
      <c r="H2784" s="1" t="s">
        <v>5583</v>
      </c>
      <c r="K2784" s="1" t="s">
        <v>59</v>
      </c>
      <c r="L2784" s="1" t="s">
        <v>6341</v>
      </c>
      <c r="M2784" s="1" t="s">
        <v>8180</v>
      </c>
      <c r="N2784" s="1" t="s">
        <v>6342</v>
      </c>
      <c r="O2784" s="1" t="s">
        <v>6343</v>
      </c>
      <c r="P2784" s="1" t="s">
        <v>6344</v>
      </c>
      <c r="U2784" s="1" t="s">
        <v>9350</v>
      </c>
      <c r="Z2784" s="1" t="s">
        <v>71</v>
      </c>
      <c r="AE2784" s="1" t="s">
        <v>9345</v>
      </c>
      <c r="AH2784" s="1" t="s">
        <v>73</v>
      </c>
      <c r="AK2784" s="1" t="s">
        <v>71</v>
      </c>
      <c r="AM2784" s="1" t="s">
        <v>71</v>
      </c>
      <c r="AN2784" s="1" t="s">
        <v>71</v>
      </c>
      <c r="AS2784" s="1" t="s">
        <v>71</v>
      </c>
      <c r="AX2784" s="1" t="s">
        <v>71</v>
      </c>
      <c r="AY2784" s="1" t="s">
        <v>59</v>
      </c>
      <c r="AZ2784" s="1" t="s">
        <v>74</v>
      </c>
      <c r="BH2784" s="1" t="s">
        <v>71</v>
      </c>
    </row>
    <row r="2785" customFormat="false" ht="15" hidden="false" customHeight="false" outlineLevel="0" collapsed="false">
      <c r="A2785" s="1" t="s">
        <v>9352</v>
      </c>
      <c r="B2785" s="1" t="s">
        <v>9353</v>
      </c>
      <c r="C2785" s="1" t="s">
        <v>2762</v>
      </c>
      <c r="D2785" s="1" t="s">
        <v>9344</v>
      </c>
      <c r="E2785" s="1" t="s">
        <v>61</v>
      </c>
      <c r="F2785" s="1" t="s">
        <v>101</v>
      </c>
      <c r="G2785" s="1" t="s">
        <v>138</v>
      </c>
      <c r="H2785" s="1" t="s">
        <v>7621</v>
      </c>
      <c r="K2785" s="1" t="s">
        <v>59</v>
      </c>
      <c r="L2785" s="1" t="s">
        <v>7622</v>
      </c>
      <c r="M2785" s="1" t="s">
        <v>8180</v>
      </c>
      <c r="N2785" s="1" t="s">
        <v>8344</v>
      </c>
      <c r="O2785" s="1" t="s">
        <v>8345</v>
      </c>
      <c r="P2785" s="1" t="s">
        <v>8346</v>
      </c>
      <c r="U2785" s="1" t="s">
        <v>9352</v>
      </c>
      <c r="Z2785" s="1" t="s">
        <v>71</v>
      </c>
      <c r="AE2785" s="1" t="s">
        <v>9345</v>
      </c>
      <c r="AH2785" s="1" t="s">
        <v>73</v>
      </c>
      <c r="AK2785" s="1" t="s">
        <v>71</v>
      </c>
      <c r="AM2785" s="1" t="s">
        <v>71</v>
      </c>
      <c r="AN2785" s="1" t="s">
        <v>71</v>
      </c>
      <c r="AS2785" s="1" t="s">
        <v>71</v>
      </c>
      <c r="AX2785" s="1" t="s">
        <v>71</v>
      </c>
      <c r="AY2785" s="1" t="s">
        <v>59</v>
      </c>
      <c r="AZ2785" s="1" t="s">
        <v>74</v>
      </c>
      <c r="BH2785" s="1" t="s">
        <v>71</v>
      </c>
    </row>
    <row r="2786" customFormat="false" ht="15" hidden="false" customHeight="false" outlineLevel="0" collapsed="false">
      <c r="A2786" s="1" t="s">
        <v>9354</v>
      </c>
      <c r="B2786" s="1" t="s">
        <v>9355</v>
      </c>
      <c r="C2786" s="1" t="s">
        <v>2762</v>
      </c>
      <c r="D2786" s="1" t="s">
        <v>9344</v>
      </c>
      <c r="E2786" s="1" t="s">
        <v>61</v>
      </c>
      <c r="F2786" s="1" t="s">
        <v>101</v>
      </c>
      <c r="G2786" s="1" t="s">
        <v>1479</v>
      </c>
      <c r="H2786" s="1" t="s">
        <v>5583</v>
      </c>
      <c r="K2786" s="1" t="s">
        <v>170</v>
      </c>
      <c r="L2786" s="1" t="s">
        <v>9356</v>
      </c>
      <c r="M2786" s="1" t="s">
        <v>242</v>
      </c>
      <c r="N2786" s="1" t="s">
        <v>9357</v>
      </c>
      <c r="O2786" s="1" t="s">
        <v>9358</v>
      </c>
      <c r="P2786" s="1" t="s">
        <v>9359</v>
      </c>
      <c r="U2786" s="1" t="s">
        <v>9354</v>
      </c>
      <c r="Z2786" s="1" t="s">
        <v>71</v>
      </c>
      <c r="AE2786" s="1" t="s">
        <v>9345</v>
      </c>
      <c r="AH2786" s="1" t="s">
        <v>73</v>
      </c>
      <c r="AK2786" s="1" t="s">
        <v>71</v>
      </c>
      <c r="AM2786" s="1" t="s">
        <v>71</v>
      </c>
      <c r="AN2786" s="1" t="s">
        <v>71</v>
      </c>
      <c r="AS2786" s="1" t="s">
        <v>71</v>
      </c>
      <c r="AX2786" s="1" t="s">
        <v>71</v>
      </c>
      <c r="AY2786" s="1" t="s">
        <v>59</v>
      </c>
      <c r="AZ2786" s="1" t="s">
        <v>74</v>
      </c>
      <c r="BH2786" s="1" t="s">
        <v>71</v>
      </c>
    </row>
    <row r="2787" customFormat="false" ht="15" hidden="false" customHeight="false" outlineLevel="0" collapsed="false">
      <c r="A2787" s="1" t="s">
        <v>9360</v>
      </c>
      <c r="B2787" s="1" t="s">
        <v>9361</v>
      </c>
      <c r="C2787" s="1" t="s">
        <v>2762</v>
      </c>
      <c r="D2787" s="1" t="s">
        <v>9344</v>
      </c>
      <c r="E2787" s="1" t="s">
        <v>61</v>
      </c>
      <c r="F2787" s="1" t="s">
        <v>101</v>
      </c>
      <c r="G2787" s="1" t="s">
        <v>1479</v>
      </c>
      <c r="H2787" s="1" t="s">
        <v>5583</v>
      </c>
      <c r="K2787" s="1" t="s">
        <v>170</v>
      </c>
      <c r="L2787" s="1" t="s">
        <v>9356</v>
      </c>
      <c r="M2787" s="1" t="s">
        <v>9362</v>
      </c>
      <c r="N2787" s="1" t="s">
        <v>9357</v>
      </c>
      <c r="O2787" s="1" t="s">
        <v>9358</v>
      </c>
      <c r="P2787" s="1" t="s">
        <v>9359</v>
      </c>
      <c r="U2787" s="1" t="s">
        <v>9360</v>
      </c>
      <c r="Z2787" s="1" t="s">
        <v>71</v>
      </c>
      <c r="AE2787" s="1" t="s">
        <v>9345</v>
      </c>
      <c r="AH2787" s="1" t="s">
        <v>73</v>
      </c>
      <c r="AK2787" s="1" t="s">
        <v>71</v>
      </c>
      <c r="AM2787" s="1" t="s">
        <v>71</v>
      </c>
      <c r="AN2787" s="1" t="s">
        <v>71</v>
      </c>
      <c r="AS2787" s="1" t="s">
        <v>71</v>
      </c>
      <c r="AX2787" s="1" t="s">
        <v>71</v>
      </c>
      <c r="AY2787" s="1" t="s">
        <v>59</v>
      </c>
      <c r="AZ2787" s="1" t="s">
        <v>74</v>
      </c>
      <c r="BH2787" s="1" t="s">
        <v>71</v>
      </c>
    </row>
    <row r="2788" customFormat="false" ht="15" hidden="false" customHeight="false" outlineLevel="0" collapsed="false">
      <c r="A2788" s="1" t="s">
        <v>9363</v>
      </c>
      <c r="B2788" s="1" t="s">
        <v>9364</v>
      </c>
      <c r="C2788" s="1" t="s">
        <v>2762</v>
      </c>
      <c r="D2788" s="1" t="s">
        <v>9344</v>
      </c>
      <c r="E2788" s="1" t="s">
        <v>61</v>
      </c>
      <c r="F2788" s="1" t="s">
        <v>101</v>
      </c>
      <c r="G2788" s="1" t="s">
        <v>1479</v>
      </c>
      <c r="H2788" s="1" t="s">
        <v>5583</v>
      </c>
      <c r="K2788" s="1" t="s">
        <v>182</v>
      </c>
      <c r="L2788" s="1" t="s">
        <v>9365</v>
      </c>
      <c r="M2788" s="1" t="s">
        <v>242</v>
      </c>
      <c r="N2788" s="1" t="s">
        <v>9366</v>
      </c>
      <c r="O2788" s="1" t="s">
        <v>9367</v>
      </c>
      <c r="P2788" s="1" t="s">
        <v>9368</v>
      </c>
      <c r="U2788" s="1" t="s">
        <v>9363</v>
      </c>
      <c r="Z2788" s="1" t="s">
        <v>71</v>
      </c>
      <c r="AE2788" s="1" t="s">
        <v>9345</v>
      </c>
      <c r="AH2788" s="1" t="s">
        <v>73</v>
      </c>
      <c r="AK2788" s="1" t="s">
        <v>71</v>
      </c>
      <c r="AM2788" s="1" t="s">
        <v>71</v>
      </c>
      <c r="AN2788" s="1" t="s">
        <v>71</v>
      </c>
      <c r="AS2788" s="1" t="s">
        <v>71</v>
      </c>
      <c r="AX2788" s="1" t="s">
        <v>71</v>
      </c>
      <c r="AY2788" s="1" t="s">
        <v>59</v>
      </c>
      <c r="AZ2788" s="1" t="s">
        <v>74</v>
      </c>
      <c r="BH2788" s="1" t="s">
        <v>71</v>
      </c>
    </row>
    <row r="2789" customFormat="false" ht="15" hidden="false" customHeight="false" outlineLevel="0" collapsed="false">
      <c r="A2789" s="1" t="s">
        <v>9369</v>
      </c>
      <c r="B2789" s="1" t="s">
        <v>9370</v>
      </c>
      <c r="C2789" s="1" t="s">
        <v>1875</v>
      </c>
      <c r="D2789" s="1" t="s">
        <v>6722</v>
      </c>
      <c r="E2789" s="1" t="s">
        <v>82</v>
      </c>
      <c r="F2789" s="1" t="s">
        <v>391</v>
      </c>
      <c r="G2789" s="1" t="s">
        <v>97</v>
      </c>
      <c r="H2789" s="1" t="s">
        <v>406</v>
      </c>
      <c r="K2789" s="1" t="s">
        <v>65</v>
      </c>
      <c r="L2789" s="1" t="s">
        <v>860</v>
      </c>
      <c r="M2789" s="1" t="s">
        <v>806</v>
      </c>
      <c r="N2789" s="1" t="s">
        <v>4854</v>
      </c>
      <c r="O2789" s="1" t="s">
        <v>4855</v>
      </c>
      <c r="P2789" s="1" t="s">
        <v>4856</v>
      </c>
      <c r="U2789" s="1" t="s">
        <v>9369</v>
      </c>
      <c r="Z2789" s="1" t="s">
        <v>71</v>
      </c>
      <c r="AE2789" s="1" t="s">
        <v>9371</v>
      </c>
      <c r="AH2789" s="1" t="s">
        <v>73</v>
      </c>
      <c r="AK2789" s="1" t="s">
        <v>71</v>
      </c>
      <c r="AS2789" s="1" t="s">
        <v>71</v>
      </c>
    </row>
    <row r="2790" customFormat="false" ht="15" hidden="false" customHeight="false" outlineLevel="0" collapsed="false">
      <c r="A2790" s="1" t="s">
        <v>9372</v>
      </c>
      <c r="B2790" s="1" t="s">
        <v>9373</v>
      </c>
      <c r="C2790" s="1" t="s">
        <v>163</v>
      </c>
      <c r="D2790" s="1" t="s">
        <v>267</v>
      </c>
      <c r="E2790" s="1" t="s">
        <v>61</v>
      </c>
      <c r="F2790" s="1" t="s">
        <v>101</v>
      </c>
      <c r="G2790" s="1" t="s">
        <v>275</v>
      </c>
      <c r="H2790" s="1" t="s">
        <v>276</v>
      </c>
      <c r="K2790" s="1" t="s">
        <v>1118</v>
      </c>
      <c r="L2790" s="1" t="s">
        <v>3151</v>
      </c>
      <c r="M2790" s="1" t="s">
        <v>5063</v>
      </c>
      <c r="N2790" s="1" t="s">
        <v>5064</v>
      </c>
      <c r="O2790" s="1" t="s">
        <v>5065</v>
      </c>
      <c r="P2790" s="1" t="s">
        <v>5066</v>
      </c>
      <c r="U2790" s="1" t="s">
        <v>9372</v>
      </c>
      <c r="Z2790" s="1" t="s">
        <v>71</v>
      </c>
      <c r="AE2790" s="1" t="s">
        <v>9374</v>
      </c>
      <c r="AH2790" s="1" t="s">
        <v>73</v>
      </c>
      <c r="AK2790" s="1" t="s">
        <v>71</v>
      </c>
      <c r="AM2790" s="1" t="s">
        <v>71</v>
      </c>
      <c r="AN2790" s="1" t="s">
        <v>71</v>
      </c>
      <c r="AS2790" s="1" t="s">
        <v>71</v>
      </c>
      <c r="AX2790" s="1" t="s">
        <v>71</v>
      </c>
      <c r="AY2790" s="1" t="s">
        <v>59</v>
      </c>
      <c r="AZ2790" s="1" t="s">
        <v>74</v>
      </c>
      <c r="BH2790" s="1" t="s">
        <v>71</v>
      </c>
    </row>
    <row r="2791" customFormat="false" ht="15" hidden="false" customHeight="false" outlineLevel="0" collapsed="false">
      <c r="A2791" s="1" t="s">
        <v>9375</v>
      </c>
      <c r="B2791" s="1" t="s">
        <v>9376</v>
      </c>
      <c r="C2791" s="1" t="s">
        <v>261</v>
      </c>
      <c r="D2791" s="1" t="s">
        <v>7014</v>
      </c>
      <c r="E2791" s="1" t="s">
        <v>61</v>
      </c>
      <c r="F2791" s="1" t="s">
        <v>101</v>
      </c>
      <c r="G2791" s="1" t="s">
        <v>93</v>
      </c>
      <c r="H2791" s="1" t="s">
        <v>64</v>
      </c>
      <c r="K2791" s="1" t="s">
        <v>126</v>
      </c>
      <c r="L2791" s="1" t="s">
        <v>335</v>
      </c>
      <c r="M2791" s="1" t="s">
        <v>1555</v>
      </c>
      <c r="N2791" s="1" t="s">
        <v>105</v>
      </c>
      <c r="O2791" s="1" t="s">
        <v>106</v>
      </c>
      <c r="P2791" s="1" t="s">
        <v>3539</v>
      </c>
      <c r="U2791" s="1" t="s">
        <v>9375</v>
      </c>
      <c r="Z2791" s="1" t="s">
        <v>71</v>
      </c>
      <c r="AE2791" s="1" t="s">
        <v>9377</v>
      </c>
      <c r="AH2791" s="1" t="s">
        <v>73</v>
      </c>
      <c r="AK2791" s="1" t="s">
        <v>71</v>
      </c>
      <c r="AM2791" s="1" t="s">
        <v>71</v>
      </c>
      <c r="AN2791" s="1" t="s">
        <v>71</v>
      </c>
      <c r="AS2791" s="1" t="s">
        <v>71</v>
      </c>
      <c r="AX2791" s="1" t="s">
        <v>71</v>
      </c>
      <c r="AY2791" s="1" t="s">
        <v>59</v>
      </c>
      <c r="AZ2791" s="1" t="s">
        <v>74</v>
      </c>
      <c r="BH2791" s="1" t="s">
        <v>71</v>
      </c>
    </row>
    <row r="2792" customFormat="false" ht="15" hidden="false" customHeight="false" outlineLevel="0" collapsed="false">
      <c r="A2792" s="1" t="s">
        <v>9378</v>
      </c>
      <c r="B2792" s="1" t="s">
        <v>9379</v>
      </c>
      <c r="C2792" s="1" t="s">
        <v>8121</v>
      </c>
      <c r="D2792" s="1" t="s">
        <v>8122</v>
      </c>
      <c r="E2792" s="1" t="s">
        <v>82</v>
      </c>
      <c r="F2792" s="1" t="s">
        <v>391</v>
      </c>
      <c r="G2792" s="1" t="s">
        <v>213</v>
      </c>
      <c r="H2792" s="1" t="s">
        <v>477</v>
      </c>
      <c r="K2792" s="1" t="s">
        <v>478</v>
      </c>
      <c r="L2792" s="1" t="s">
        <v>479</v>
      </c>
      <c r="M2792" s="1" t="s">
        <v>496</v>
      </c>
      <c r="N2792" s="1" t="s">
        <v>9380</v>
      </c>
      <c r="O2792" s="1" t="s">
        <v>9381</v>
      </c>
      <c r="P2792" s="1" t="s">
        <v>9382</v>
      </c>
      <c r="U2792" s="1" t="s">
        <v>9378</v>
      </c>
      <c r="Z2792" s="1" t="s">
        <v>71</v>
      </c>
      <c r="AE2792" s="1" t="s">
        <v>9383</v>
      </c>
      <c r="AH2792" s="1" t="s">
        <v>73</v>
      </c>
      <c r="AK2792" s="1" t="s">
        <v>71</v>
      </c>
      <c r="AS2792" s="1" t="s">
        <v>71</v>
      </c>
    </row>
    <row r="2793" customFormat="false" ht="15" hidden="false" customHeight="false" outlineLevel="0" collapsed="false">
      <c r="A2793" s="1" t="s">
        <v>9384</v>
      </c>
      <c r="B2793" s="1" t="s">
        <v>9385</v>
      </c>
      <c r="C2793" s="1" t="s">
        <v>1038</v>
      </c>
      <c r="D2793" s="1" t="s">
        <v>3170</v>
      </c>
      <c r="E2793" s="1" t="s">
        <v>82</v>
      </c>
      <c r="F2793" s="1" t="s">
        <v>391</v>
      </c>
      <c r="G2793" s="1" t="s">
        <v>182</v>
      </c>
      <c r="H2793" s="1" t="s">
        <v>392</v>
      </c>
      <c r="K2793" s="1" t="s">
        <v>65</v>
      </c>
      <c r="L2793" s="1" t="s">
        <v>517</v>
      </c>
      <c r="M2793" s="1" t="s">
        <v>496</v>
      </c>
      <c r="N2793" s="1" t="s">
        <v>2796</v>
      </c>
      <c r="O2793" s="1" t="s">
        <v>2797</v>
      </c>
      <c r="P2793" s="1" t="s">
        <v>4294</v>
      </c>
      <c r="U2793" s="1" t="s">
        <v>9384</v>
      </c>
      <c r="Z2793" s="1" t="s">
        <v>71</v>
      </c>
      <c r="AE2793" s="1" t="s">
        <v>9383</v>
      </c>
      <c r="AH2793" s="1" t="s">
        <v>73</v>
      </c>
      <c r="AK2793" s="1" t="s">
        <v>71</v>
      </c>
      <c r="AS2793" s="1" t="s">
        <v>71</v>
      </c>
    </row>
    <row r="2794" customFormat="false" ht="15" hidden="false" customHeight="false" outlineLevel="0" collapsed="false">
      <c r="A2794" s="1" t="s">
        <v>9386</v>
      </c>
      <c r="B2794" s="1" t="s">
        <v>9387</v>
      </c>
      <c r="C2794" s="1" t="s">
        <v>1038</v>
      </c>
      <c r="D2794" s="1" t="s">
        <v>3170</v>
      </c>
      <c r="E2794" s="1" t="s">
        <v>82</v>
      </c>
      <c r="F2794" s="1" t="s">
        <v>391</v>
      </c>
      <c r="G2794" s="1" t="s">
        <v>182</v>
      </c>
      <c r="H2794" s="1" t="s">
        <v>392</v>
      </c>
      <c r="K2794" s="1" t="s">
        <v>65</v>
      </c>
      <c r="L2794" s="1" t="s">
        <v>517</v>
      </c>
      <c r="M2794" s="1" t="s">
        <v>496</v>
      </c>
      <c r="N2794" s="1" t="s">
        <v>2796</v>
      </c>
      <c r="O2794" s="1" t="s">
        <v>2797</v>
      </c>
      <c r="P2794" s="1" t="s">
        <v>4294</v>
      </c>
      <c r="U2794" s="1" t="s">
        <v>9386</v>
      </c>
      <c r="Z2794" s="1" t="s">
        <v>71</v>
      </c>
      <c r="AE2794" s="1" t="s">
        <v>9388</v>
      </c>
      <c r="AH2794" s="1" t="s">
        <v>73</v>
      </c>
      <c r="AK2794" s="1" t="s">
        <v>71</v>
      </c>
      <c r="AS2794" s="1" t="s">
        <v>71</v>
      </c>
    </row>
    <row r="2795" customFormat="false" ht="15" hidden="false" customHeight="false" outlineLevel="0" collapsed="false">
      <c r="A2795" s="1" t="s">
        <v>9389</v>
      </c>
      <c r="B2795" s="1" t="s">
        <v>9390</v>
      </c>
      <c r="C2795" s="1" t="s">
        <v>2764</v>
      </c>
      <c r="D2795" s="1" t="s">
        <v>9391</v>
      </c>
      <c r="E2795" s="1" t="s">
        <v>82</v>
      </c>
      <c r="F2795" s="1" t="s">
        <v>391</v>
      </c>
      <c r="G2795" s="1" t="s">
        <v>97</v>
      </c>
      <c r="H2795" s="1" t="s">
        <v>406</v>
      </c>
      <c r="K2795" s="1" t="s">
        <v>65</v>
      </c>
      <c r="L2795" s="1" t="s">
        <v>860</v>
      </c>
      <c r="M2795" s="1" t="s">
        <v>496</v>
      </c>
      <c r="N2795" s="1" t="s">
        <v>9392</v>
      </c>
      <c r="O2795" s="1" t="s">
        <v>400</v>
      </c>
      <c r="P2795" s="1" t="s">
        <v>9393</v>
      </c>
      <c r="U2795" s="1" t="s">
        <v>9389</v>
      </c>
      <c r="Z2795" s="1" t="s">
        <v>71</v>
      </c>
      <c r="AE2795" s="1" t="s">
        <v>9388</v>
      </c>
      <c r="AH2795" s="1" t="s">
        <v>73</v>
      </c>
      <c r="AK2795" s="1" t="s">
        <v>71</v>
      </c>
      <c r="AS2795" s="1" t="s">
        <v>71</v>
      </c>
    </row>
    <row r="2796" customFormat="false" ht="15" hidden="false" customHeight="false" outlineLevel="0" collapsed="false">
      <c r="A2796" s="1" t="s">
        <v>9394</v>
      </c>
      <c r="B2796" s="1" t="s">
        <v>9395</v>
      </c>
      <c r="C2796" s="1" t="s">
        <v>2766</v>
      </c>
      <c r="D2796" s="1" t="s">
        <v>9396</v>
      </c>
      <c r="E2796" s="1" t="s">
        <v>61</v>
      </c>
      <c r="F2796" s="1" t="s">
        <v>101</v>
      </c>
      <c r="G2796" s="1" t="s">
        <v>148</v>
      </c>
      <c r="H2796" s="1" t="s">
        <v>231</v>
      </c>
      <c r="K2796" s="1" t="s">
        <v>308</v>
      </c>
      <c r="L2796" s="1" t="s">
        <v>309</v>
      </c>
      <c r="M2796" s="1" t="s">
        <v>314</v>
      </c>
      <c r="N2796" s="1" t="s">
        <v>243</v>
      </c>
      <c r="O2796" s="1" t="s">
        <v>244</v>
      </c>
      <c r="P2796" s="1" t="s">
        <v>3503</v>
      </c>
      <c r="U2796" s="1" t="s">
        <v>9394</v>
      </c>
      <c r="Z2796" s="1" t="s">
        <v>71</v>
      </c>
      <c r="AE2796" s="1" t="s">
        <v>9397</v>
      </c>
      <c r="AH2796" s="1" t="s">
        <v>73</v>
      </c>
      <c r="AK2796" s="1" t="s">
        <v>71</v>
      </c>
      <c r="AM2796" s="1" t="s">
        <v>71</v>
      </c>
      <c r="AN2796" s="1" t="s">
        <v>71</v>
      </c>
      <c r="AS2796" s="1" t="s">
        <v>71</v>
      </c>
      <c r="AX2796" s="1" t="s">
        <v>71</v>
      </c>
      <c r="AY2796" s="1" t="s">
        <v>59</v>
      </c>
      <c r="AZ2796" s="1" t="s">
        <v>74</v>
      </c>
      <c r="BH2796" s="1" t="s">
        <v>71</v>
      </c>
    </row>
    <row r="2797" customFormat="false" ht="15" hidden="false" customHeight="false" outlineLevel="0" collapsed="false">
      <c r="A2797" s="1" t="s">
        <v>9398</v>
      </c>
      <c r="B2797" s="1" t="s">
        <v>9399</v>
      </c>
      <c r="C2797" s="1" t="s">
        <v>222</v>
      </c>
      <c r="D2797" s="1" t="s">
        <v>223</v>
      </c>
      <c r="E2797" s="1" t="s">
        <v>61</v>
      </c>
      <c r="F2797" s="1" t="s">
        <v>101</v>
      </c>
      <c r="G2797" s="1" t="s">
        <v>93</v>
      </c>
      <c r="H2797" s="1" t="s">
        <v>64</v>
      </c>
      <c r="K2797" s="1" t="s">
        <v>126</v>
      </c>
      <c r="L2797" s="1" t="s">
        <v>335</v>
      </c>
      <c r="M2797" s="1" t="s">
        <v>828</v>
      </c>
      <c r="N2797" s="1" t="s">
        <v>105</v>
      </c>
      <c r="O2797" s="1" t="s">
        <v>106</v>
      </c>
      <c r="P2797" s="1" t="s">
        <v>3539</v>
      </c>
      <c r="U2797" s="1" t="s">
        <v>9398</v>
      </c>
      <c r="Z2797" s="1" t="s">
        <v>71</v>
      </c>
      <c r="AE2797" s="1" t="s">
        <v>9400</v>
      </c>
      <c r="AH2797" s="1" t="s">
        <v>73</v>
      </c>
      <c r="AK2797" s="1" t="s">
        <v>71</v>
      </c>
      <c r="AM2797" s="1" t="s">
        <v>71</v>
      </c>
      <c r="AN2797" s="1" t="s">
        <v>71</v>
      </c>
      <c r="AS2797" s="1" t="s">
        <v>71</v>
      </c>
      <c r="AX2797" s="1" t="s">
        <v>71</v>
      </c>
      <c r="AY2797" s="1" t="s">
        <v>59</v>
      </c>
      <c r="AZ2797" s="1" t="s">
        <v>74</v>
      </c>
      <c r="BH2797" s="1" t="s">
        <v>71</v>
      </c>
    </row>
    <row r="2798" customFormat="false" ht="15" hidden="false" customHeight="false" outlineLevel="0" collapsed="false">
      <c r="A2798" s="1" t="s">
        <v>9401</v>
      </c>
      <c r="B2798" s="1" t="s">
        <v>9402</v>
      </c>
      <c r="C2798" s="1" t="s">
        <v>222</v>
      </c>
      <c r="D2798" s="1" t="s">
        <v>223</v>
      </c>
      <c r="E2798" s="1" t="s">
        <v>61</v>
      </c>
      <c r="F2798" s="1" t="s">
        <v>101</v>
      </c>
      <c r="G2798" s="1" t="s">
        <v>93</v>
      </c>
      <c r="H2798" s="1" t="s">
        <v>64</v>
      </c>
      <c r="K2798" s="1" t="s">
        <v>249</v>
      </c>
      <c r="L2798" s="1" t="s">
        <v>250</v>
      </c>
      <c r="M2798" s="1" t="s">
        <v>828</v>
      </c>
      <c r="N2798" s="1" t="s">
        <v>105</v>
      </c>
      <c r="O2798" s="1" t="s">
        <v>106</v>
      </c>
      <c r="P2798" s="1" t="s">
        <v>3539</v>
      </c>
      <c r="U2798" s="1" t="s">
        <v>9401</v>
      </c>
      <c r="Z2798" s="1" t="s">
        <v>71</v>
      </c>
      <c r="AE2798" s="1" t="s">
        <v>9403</v>
      </c>
      <c r="AH2798" s="1" t="s">
        <v>73</v>
      </c>
      <c r="AK2798" s="1" t="s">
        <v>71</v>
      </c>
      <c r="AM2798" s="1" t="s">
        <v>71</v>
      </c>
      <c r="AN2798" s="1" t="s">
        <v>71</v>
      </c>
      <c r="AS2798" s="1" t="s">
        <v>71</v>
      </c>
      <c r="AX2798" s="1" t="s">
        <v>71</v>
      </c>
      <c r="AY2798" s="1" t="s">
        <v>59</v>
      </c>
      <c r="AZ2798" s="1" t="s">
        <v>74</v>
      </c>
      <c r="BH2798" s="1" t="s">
        <v>71</v>
      </c>
    </row>
    <row r="2799" customFormat="false" ht="15" hidden="false" customHeight="false" outlineLevel="0" collapsed="false">
      <c r="A2799" s="1" t="s">
        <v>9404</v>
      </c>
      <c r="B2799" s="1" t="s">
        <v>9405</v>
      </c>
      <c r="C2799" s="1" t="s">
        <v>222</v>
      </c>
      <c r="D2799" s="1" t="s">
        <v>223</v>
      </c>
      <c r="E2799" s="1" t="s">
        <v>61</v>
      </c>
      <c r="F2799" s="1" t="s">
        <v>101</v>
      </c>
      <c r="G2799" s="1" t="s">
        <v>93</v>
      </c>
      <c r="H2799" s="1" t="s">
        <v>64</v>
      </c>
      <c r="K2799" s="1" t="s">
        <v>1784</v>
      </c>
      <c r="L2799" s="1" t="s">
        <v>1785</v>
      </c>
      <c r="M2799" s="1" t="s">
        <v>310</v>
      </c>
      <c r="N2799" s="1" t="s">
        <v>105</v>
      </c>
      <c r="O2799" s="1" t="s">
        <v>106</v>
      </c>
      <c r="P2799" s="1" t="s">
        <v>3539</v>
      </c>
      <c r="U2799" s="1" t="s">
        <v>9404</v>
      </c>
      <c r="Z2799" s="1" t="s">
        <v>71</v>
      </c>
      <c r="AE2799" s="1" t="s">
        <v>9406</v>
      </c>
      <c r="AH2799" s="1" t="s">
        <v>73</v>
      </c>
      <c r="AK2799" s="1" t="s">
        <v>71</v>
      </c>
      <c r="AM2799" s="1" t="s">
        <v>71</v>
      </c>
      <c r="AN2799" s="1" t="s">
        <v>71</v>
      </c>
      <c r="AS2799" s="1" t="s">
        <v>71</v>
      </c>
      <c r="AX2799" s="1" t="s">
        <v>71</v>
      </c>
      <c r="AY2799" s="1" t="s">
        <v>59</v>
      </c>
      <c r="AZ2799" s="1" t="s">
        <v>74</v>
      </c>
      <c r="BH2799" s="1" t="s">
        <v>71</v>
      </c>
    </row>
    <row r="2800" customFormat="false" ht="15" hidden="false" customHeight="false" outlineLevel="0" collapsed="false">
      <c r="A2800" s="1" t="s">
        <v>9407</v>
      </c>
      <c r="B2800" s="1" t="s">
        <v>9408</v>
      </c>
      <c r="C2800" s="1" t="s">
        <v>2090</v>
      </c>
      <c r="D2800" s="1" t="s">
        <v>7238</v>
      </c>
      <c r="E2800" s="1" t="s">
        <v>61</v>
      </c>
      <c r="F2800" s="1" t="s">
        <v>101</v>
      </c>
      <c r="G2800" s="1" t="s">
        <v>93</v>
      </c>
      <c r="H2800" s="1" t="s">
        <v>64</v>
      </c>
      <c r="K2800" s="1" t="s">
        <v>163</v>
      </c>
      <c r="L2800" s="1" t="s">
        <v>164</v>
      </c>
      <c r="M2800" s="1" t="s">
        <v>310</v>
      </c>
      <c r="N2800" s="1" t="s">
        <v>166</v>
      </c>
      <c r="O2800" s="1" t="s">
        <v>167</v>
      </c>
      <c r="P2800" s="1" t="s">
        <v>4462</v>
      </c>
      <c r="U2800" s="1" t="s">
        <v>9407</v>
      </c>
      <c r="Z2800" s="1" t="s">
        <v>71</v>
      </c>
      <c r="AE2800" s="1" t="s">
        <v>9409</v>
      </c>
      <c r="AH2800" s="1" t="s">
        <v>73</v>
      </c>
      <c r="AK2800" s="1" t="s">
        <v>71</v>
      </c>
      <c r="AM2800" s="1" t="s">
        <v>71</v>
      </c>
      <c r="AN2800" s="1" t="s">
        <v>71</v>
      </c>
      <c r="AS2800" s="1" t="s">
        <v>71</v>
      </c>
      <c r="AX2800" s="1" t="s">
        <v>71</v>
      </c>
      <c r="AY2800" s="1" t="s">
        <v>59</v>
      </c>
      <c r="AZ2800" s="1" t="s">
        <v>74</v>
      </c>
      <c r="BH2800" s="1" t="s">
        <v>71</v>
      </c>
    </row>
    <row r="2801" customFormat="false" ht="15" hidden="false" customHeight="false" outlineLevel="0" collapsed="false">
      <c r="A2801" s="1" t="s">
        <v>9410</v>
      </c>
      <c r="B2801" s="1" t="s">
        <v>9411</v>
      </c>
      <c r="C2801" s="1" t="s">
        <v>2090</v>
      </c>
      <c r="D2801" s="1" t="s">
        <v>7238</v>
      </c>
      <c r="E2801" s="1" t="s">
        <v>61</v>
      </c>
      <c r="F2801" s="1" t="s">
        <v>101</v>
      </c>
      <c r="G2801" s="1" t="s">
        <v>93</v>
      </c>
      <c r="H2801" s="1" t="s">
        <v>64</v>
      </c>
      <c r="K2801" s="1" t="s">
        <v>2219</v>
      </c>
      <c r="L2801" s="1" t="s">
        <v>7251</v>
      </c>
      <c r="M2801" s="1" t="s">
        <v>1555</v>
      </c>
      <c r="N2801" s="1" t="s">
        <v>105</v>
      </c>
      <c r="O2801" s="1" t="s">
        <v>106</v>
      </c>
      <c r="P2801" s="1" t="s">
        <v>3539</v>
      </c>
      <c r="U2801" s="1" t="s">
        <v>9410</v>
      </c>
      <c r="Z2801" s="1" t="s">
        <v>71</v>
      </c>
      <c r="AE2801" s="1" t="s">
        <v>9409</v>
      </c>
      <c r="AH2801" s="1" t="s">
        <v>73</v>
      </c>
      <c r="AK2801" s="1" t="s">
        <v>71</v>
      </c>
      <c r="AM2801" s="1" t="s">
        <v>71</v>
      </c>
      <c r="AN2801" s="1" t="s">
        <v>71</v>
      </c>
      <c r="AS2801" s="1" t="s">
        <v>71</v>
      </c>
      <c r="AX2801" s="1" t="s">
        <v>71</v>
      </c>
      <c r="AY2801" s="1" t="s">
        <v>59</v>
      </c>
      <c r="AZ2801" s="1" t="s">
        <v>74</v>
      </c>
      <c r="BH2801" s="1" t="s">
        <v>71</v>
      </c>
    </row>
    <row r="2802" customFormat="false" ht="15" hidden="false" customHeight="false" outlineLevel="0" collapsed="false">
      <c r="A2802" s="1" t="s">
        <v>9412</v>
      </c>
      <c r="B2802" s="1" t="s">
        <v>9413</v>
      </c>
      <c r="C2802" s="1" t="s">
        <v>2090</v>
      </c>
      <c r="D2802" s="1" t="s">
        <v>7238</v>
      </c>
      <c r="E2802" s="1" t="s">
        <v>61</v>
      </c>
      <c r="F2802" s="1" t="s">
        <v>101</v>
      </c>
      <c r="G2802" s="1" t="s">
        <v>93</v>
      </c>
      <c r="H2802" s="1" t="s">
        <v>64</v>
      </c>
      <c r="K2802" s="1" t="s">
        <v>1092</v>
      </c>
      <c r="L2802" s="1" t="s">
        <v>1093</v>
      </c>
      <c r="M2802" s="1" t="s">
        <v>310</v>
      </c>
      <c r="N2802" s="1" t="s">
        <v>105</v>
      </c>
      <c r="O2802" s="1" t="s">
        <v>106</v>
      </c>
      <c r="P2802" s="1" t="s">
        <v>3539</v>
      </c>
      <c r="U2802" s="1" t="s">
        <v>9412</v>
      </c>
      <c r="Z2802" s="1" t="s">
        <v>71</v>
      </c>
      <c r="AE2802" s="1" t="s">
        <v>9409</v>
      </c>
      <c r="AH2802" s="1" t="s">
        <v>73</v>
      </c>
      <c r="AK2802" s="1" t="s">
        <v>71</v>
      </c>
      <c r="AM2802" s="1" t="s">
        <v>71</v>
      </c>
      <c r="AN2802" s="1" t="s">
        <v>71</v>
      </c>
      <c r="AS2802" s="1" t="s">
        <v>71</v>
      </c>
      <c r="AX2802" s="1" t="s">
        <v>71</v>
      </c>
      <c r="AY2802" s="1" t="s">
        <v>59</v>
      </c>
      <c r="AZ2802" s="1" t="s">
        <v>74</v>
      </c>
      <c r="BH2802" s="1" t="s">
        <v>71</v>
      </c>
    </row>
    <row r="2803" customFormat="false" ht="15" hidden="false" customHeight="false" outlineLevel="0" collapsed="false">
      <c r="A2803" s="1" t="s">
        <v>9414</v>
      </c>
      <c r="B2803" s="1" t="s">
        <v>9415</v>
      </c>
      <c r="C2803" s="1" t="s">
        <v>2732</v>
      </c>
      <c r="D2803" s="1" t="s">
        <v>9227</v>
      </c>
      <c r="E2803" s="1" t="s">
        <v>61</v>
      </c>
      <c r="F2803" s="1" t="s">
        <v>101</v>
      </c>
      <c r="G2803" s="1" t="s">
        <v>93</v>
      </c>
      <c r="H2803" s="1" t="s">
        <v>64</v>
      </c>
      <c r="K2803" s="1" t="s">
        <v>224</v>
      </c>
      <c r="L2803" s="1" t="s">
        <v>225</v>
      </c>
      <c r="M2803" s="1" t="s">
        <v>7350</v>
      </c>
      <c r="N2803" s="1" t="s">
        <v>105</v>
      </c>
      <c r="O2803" s="1" t="s">
        <v>106</v>
      </c>
      <c r="P2803" s="1" t="s">
        <v>3539</v>
      </c>
      <c r="U2803" s="1" t="s">
        <v>9414</v>
      </c>
      <c r="Z2803" s="1" t="s">
        <v>71</v>
      </c>
      <c r="AE2803" s="1" t="s">
        <v>9416</v>
      </c>
      <c r="AH2803" s="1" t="s">
        <v>73</v>
      </c>
      <c r="AK2803" s="1" t="s">
        <v>71</v>
      </c>
      <c r="AM2803" s="1" t="s">
        <v>71</v>
      </c>
      <c r="AN2803" s="1" t="s">
        <v>71</v>
      </c>
      <c r="AS2803" s="1" t="s">
        <v>71</v>
      </c>
      <c r="AX2803" s="1" t="s">
        <v>71</v>
      </c>
      <c r="AY2803" s="1" t="s">
        <v>59</v>
      </c>
      <c r="AZ2803" s="1" t="s">
        <v>74</v>
      </c>
      <c r="BH2803" s="1" t="s">
        <v>71</v>
      </c>
    </row>
    <row r="2804" customFormat="false" ht="15" hidden="false" customHeight="false" outlineLevel="0" collapsed="false">
      <c r="A2804" s="1" t="s">
        <v>9417</v>
      </c>
      <c r="B2804" s="1" t="s">
        <v>9418</v>
      </c>
      <c r="C2804" s="1" t="s">
        <v>2732</v>
      </c>
      <c r="D2804" s="1" t="s">
        <v>9227</v>
      </c>
      <c r="E2804" s="1" t="s">
        <v>61</v>
      </c>
      <c r="F2804" s="1" t="s">
        <v>101</v>
      </c>
      <c r="G2804" s="1" t="s">
        <v>93</v>
      </c>
      <c r="H2804" s="1" t="s">
        <v>64</v>
      </c>
      <c r="K2804" s="1" t="s">
        <v>201</v>
      </c>
      <c r="L2804" s="1" t="s">
        <v>4102</v>
      </c>
      <c r="M2804" s="1" t="s">
        <v>1387</v>
      </c>
      <c r="N2804" s="1" t="s">
        <v>105</v>
      </c>
      <c r="O2804" s="1" t="s">
        <v>106</v>
      </c>
      <c r="P2804" s="1" t="s">
        <v>3539</v>
      </c>
      <c r="U2804" s="1" t="s">
        <v>9417</v>
      </c>
      <c r="Z2804" s="1" t="s">
        <v>71</v>
      </c>
      <c r="AE2804" s="1" t="s">
        <v>9416</v>
      </c>
      <c r="AH2804" s="1" t="s">
        <v>73</v>
      </c>
      <c r="AK2804" s="1" t="s">
        <v>71</v>
      </c>
      <c r="AM2804" s="1" t="s">
        <v>71</v>
      </c>
      <c r="AN2804" s="1" t="s">
        <v>71</v>
      </c>
      <c r="AS2804" s="1" t="s">
        <v>71</v>
      </c>
      <c r="AX2804" s="1" t="s">
        <v>71</v>
      </c>
      <c r="AY2804" s="1" t="s">
        <v>59</v>
      </c>
      <c r="AZ2804" s="1" t="s">
        <v>74</v>
      </c>
      <c r="BH2804" s="1" t="s">
        <v>71</v>
      </c>
    </row>
    <row r="2805" customFormat="false" ht="15" hidden="false" customHeight="false" outlineLevel="0" collapsed="false">
      <c r="A2805" s="1" t="s">
        <v>9419</v>
      </c>
      <c r="B2805" s="1" t="s">
        <v>9420</v>
      </c>
      <c r="C2805" s="1" t="s">
        <v>2732</v>
      </c>
      <c r="D2805" s="1" t="s">
        <v>9227</v>
      </c>
      <c r="E2805" s="1" t="s">
        <v>61</v>
      </c>
      <c r="F2805" s="1" t="s">
        <v>101</v>
      </c>
      <c r="G2805" s="1" t="s">
        <v>93</v>
      </c>
      <c r="H2805" s="1" t="s">
        <v>64</v>
      </c>
      <c r="K2805" s="1" t="s">
        <v>201</v>
      </c>
      <c r="L2805" s="1" t="s">
        <v>4102</v>
      </c>
      <c r="M2805" s="1" t="s">
        <v>1387</v>
      </c>
      <c r="N2805" s="1" t="s">
        <v>105</v>
      </c>
      <c r="O2805" s="1" t="s">
        <v>106</v>
      </c>
      <c r="P2805" s="1" t="s">
        <v>3539</v>
      </c>
      <c r="U2805" s="1" t="s">
        <v>9419</v>
      </c>
      <c r="Z2805" s="1" t="s">
        <v>71</v>
      </c>
      <c r="AE2805" s="1" t="s">
        <v>9416</v>
      </c>
      <c r="AH2805" s="1" t="s">
        <v>73</v>
      </c>
      <c r="AK2805" s="1" t="s">
        <v>71</v>
      </c>
      <c r="AM2805" s="1" t="s">
        <v>71</v>
      </c>
      <c r="AN2805" s="1" t="s">
        <v>71</v>
      </c>
      <c r="AS2805" s="1" t="s">
        <v>71</v>
      </c>
      <c r="AX2805" s="1" t="s">
        <v>71</v>
      </c>
      <c r="AY2805" s="1" t="s">
        <v>59</v>
      </c>
      <c r="AZ2805" s="1" t="s">
        <v>74</v>
      </c>
      <c r="BH2805" s="1" t="s">
        <v>71</v>
      </c>
    </row>
    <row r="2806" customFormat="false" ht="15" hidden="false" customHeight="false" outlineLevel="0" collapsed="false">
      <c r="A2806" s="1" t="s">
        <v>9421</v>
      </c>
      <c r="B2806" s="1" t="s">
        <v>9422</v>
      </c>
      <c r="C2806" s="1" t="s">
        <v>2732</v>
      </c>
      <c r="D2806" s="1" t="s">
        <v>9227</v>
      </c>
      <c r="E2806" s="1" t="s">
        <v>61</v>
      </c>
      <c r="F2806" s="1" t="s">
        <v>101</v>
      </c>
      <c r="G2806" s="1" t="s">
        <v>93</v>
      </c>
      <c r="H2806" s="1" t="s">
        <v>64</v>
      </c>
      <c r="K2806" s="1" t="s">
        <v>1092</v>
      </c>
      <c r="L2806" s="1" t="s">
        <v>1093</v>
      </c>
      <c r="M2806" s="1" t="s">
        <v>3716</v>
      </c>
      <c r="N2806" s="1" t="s">
        <v>105</v>
      </c>
      <c r="O2806" s="1" t="s">
        <v>106</v>
      </c>
      <c r="P2806" s="1" t="s">
        <v>3539</v>
      </c>
      <c r="U2806" s="1" t="s">
        <v>9421</v>
      </c>
      <c r="Z2806" s="1" t="s">
        <v>71</v>
      </c>
      <c r="AE2806" s="1" t="s">
        <v>9423</v>
      </c>
      <c r="AH2806" s="1" t="s">
        <v>73</v>
      </c>
      <c r="AK2806" s="1" t="s">
        <v>71</v>
      </c>
      <c r="AM2806" s="1" t="s">
        <v>71</v>
      </c>
      <c r="AN2806" s="1" t="s">
        <v>71</v>
      </c>
      <c r="AS2806" s="1" t="s">
        <v>71</v>
      </c>
      <c r="AX2806" s="1" t="s">
        <v>71</v>
      </c>
      <c r="AY2806" s="1" t="s">
        <v>59</v>
      </c>
      <c r="AZ2806" s="1" t="s">
        <v>74</v>
      </c>
      <c r="BH2806" s="1" t="s">
        <v>71</v>
      </c>
    </row>
    <row r="2807" customFormat="false" ht="15" hidden="false" customHeight="false" outlineLevel="0" collapsed="false">
      <c r="A2807" s="1" t="s">
        <v>9424</v>
      </c>
      <c r="B2807" s="1" t="s">
        <v>9425</v>
      </c>
      <c r="C2807" s="1" t="s">
        <v>2732</v>
      </c>
      <c r="D2807" s="1" t="s">
        <v>9227</v>
      </c>
      <c r="E2807" s="1" t="s">
        <v>61</v>
      </c>
      <c r="F2807" s="1" t="s">
        <v>101</v>
      </c>
      <c r="G2807" s="1" t="s">
        <v>93</v>
      </c>
      <c r="H2807" s="1" t="s">
        <v>64</v>
      </c>
      <c r="K2807" s="1" t="s">
        <v>290</v>
      </c>
      <c r="L2807" s="1" t="s">
        <v>291</v>
      </c>
      <c r="M2807" s="1" t="s">
        <v>310</v>
      </c>
      <c r="N2807" s="1" t="s">
        <v>105</v>
      </c>
      <c r="O2807" s="1" t="s">
        <v>106</v>
      </c>
      <c r="P2807" s="1" t="s">
        <v>3539</v>
      </c>
      <c r="U2807" s="1" t="s">
        <v>9424</v>
      </c>
      <c r="Z2807" s="1" t="s">
        <v>71</v>
      </c>
      <c r="AE2807" s="1" t="s">
        <v>9423</v>
      </c>
      <c r="AH2807" s="1" t="s">
        <v>73</v>
      </c>
      <c r="AK2807" s="1" t="s">
        <v>71</v>
      </c>
      <c r="AM2807" s="1" t="s">
        <v>71</v>
      </c>
      <c r="AN2807" s="1" t="s">
        <v>71</v>
      </c>
      <c r="AS2807" s="1" t="s">
        <v>71</v>
      </c>
      <c r="AX2807" s="1" t="s">
        <v>71</v>
      </c>
      <c r="AY2807" s="1" t="s">
        <v>59</v>
      </c>
      <c r="AZ2807" s="1" t="s">
        <v>74</v>
      </c>
      <c r="BH2807" s="1" t="s">
        <v>71</v>
      </c>
    </row>
    <row r="2808" customFormat="false" ht="15" hidden="false" customHeight="false" outlineLevel="0" collapsed="false">
      <c r="A2808" s="1" t="s">
        <v>9426</v>
      </c>
      <c r="B2808" s="1" t="s">
        <v>9427</v>
      </c>
      <c r="C2808" s="1" t="s">
        <v>2732</v>
      </c>
      <c r="D2808" s="1" t="s">
        <v>9227</v>
      </c>
      <c r="E2808" s="1" t="s">
        <v>61</v>
      </c>
      <c r="F2808" s="1" t="s">
        <v>101</v>
      </c>
      <c r="G2808" s="1" t="s">
        <v>93</v>
      </c>
      <c r="H2808" s="1" t="s">
        <v>64</v>
      </c>
      <c r="K2808" s="1" t="s">
        <v>217</v>
      </c>
      <c r="L2808" s="1" t="s">
        <v>218</v>
      </c>
      <c r="M2808" s="1" t="s">
        <v>104</v>
      </c>
      <c r="N2808" s="1" t="s">
        <v>105</v>
      </c>
      <c r="O2808" s="1" t="s">
        <v>106</v>
      </c>
      <c r="P2808" s="1" t="s">
        <v>3539</v>
      </c>
      <c r="U2808" s="1" t="s">
        <v>9426</v>
      </c>
      <c r="Z2808" s="1" t="s">
        <v>71</v>
      </c>
      <c r="AE2808" s="1" t="s">
        <v>9423</v>
      </c>
      <c r="AH2808" s="1" t="s">
        <v>73</v>
      </c>
      <c r="AK2808" s="1" t="s">
        <v>71</v>
      </c>
      <c r="AM2808" s="1" t="s">
        <v>71</v>
      </c>
      <c r="AN2808" s="1" t="s">
        <v>71</v>
      </c>
      <c r="AS2808" s="1" t="s">
        <v>71</v>
      </c>
      <c r="AX2808" s="1" t="s">
        <v>71</v>
      </c>
      <c r="AY2808" s="1" t="s">
        <v>59</v>
      </c>
      <c r="AZ2808" s="1" t="s">
        <v>74</v>
      </c>
      <c r="BH2808" s="1" t="s">
        <v>71</v>
      </c>
    </row>
    <row r="2809" customFormat="false" ht="15" hidden="false" customHeight="false" outlineLevel="0" collapsed="false">
      <c r="A2809" s="1" t="s">
        <v>9428</v>
      </c>
      <c r="B2809" s="1" t="s">
        <v>9429</v>
      </c>
      <c r="C2809" s="1" t="s">
        <v>2732</v>
      </c>
      <c r="D2809" s="1" t="s">
        <v>9227</v>
      </c>
      <c r="E2809" s="1" t="s">
        <v>61</v>
      </c>
      <c r="F2809" s="1" t="s">
        <v>101</v>
      </c>
      <c r="G2809" s="1" t="s">
        <v>93</v>
      </c>
      <c r="H2809" s="1" t="s">
        <v>64</v>
      </c>
      <c r="K2809" s="1" t="s">
        <v>290</v>
      </c>
      <c r="L2809" s="1" t="s">
        <v>291</v>
      </c>
      <c r="M2809" s="1" t="s">
        <v>226</v>
      </c>
      <c r="N2809" s="1" t="s">
        <v>105</v>
      </c>
      <c r="O2809" s="1" t="s">
        <v>106</v>
      </c>
      <c r="P2809" s="1" t="s">
        <v>3539</v>
      </c>
      <c r="U2809" s="1" t="s">
        <v>9428</v>
      </c>
      <c r="Z2809" s="1" t="s">
        <v>71</v>
      </c>
      <c r="AE2809" s="1" t="s">
        <v>9423</v>
      </c>
      <c r="AH2809" s="1" t="s">
        <v>73</v>
      </c>
      <c r="AK2809" s="1" t="s">
        <v>71</v>
      </c>
      <c r="AM2809" s="1" t="s">
        <v>71</v>
      </c>
      <c r="AN2809" s="1" t="s">
        <v>71</v>
      </c>
      <c r="AS2809" s="1" t="s">
        <v>71</v>
      </c>
      <c r="AX2809" s="1" t="s">
        <v>71</v>
      </c>
      <c r="AY2809" s="1" t="s">
        <v>59</v>
      </c>
      <c r="AZ2809" s="1" t="s">
        <v>74</v>
      </c>
      <c r="BH2809" s="1" t="s">
        <v>71</v>
      </c>
    </row>
    <row r="2810" customFormat="false" ht="15" hidden="false" customHeight="false" outlineLevel="0" collapsed="false">
      <c r="A2810" s="1" t="s">
        <v>9430</v>
      </c>
      <c r="B2810" s="1" t="s">
        <v>9431</v>
      </c>
      <c r="C2810" s="1" t="s">
        <v>117</v>
      </c>
      <c r="D2810" s="1" t="s">
        <v>118</v>
      </c>
      <c r="E2810" s="1" t="s">
        <v>61</v>
      </c>
      <c r="F2810" s="1" t="s">
        <v>101</v>
      </c>
      <c r="G2810" s="1" t="s">
        <v>93</v>
      </c>
      <c r="H2810" s="1" t="s">
        <v>64</v>
      </c>
      <c r="K2810" s="1" t="s">
        <v>112</v>
      </c>
      <c r="L2810" s="1" t="s">
        <v>113</v>
      </c>
      <c r="M2810" s="1" t="s">
        <v>104</v>
      </c>
      <c r="N2810" s="1" t="s">
        <v>105</v>
      </c>
      <c r="O2810" s="1" t="s">
        <v>106</v>
      </c>
      <c r="P2810" s="1" t="s">
        <v>3539</v>
      </c>
      <c r="U2810" s="1" t="s">
        <v>9430</v>
      </c>
      <c r="Z2810" s="1" t="s">
        <v>71</v>
      </c>
      <c r="AE2810" s="1" t="s">
        <v>9423</v>
      </c>
      <c r="AH2810" s="1" t="s">
        <v>73</v>
      </c>
      <c r="AK2810" s="1" t="s">
        <v>71</v>
      </c>
      <c r="AM2810" s="1" t="s">
        <v>71</v>
      </c>
      <c r="AN2810" s="1" t="s">
        <v>71</v>
      </c>
      <c r="AS2810" s="1" t="s">
        <v>71</v>
      </c>
      <c r="AX2810" s="1" t="s">
        <v>71</v>
      </c>
      <c r="AY2810" s="1" t="s">
        <v>59</v>
      </c>
      <c r="AZ2810" s="1" t="s">
        <v>74</v>
      </c>
      <c r="BH2810" s="1" t="s">
        <v>71</v>
      </c>
    </row>
    <row r="2811" customFormat="false" ht="15" hidden="false" customHeight="false" outlineLevel="0" collapsed="false">
      <c r="A2811" s="1" t="s">
        <v>9432</v>
      </c>
      <c r="B2811" s="1" t="s">
        <v>9433</v>
      </c>
      <c r="C2811" s="1" t="s">
        <v>161</v>
      </c>
      <c r="D2811" s="1" t="s">
        <v>162</v>
      </c>
      <c r="E2811" s="1" t="s">
        <v>61</v>
      </c>
      <c r="F2811" s="1" t="s">
        <v>101</v>
      </c>
      <c r="G2811" s="1" t="s">
        <v>93</v>
      </c>
      <c r="H2811" s="1" t="s">
        <v>64</v>
      </c>
      <c r="K2811" s="1" t="s">
        <v>1784</v>
      </c>
      <c r="L2811" s="1" t="s">
        <v>1785</v>
      </c>
      <c r="M2811" s="1" t="s">
        <v>104</v>
      </c>
      <c r="N2811" s="1" t="s">
        <v>105</v>
      </c>
      <c r="O2811" s="1" t="s">
        <v>106</v>
      </c>
      <c r="P2811" s="1" t="s">
        <v>3539</v>
      </c>
      <c r="U2811" s="1" t="s">
        <v>9432</v>
      </c>
      <c r="Z2811" s="1" t="s">
        <v>71</v>
      </c>
      <c r="AE2811" s="1" t="s">
        <v>9434</v>
      </c>
      <c r="AH2811" s="1" t="s">
        <v>73</v>
      </c>
      <c r="AK2811" s="1" t="s">
        <v>71</v>
      </c>
      <c r="AM2811" s="1" t="s">
        <v>71</v>
      </c>
      <c r="AN2811" s="1" t="s">
        <v>71</v>
      </c>
      <c r="AS2811" s="1" t="s">
        <v>71</v>
      </c>
      <c r="AX2811" s="1" t="s">
        <v>71</v>
      </c>
      <c r="AY2811" s="1" t="s">
        <v>59</v>
      </c>
      <c r="AZ2811" s="1" t="s">
        <v>74</v>
      </c>
      <c r="BH2811" s="1" t="s">
        <v>71</v>
      </c>
    </row>
    <row r="2812" customFormat="false" ht="15" hidden="false" customHeight="false" outlineLevel="0" collapsed="false">
      <c r="A2812" s="1" t="s">
        <v>9435</v>
      </c>
      <c r="B2812" s="1" t="s">
        <v>9436</v>
      </c>
      <c r="C2812" s="1" t="s">
        <v>2152</v>
      </c>
      <c r="D2812" s="1" t="s">
        <v>7486</v>
      </c>
      <c r="E2812" s="1" t="s">
        <v>61</v>
      </c>
      <c r="F2812" s="1" t="s">
        <v>101</v>
      </c>
      <c r="G2812" s="1" t="s">
        <v>275</v>
      </c>
      <c r="H2812" s="1" t="s">
        <v>276</v>
      </c>
      <c r="K2812" s="1" t="s">
        <v>1479</v>
      </c>
      <c r="L2812" s="1" t="s">
        <v>1480</v>
      </c>
      <c r="M2812" s="1" t="s">
        <v>5708</v>
      </c>
      <c r="N2812" s="1" t="s">
        <v>1365</v>
      </c>
      <c r="O2812" s="1" t="s">
        <v>1366</v>
      </c>
      <c r="P2812" s="1" t="s">
        <v>4820</v>
      </c>
      <c r="U2812" s="1" t="s">
        <v>9435</v>
      </c>
      <c r="Z2812" s="1" t="s">
        <v>71</v>
      </c>
      <c r="AE2812" s="1" t="s">
        <v>9437</v>
      </c>
      <c r="AH2812" s="1" t="s">
        <v>73</v>
      </c>
      <c r="AK2812" s="1" t="s">
        <v>71</v>
      </c>
      <c r="AM2812" s="1" t="s">
        <v>71</v>
      </c>
      <c r="AN2812" s="1" t="s">
        <v>71</v>
      </c>
      <c r="AS2812" s="1" t="s">
        <v>71</v>
      </c>
      <c r="AX2812" s="1" t="s">
        <v>71</v>
      </c>
      <c r="AY2812" s="1" t="s">
        <v>59</v>
      </c>
      <c r="AZ2812" s="1" t="s">
        <v>74</v>
      </c>
      <c r="BH2812" s="1" t="s">
        <v>71</v>
      </c>
    </row>
    <row r="2813" customFormat="false" ht="15" hidden="false" customHeight="false" outlineLevel="0" collapsed="false">
      <c r="A2813" s="1" t="s">
        <v>9438</v>
      </c>
      <c r="B2813" s="1" t="s">
        <v>9439</v>
      </c>
      <c r="C2813" s="1" t="s">
        <v>2777</v>
      </c>
      <c r="D2813" s="1" t="s">
        <v>9440</v>
      </c>
      <c r="E2813" s="1" t="s">
        <v>82</v>
      </c>
      <c r="F2813" s="1" t="s">
        <v>391</v>
      </c>
      <c r="G2813" s="1" t="s">
        <v>213</v>
      </c>
      <c r="H2813" s="1" t="s">
        <v>477</v>
      </c>
      <c r="K2813" s="1" t="s">
        <v>478</v>
      </c>
      <c r="L2813" s="1" t="s">
        <v>479</v>
      </c>
      <c r="M2813" s="1" t="s">
        <v>496</v>
      </c>
      <c r="N2813" s="1" t="s">
        <v>9441</v>
      </c>
      <c r="O2813" s="1" t="s">
        <v>9442</v>
      </c>
      <c r="P2813" s="1" t="s">
        <v>9443</v>
      </c>
      <c r="U2813" s="1" t="s">
        <v>9438</v>
      </c>
      <c r="Z2813" s="1" t="s">
        <v>71</v>
      </c>
      <c r="AE2813" s="1" t="s">
        <v>9444</v>
      </c>
      <c r="AH2813" s="1" t="s">
        <v>73</v>
      </c>
      <c r="AK2813" s="1" t="s">
        <v>71</v>
      </c>
      <c r="AS2813" s="1" t="s">
        <v>71</v>
      </c>
    </row>
    <row r="2814" customFormat="false" ht="15" hidden="false" customHeight="false" outlineLevel="0" collapsed="false">
      <c r="A2814" s="1" t="s">
        <v>9445</v>
      </c>
      <c r="B2814" s="1" t="s">
        <v>9446</v>
      </c>
      <c r="C2814" s="1" t="s">
        <v>2296</v>
      </c>
      <c r="D2814" s="1" t="s">
        <v>7851</v>
      </c>
      <c r="E2814" s="1" t="s">
        <v>82</v>
      </c>
      <c r="F2814" s="1" t="s">
        <v>391</v>
      </c>
      <c r="G2814" s="1" t="s">
        <v>213</v>
      </c>
      <c r="H2814" s="1" t="s">
        <v>477</v>
      </c>
      <c r="K2814" s="1" t="s">
        <v>478</v>
      </c>
      <c r="L2814" s="1" t="s">
        <v>479</v>
      </c>
      <c r="M2814" s="1" t="s">
        <v>496</v>
      </c>
      <c r="N2814" s="1" t="s">
        <v>1899</v>
      </c>
      <c r="O2814" s="1" t="s">
        <v>447</v>
      </c>
      <c r="P2814" s="1" t="s">
        <v>6409</v>
      </c>
      <c r="U2814" s="1" t="s">
        <v>9445</v>
      </c>
      <c r="Z2814" s="1" t="s">
        <v>71</v>
      </c>
      <c r="AE2814" s="1" t="s">
        <v>9447</v>
      </c>
      <c r="AH2814" s="1" t="s">
        <v>73</v>
      </c>
      <c r="AK2814" s="1" t="s">
        <v>71</v>
      </c>
      <c r="AM2814" s="1" t="s">
        <v>71</v>
      </c>
      <c r="AN2814" s="1" t="s">
        <v>71</v>
      </c>
      <c r="AS2814" s="1" t="s">
        <v>71</v>
      </c>
      <c r="AX2814" s="1" t="s">
        <v>71</v>
      </c>
      <c r="BH2814" s="1" t="s">
        <v>71</v>
      </c>
    </row>
    <row r="2815" customFormat="false" ht="15" hidden="false" customHeight="false" outlineLevel="0" collapsed="false">
      <c r="A2815" s="1" t="s">
        <v>9448</v>
      </c>
      <c r="B2815" s="1" t="s">
        <v>9449</v>
      </c>
      <c r="C2815" s="1" t="s">
        <v>1221</v>
      </c>
      <c r="D2815" s="1" t="s">
        <v>2466</v>
      </c>
      <c r="E2815" s="1" t="s">
        <v>88</v>
      </c>
      <c r="F2815" s="1" t="s">
        <v>432</v>
      </c>
      <c r="G2815" s="1" t="s">
        <v>283</v>
      </c>
      <c r="H2815" s="1" t="s">
        <v>2652</v>
      </c>
      <c r="M2815" s="1" t="s">
        <v>496</v>
      </c>
      <c r="N2815" s="1" t="s">
        <v>911</v>
      </c>
      <c r="O2815" s="1" t="s">
        <v>912</v>
      </c>
      <c r="P2815" s="1" t="s">
        <v>9450</v>
      </c>
      <c r="U2815" s="1" t="s">
        <v>9448</v>
      </c>
      <c r="Z2815" s="1" t="s">
        <v>71</v>
      </c>
      <c r="AE2815" s="1" t="s">
        <v>9447</v>
      </c>
      <c r="AH2815" s="1" t="s">
        <v>73</v>
      </c>
      <c r="AK2815" s="1" t="s">
        <v>71</v>
      </c>
      <c r="AM2815" s="1" t="s">
        <v>71</v>
      </c>
      <c r="AN2815" s="1" t="s">
        <v>71</v>
      </c>
      <c r="AS2815" s="1" t="s">
        <v>71</v>
      </c>
      <c r="AX2815" s="1" t="s">
        <v>71</v>
      </c>
      <c r="BH2815" s="1" t="s">
        <v>71</v>
      </c>
    </row>
    <row r="2816" customFormat="false" ht="15" hidden="false" customHeight="false" outlineLevel="0" collapsed="false">
      <c r="A2816" s="1" t="s">
        <v>9451</v>
      </c>
      <c r="B2816" s="1" t="s">
        <v>9452</v>
      </c>
      <c r="C2816" s="1" t="s">
        <v>1158</v>
      </c>
      <c r="D2816" s="1" t="s">
        <v>4456</v>
      </c>
      <c r="E2816" s="1" t="s">
        <v>82</v>
      </c>
      <c r="F2816" s="1" t="s">
        <v>391</v>
      </c>
      <c r="G2816" s="1" t="s">
        <v>213</v>
      </c>
      <c r="H2816" s="1" t="s">
        <v>477</v>
      </c>
      <c r="K2816" s="1" t="s">
        <v>478</v>
      </c>
      <c r="L2816" s="1" t="s">
        <v>479</v>
      </c>
      <c r="M2816" s="1" t="s">
        <v>496</v>
      </c>
      <c r="N2816" s="1" t="s">
        <v>486</v>
      </c>
      <c r="O2816" s="1" t="s">
        <v>447</v>
      </c>
      <c r="P2816" s="1" t="s">
        <v>3771</v>
      </c>
      <c r="U2816" s="1" t="s">
        <v>9451</v>
      </c>
      <c r="Z2816" s="1" t="s">
        <v>71</v>
      </c>
      <c r="AE2816" s="1" t="s">
        <v>9453</v>
      </c>
      <c r="AH2816" s="1" t="s">
        <v>73</v>
      </c>
      <c r="AK2816" s="1" t="s">
        <v>71</v>
      </c>
      <c r="AM2816" s="1" t="s">
        <v>71</v>
      </c>
      <c r="AN2816" s="1" t="s">
        <v>71</v>
      </c>
      <c r="AS2816" s="1" t="s">
        <v>71</v>
      </c>
      <c r="AX2816" s="1" t="s">
        <v>71</v>
      </c>
      <c r="BH2816" s="1" t="s">
        <v>71</v>
      </c>
    </row>
    <row r="2817" customFormat="false" ht="15" hidden="false" customHeight="false" outlineLevel="0" collapsed="false">
      <c r="A2817" s="1" t="s">
        <v>9454</v>
      </c>
      <c r="B2817" s="1" t="s">
        <v>9455</v>
      </c>
      <c r="C2817" s="1" t="s">
        <v>1158</v>
      </c>
      <c r="D2817" s="1" t="s">
        <v>4456</v>
      </c>
      <c r="E2817" s="1" t="s">
        <v>82</v>
      </c>
      <c r="F2817" s="1" t="s">
        <v>391</v>
      </c>
      <c r="G2817" s="1" t="s">
        <v>213</v>
      </c>
      <c r="H2817" s="1" t="s">
        <v>477</v>
      </c>
      <c r="K2817" s="1" t="s">
        <v>478</v>
      </c>
      <c r="L2817" s="1" t="s">
        <v>479</v>
      </c>
      <c r="M2817" s="1" t="s">
        <v>496</v>
      </c>
      <c r="N2817" s="1" t="s">
        <v>884</v>
      </c>
      <c r="O2817" s="1" t="s">
        <v>447</v>
      </c>
      <c r="P2817" s="1" t="s">
        <v>3888</v>
      </c>
      <c r="U2817" s="1" t="s">
        <v>9454</v>
      </c>
      <c r="Z2817" s="1" t="s">
        <v>71</v>
      </c>
      <c r="AE2817" s="1" t="s">
        <v>9453</v>
      </c>
      <c r="AH2817" s="1" t="s">
        <v>73</v>
      </c>
      <c r="AK2817" s="1" t="s">
        <v>71</v>
      </c>
      <c r="AM2817" s="1" t="s">
        <v>71</v>
      </c>
      <c r="AN2817" s="1" t="s">
        <v>71</v>
      </c>
      <c r="AS2817" s="1" t="s">
        <v>71</v>
      </c>
      <c r="AX2817" s="1" t="s">
        <v>71</v>
      </c>
      <c r="BH2817" s="1" t="s">
        <v>71</v>
      </c>
    </row>
    <row r="2818" customFormat="false" ht="15" hidden="false" customHeight="false" outlineLevel="0" collapsed="false">
      <c r="A2818" s="1" t="s">
        <v>9456</v>
      </c>
      <c r="B2818" s="1" t="s">
        <v>9457</v>
      </c>
      <c r="C2818" s="1" t="s">
        <v>1158</v>
      </c>
      <c r="D2818" s="1" t="s">
        <v>4456</v>
      </c>
      <c r="E2818" s="1" t="s">
        <v>82</v>
      </c>
      <c r="F2818" s="1" t="s">
        <v>391</v>
      </c>
      <c r="G2818" s="1" t="s">
        <v>213</v>
      </c>
      <c r="H2818" s="1" t="s">
        <v>477</v>
      </c>
      <c r="K2818" s="1" t="s">
        <v>478</v>
      </c>
      <c r="L2818" s="1" t="s">
        <v>479</v>
      </c>
      <c r="M2818" s="1" t="s">
        <v>496</v>
      </c>
      <c r="N2818" s="1" t="s">
        <v>7190</v>
      </c>
      <c r="O2818" s="1" t="s">
        <v>400</v>
      </c>
      <c r="P2818" s="1" t="s">
        <v>7191</v>
      </c>
      <c r="U2818" s="1" t="s">
        <v>9456</v>
      </c>
      <c r="Z2818" s="1" t="s">
        <v>71</v>
      </c>
      <c r="AE2818" s="1" t="s">
        <v>9453</v>
      </c>
      <c r="AH2818" s="1" t="s">
        <v>73</v>
      </c>
      <c r="AK2818" s="1" t="s">
        <v>71</v>
      </c>
      <c r="AM2818" s="1" t="s">
        <v>71</v>
      </c>
      <c r="AN2818" s="1" t="s">
        <v>71</v>
      </c>
      <c r="AS2818" s="1" t="s">
        <v>71</v>
      </c>
      <c r="AX2818" s="1" t="s">
        <v>71</v>
      </c>
      <c r="BH2818" s="1" t="s">
        <v>71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99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16" activeCellId="0" sqref="B16"/>
    </sheetView>
  </sheetViews>
  <sheetFormatPr defaultColWidth="14.43359375" defaultRowHeight="15" customHeight="true" zeroHeight="false" outlineLevelRow="0" outlineLevelCol="0"/>
  <cols>
    <col collapsed="false" customWidth="true" hidden="false" outlineLevel="0" max="1" min="1" style="2" width="48.57"/>
    <col collapsed="false" customWidth="true" hidden="false" outlineLevel="0" max="2" min="2" style="2" width="17.71"/>
    <col collapsed="false" customWidth="true" hidden="false" outlineLevel="0" max="3" min="3" style="2" width="19.71"/>
    <col collapsed="false" customWidth="true" hidden="false" outlineLevel="0" max="4" min="4" style="2" width="20.43"/>
    <col collapsed="false" customWidth="true" hidden="false" outlineLevel="0" max="5" min="5" style="2" width="25.29"/>
    <col collapsed="false" customWidth="true" hidden="false" outlineLevel="0" max="6" min="6" style="2" width="14.71"/>
    <col collapsed="false" customWidth="true" hidden="false" outlineLevel="0" max="7" min="7" style="2" width="24"/>
    <col collapsed="false" customWidth="true" hidden="false" outlineLevel="0" max="8" min="8" style="2" width="4.29"/>
    <col collapsed="false" customWidth="true" hidden="false" outlineLevel="0" max="26" min="9" style="2" width="8.71"/>
  </cols>
  <sheetData>
    <row r="1" customFormat="false" ht="15" hidden="false" customHeight="false" outlineLevel="0" collapsed="false">
      <c r="A1" s="3" t="s">
        <v>9458</v>
      </c>
      <c r="B1" s="3"/>
      <c r="C1" s="3"/>
      <c r="D1" s="3"/>
      <c r="E1" s="3"/>
      <c r="F1" s="3"/>
      <c r="G1" s="4"/>
      <c r="H1" s="4"/>
      <c r="I1" s="5"/>
      <c r="J1" s="5"/>
      <c r="K1" s="5"/>
      <c r="L1" s="5"/>
      <c r="M1" s="5"/>
      <c r="N1" s="5"/>
      <c r="O1" s="5"/>
      <c r="P1" s="5" t="s">
        <v>13</v>
      </c>
      <c r="Q1" s="5" t="s">
        <v>14</v>
      </c>
      <c r="R1" s="5"/>
      <c r="S1" s="5"/>
      <c r="T1" s="5"/>
      <c r="U1" s="5"/>
      <c r="V1" s="5"/>
      <c r="W1" s="5"/>
      <c r="X1" s="5"/>
      <c r="Y1" s="5"/>
      <c r="Z1" s="5"/>
    </row>
    <row r="2" customFormat="false" ht="15" hidden="false" customHeight="false" outlineLevel="0" collapsed="false">
      <c r="A2" s="3"/>
      <c r="B2" s="3"/>
      <c r="C2" s="3"/>
      <c r="D2" s="3"/>
      <c r="E2" s="3"/>
      <c r="F2" s="3"/>
      <c r="G2" s="4"/>
      <c r="H2" s="4"/>
      <c r="I2" s="5"/>
      <c r="J2" s="5"/>
      <c r="K2" s="5"/>
      <c r="L2" s="5"/>
      <c r="M2" s="5"/>
      <c r="N2" s="5"/>
      <c r="O2" s="5"/>
      <c r="P2" s="5"/>
      <c r="Q2" s="5"/>
      <c r="R2" s="5"/>
      <c r="S2" s="5"/>
      <c r="T2" s="5"/>
      <c r="U2" s="5"/>
      <c r="V2" s="5"/>
      <c r="W2" s="5"/>
      <c r="X2" s="5"/>
      <c r="Y2" s="5"/>
      <c r="Z2" s="5"/>
    </row>
    <row r="3" customFormat="false" ht="15" hidden="false" customHeight="false" outlineLevel="0" collapsed="false">
      <c r="A3" s="3"/>
      <c r="B3" s="3"/>
      <c r="C3" s="3"/>
      <c r="D3" s="3"/>
      <c r="E3" s="3"/>
      <c r="F3" s="3"/>
      <c r="G3" s="4"/>
      <c r="H3" s="4"/>
      <c r="I3" s="5"/>
      <c r="J3" s="5"/>
      <c r="K3" s="5"/>
      <c r="L3" s="5"/>
      <c r="M3" s="5"/>
      <c r="N3" s="5"/>
      <c r="O3" s="5"/>
      <c r="P3" s="5"/>
      <c r="Q3" s="5"/>
      <c r="R3" s="5"/>
      <c r="S3" s="5"/>
      <c r="T3" s="5"/>
      <c r="U3" s="5"/>
      <c r="V3" s="5"/>
      <c r="W3" s="5"/>
      <c r="X3" s="5"/>
      <c r="Y3" s="5"/>
      <c r="Z3" s="5"/>
    </row>
    <row r="4" customFormat="false" ht="17.35" hidden="false" customHeight="false" outlineLevel="0" collapsed="false">
      <c r="A4" s="6" t="s">
        <v>9459</v>
      </c>
      <c r="B4" s="7"/>
      <c r="C4" s="7"/>
      <c r="D4" s="7"/>
      <c r="E4" s="7"/>
      <c r="F4" s="7"/>
      <c r="G4" s="7"/>
      <c r="H4" s="8"/>
      <c r="I4" s="5"/>
      <c r="J4" s="5"/>
      <c r="K4" s="5"/>
      <c r="L4" s="5"/>
      <c r="M4" s="5"/>
      <c r="N4" s="5"/>
      <c r="O4" s="5"/>
      <c r="P4" s="5"/>
      <c r="Q4" s="5"/>
      <c r="R4" s="5"/>
      <c r="S4" s="5"/>
      <c r="T4" s="5"/>
      <c r="U4" s="5"/>
      <c r="V4" s="5"/>
      <c r="W4" s="5"/>
      <c r="X4" s="5"/>
      <c r="Y4" s="5"/>
      <c r="Z4" s="5"/>
    </row>
    <row r="5" customFormat="false" ht="17.35" hidden="false" customHeight="false" outlineLevel="0" collapsed="false">
      <c r="A5" s="9" t="s">
        <v>9460</v>
      </c>
      <c r="B5" s="9"/>
      <c r="C5" s="9"/>
      <c r="D5" s="9"/>
      <c r="E5" s="9"/>
      <c r="F5" s="9"/>
      <c r="G5" s="9"/>
      <c r="H5" s="9"/>
      <c r="I5" s="5"/>
      <c r="J5" s="5"/>
      <c r="K5" s="5"/>
      <c r="L5" s="5"/>
      <c r="M5" s="5"/>
      <c r="N5" s="5"/>
      <c r="O5" s="5"/>
      <c r="P5" s="5"/>
      <c r="Q5" s="5"/>
      <c r="R5" s="5"/>
      <c r="S5" s="5"/>
      <c r="T5" s="5"/>
      <c r="U5" s="5"/>
      <c r="V5" s="5"/>
      <c r="W5" s="5"/>
      <c r="X5" s="5"/>
      <c r="Y5" s="5"/>
      <c r="Z5" s="5"/>
    </row>
    <row r="6" customFormat="false" ht="19.7" hidden="false" customHeight="false" outlineLevel="0" collapsed="false">
      <c r="A6" s="10" t="s">
        <v>9461</v>
      </c>
      <c r="B6" s="11" t="s">
        <v>9462</v>
      </c>
      <c r="C6" s="11"/>
      <c r="D6" s="12" t="s">
        <v>9463</v>
      </c>
      <c r="E6" s="12"/>
      <c r="F6" s="13"/>
      <c r="G6" s="13"/>
      <c r="H6" s="13"/>
      <c r="I6" s="5"/>
      <c r="J6" s="5"/>
      <c r="K6" s="5"/>
      <c r="L6" s="5"/>
      <c r="M6" s="5"/>
      <c r="N6" s="5"/>
      <c r="O6" s="5"/>
      <c r="P6" s="5"/>
      <c r="Q6" s="5"/>
      <c r="R6" s="5"/>
      <c r="S6" s="5"/>
      <c r="T6" s="5"/>
      <c r="U6" s="5"/>
      <c r="V6" s="5"/>
      <c r="W6" s="5"/>
      <c r="X6" s="5"/>
      <c r="Y6" s="5"/>
      <c r="Z6" s="5"/>
    </row>
    <row r="7" customFormat="false" ht="17.35" hidden="false" customHeight="false" outlineLevel="0" collapsed="false">
      <c r="A7" s="14" t="s">
        <v>9464</v>
      </c>
      <c r="B7" s="14"/>
      <c r="C7" s="14"/>
      <c r="D7" s="14"/>
      <c r="E7" s="14"/>
      <c r="F7" s="14"/>
      <c r="G7" s="14"/>
      <c r="H7" s="14"/>
      <c r="I7" s="5"/>
      <c r="J7" s="5"/>
      <c r="K7" s="5"/>
      <c r="L7" s="5"/>
      <c r="M7" s="5"/>
      <c r="N7" s="5"/>
      <c r="O7" s="5"/>
      <c r="P7" s="5"/>
      <c r="Q7" s="5"/>
      <c r="R7" s="5"/>
      <c r="S7" s="5"/>
      <c r="T7" s="5"/>
      <c r="U7" s="5"/>
      <c r="V7" s="5"/>
      <c r="W7" s="5"/>
      <c r="X7" s="5"/>
      <c r="Y7" s="5"/>
      <c r="Z7" s="5"/>
    </row>
    <row r="8" customFormat="false" ht="17.35" hidden="false" customHeight="false" outlineLevel="0" collapsed="false">
      <c r="A8" s="15" t="s">
        <v>9465</v>
      </c>
      <c r="B8" s="16" t="s">
        <v>9466</v>
      </c>
      <c r="C8" s="16"/>
      <c r="D8" s="16"/>
      <c r="E8" s="16"/>
      <c r="F8" s="17" t="s">
        <v>9467</v>
      </c>
      <c r="G8" s="17"/>
      <c r="H8" s="17"/>
      <c r="I8" s="5"/>
      <c r="J8" s="5"/>
      <c r="K8" s="5"/>
      <c r="L8" s="5"/>
      <c r="M8" s="5"/>
      <c r="N8" s="5"/>
      <c r="O8" s="5"/>
      <c r="P8" s="5"/>
      <c r="Q8" s="5"/>
      <c r="R8" s="5"/>
      <c r="S8" s="5"/>
      <c r="T8" s="5"/>
      <c r="U8" s="5"/>
      <c r="V8" s="5"/>
      <c r="W8" s="5"/>
      <c r="X8" s="5"/>
      <c r="Y8" s="5"/>
      <c r="Z8" s="5"/>
    </row>
    <row r="9" customFormat="false" ht="19.5" hidden="false" customHeight="true" outlineLevel="0" collapsed="false">
      <c r="A9" s="15" t="s">
        <v>9468</v>
      </c>
      <c r="B9" s="16" t="s">
        <v>9469</v>
      </c>
      <c r="C9" s="16"/>
      <c r="D9" s="16"/>
      <c r="E9" s="16"/>
      <c r="F9" s="18"/>
      <c r="G9" s="18"/>
      <c r="H9" s="18"/>
      <c r="I9" s="5"/>
      <c r="J9" s="5"/>
      <c r="K9" s="5"/>
      <c r="L9" s="5"/>
      <c r="M9" s="5"/>
      <c r="N9" s="5"/>
      <c r="O9" s="5"/>
      <c r="P9" s="5"/>
      <c r="Q9" s="5"/>
      <c r="R9" s="5"/>
      <c r="S9" s="5"/>
      <c r="T9" s="5"/>
      <c r="U9" s="5"/>
      <c r="V9" s="5"/>
      <c r="W9" s="5"/>
      <c r="X9" s="5"/>
      <c r="Y9" s="5"/>
      <c r="Z9" s="5"/>
    </row>
    <row r="10" customFormat="false" ht="17.35" hidden="false" customHeight="false" outlineLevel="0" collapsed="false">
      <c r="A10" s="15" t="s">
        <v>9470</v>
      </c>
      <c r="B10" s="16"/>
      <c r="C10" s="16"/>
      <c r="D10" s="16"/>
      <c r="E10" s="16"/>
      <c r="F10" s="18"/>
      <c r="G10" s="18"/>
      <c r="H10" s="18"/>
      <c r="I10" s="5"/>
      <c r="J10" s="5"/>
      <c r="K10" s="5"/>
      <c r="L10" s="5"/>
      <c r="M10" s="5"/>
      <c r="N10" s="5"/>
      <c r="O10" s="5"/>
      <c r="P10" s="5"/>
      <c r="Q10" s="5"/>
      <c r="R10" s="5"/>
      <c r="S10" s="5"/>
      <c r="T10" s="5"/>
      <c r="U10" s="5"/>
      <c r="V10" s="5"/>
      <c r="W10" s="5"/>
      <c r="X10" s="5"/>
      <c r="Y10" s="5"/>
      <c r="Z10" s="5"/>
    </row>
    <row r="11" customFormat="false" ht="17.35" hidden="false" customHeight="false" outlineLevel="0" collapsed="false">
      <c r="A11" s="15" t="s">
        <v>9471</v>
      </c>
      <c r="B11" s="16"/>
      <c r="C11" s="16"/>
      <c r="D11" s="16"/>
      <c r="E11" s="16"/>
      <c r="F11" s="18"/>
      <c r="G11" s="18"/>
      <c r="H11" s="18"/>
      <c r="I11" s="5"/>
      <c r="J11" s="5"/>
      <c r="K11" s="5"/>
      <c r="L11" s="5"/>
      <c r="M11" s="5"/>
      <c r="N11" s="5"/>
      <c r="O11" s="5"/>
      <c r="P11" s="5"/>
      <c r="Q11" s="5"/>
      <c r="R11" s="5"/>
      <c r="S11" s="5"/>
      <c r="T11" s="5"/>
      <c r="U11" s="5"/>
      <c r="V11" s="5"/>
      <c r="W11" s="5"/>
      <c r="X11" s="5"/>
      <c r="Y11" s="5"/>
      <c r="Z11" s="5"/>
    </row>
    <row r="12" customFormat="false" ht="17.35" hidden="false" customHeight="false" outlineLevel="0" collapsed="false">
      <c r="A12" s="15" t="s">
        <v>9472</v>
      </c>
      <c r="B12" s="19" t="s">
        <v>9473</v>
      </c>
      <c r="C12" s="19"/>
      <c r="D12" s="19"/>
      <c r="E12" s="19"/>
      <c r="F12" s="18"/>
      <c r="G12" s="18"/>
      <c r="H12" s="18"/>
      <c r="I12" s="5"/>
      <c r="J12" s="5"/>
      <c r="K12" s="5"/>
      <c r="L12" s="5"/>
      <c r="M12" s="5"/>
      <c r="N12" s="5"/>
      <c r="O12" s="5"/>
      <c r="P12" s="5"/>
      <c r="Q12" s="5"/>
      <c r="R12" s="5"/>
      <c r="S12" s="5"/>
      <c r="T12" s="5"/>
      <c r="U12" s="5"/>
      <c r="V12" s="5"/>
      <c r="W12" s="5"/>
      <c r="X12" s="5"/>
      <c r="Y12" s="5"/>
      <c r="Z12" s="5"/>
    </row>
    <row r="13" customFormat="false" ht="17.35" hidden="false" customHeight="false" outlineLevel="0" collapsed="false">
      <c r="A13" s="15" t="s">
        <v>9474</v>
      </c>
      <c r="B13" s="20" t="s">
        <v>9475</v>
      </c>
      <c r="C13" s="20"/>
      <c r="D13" s="20"/>
      <c r="E13" s="20"/>
      <c r="F13" s="18"/>
      <c r="G13" s="18"/>
      <c r="H13" s="18"/>
      <c r="I13" s="5"/>
      <c r="J13" s="5"/>
      <c r="K13" s="5"/>
      <c r="L13" s="5"/>
      <c r="M13" s="5"/>
      <c r="N13" s="5"/>
      <c r="O13" s="5"/>
      <c r="P13" s="5"/>
      <c r="Q13" s="5"/>
      <c r="R13" s="5"/>
      <c r="S13" s="5"/>
      <c r="T13" s="5"/>
      <c r="U13" s="5"/>
      <c r="V13" s="5"/>
      <c r="W13" s="5"/>
      <c r="X13" s="5"/>
      <c r="Y13" s="5"/>
      <c r="Z13" s="5"/>
    </row>
    <row r="14" customFormat="false" ht="17.35" hidden="false" customHeight="false" outlineLevel="0" collapsed="false">
      <c r="A14" s="15" t="s">
        <v>9476</v>
      </c>
      <c r="B14" s="16" t="s">
        <v>9477</v>
      </c>
      <c r="C14" s="16"/>
      <c r="D14" s="16"/>
      <c r="E14" s="16"/>
      <c r="F14" s="18"/>
      <c r="G14" s="18"/>
      <c r="H14" s="18"/>
      <c r="I14" s="5"/>
      <c r="J14" s="5"/>
      <c r="K14" s="5"/>
      <c r="L14" s="5"/>
      <c r="M14" s="5"/>
      <c r="N14" s="5"/>
      <c r="O14" s="5"/>
      <c r="P14" s="5"/>
      <c r="Q14" s="5"/>
      <c r="R14" s="5"/>
      <c r="S14" s="5"/>
      <c r="T14" s="5"/>
      <c r="U14" s="5"/>
      <c r="V14" s="5"/>
      <c r="W14" s="5"/>
      <c r="X14" s="5"/>
      <c r="Y14" s="5"/>
      <c r="Z14" s="5"/>
    </row>
    <row r="15" customFormat="false" ht="17.35" hidden="false" customHeight="false" outlineLevel="0" collapsed="false">
      <c r="A15" s="15" t="s">
        <v>9478</v>
      </c>
      <c r="B15" s="16"/>
      <c r="C15" s="16"/>
      <c r="D15" s="16"/>
      <c r="E15" s="16"/>
      <c r="F15" s="18"/>
      <c r="G15" s="18"/>
      <c r="H15" s="18"/>
      <c r="I15" s="5"/>
      <c r="J15" s="5"/>
      <c r="K15" s="5"/>
      <c r="L15" s="5"/>
      <c r="M15" s="5"/>
      <c r="N15" s="5"/>
      <c r="O15" s="5"/>
      <c r="P15" s="5"/>
      <c r="Q15" s="5"/>
      <c r="R15" s="5"/>
      <c r="S15" s="5"/>
      <c r="T15" s="5"/>
      <c r="U15" s="5"/>
      <c r="V15" s="5"/>
      <c r="W15" s="5"/>
      <c r="X15" s="5"/>
      <c r="Y15" s="5"/>
      <c r="Z15" s="5"/>
    </row>
    <row r="16" customFormat="false" ht="17.35" hidden="false" customHeight="false" outlineLevel="0" collapsed="false">
      <c r="A16" s="15" t="s">
        <v>9479</v>
      </c>
      <c r="B16" s="16"/>
      <c r="C16" s="16"/>
      <c r="D16" s="16"/>
      <c r="E16" s="16"/>
      <c r="F16" s="18"/>
      <c r="G16" s="18"/>
      <c r="H16" s="18"/>
      <c r="I16" s="5"/>
      <c r="J16" s="5"/>
      <c r="K16" s="5"/>
      <c r="L16" s="5"/>
      <c r="M16" s="5"/>
      <c r="N16" s="5"/>
      <c r="O16" s="5"/>
      <c r="P16" s="5"/>
      <c r="Q16" s="5"/>
      <c r="R16" s="5"/>
      <c r="S16" s="5"/>
      <c r="T16" s="5"/>
      <c r="U16" s="5"/>
      <c r="V16" s="5"/>
      <c r="W16" s="5"/>
      <c r="X16" s="5"/>
      <c r="Y16" s="5"/>
      <c r="Z16" s="5"/>
    </row>
    <row r="17" customFormat="false" ht="17.35" hidden="false" customHeight="false" outlineLevel="0" collapsed="false">
      <c r="A17" s="15" t="s">
        <v>9480</v>
      </c>
      <c r="B17" s="16"/>
      <c r="C17" s="16"/>
      <c r="D17" s="16"/>
      <c r="E17" s="16"/>
      <c r="F17" s="18"/>
      <c r="G17" s="18"/>
      <c r="H17" s="18"/>
      <c r="I17" s="5"/>
      <c r="J17" s="5"/>
      <c r="K17" s="5"/>
      <c r="L17" s="5"/>
      <c r="M17" s="5"/>
      <c r="N17" s="5"/>
      <c r="O17" s="5"/>
      <c r="P17" s="5"/>
      <c r="Q17" s="5"/>
      <c r="R17" s="5"/>
      <c r="S17" s="5"/>
      <c r="T17" s="5"/>
      <c r="U17" s="5"/>
      <c r="V17" s="5"/>
      <c r="W17" s="5"/>
      <c r="X17" s="5"/>
      <c r="Y17" s="5"/>
      <c r="Z17" s="5"/>
    </row>
    <row r="18" customFormat="false" ht="17.35" hidden="false" customHeight="false" outlineLevel="0" collapsed="false">
      <c r="A18" s="15" t="s">
        <v>9481</v>
      </c>
      <c r="B18" s="21" t="n">
        <v>3046100</v>
      </c>
      <c r="C18" s="21"/>
      <c r="D18" s="21"/>
      <c r="E18" s="21"/>
      <c r="F18" s="18"/>
      <c r="G18" s="18"/>
      <c r="H18" s="18"/>
      <c r="I18" s="5"/>
      <c r="J18" s="5"/>
      <c r="K18" s="5"/>
      <c r="L18" s="5"/>
      <c r="M18" s="5"/>
      <c r="N18" s="5"/>
      <c r="O18" s="5"/>
      <c r="P18" s="5"/>
      <c r="Q18" s="5"/>
      <c r="R18" s="5"/>
      <c r="S18" s="5"/>
      <c r="T18" s="5"/>
      <c r="U18" s="5"/>
      <c r="V18" s="5"/>
      <c r="W18" s="5"/>
      <c r="X18" s="5"/>
      <c r="Y18" s="5"/>
      <c r="Z18" s="5"/>
    </row>
    <row r="19" customFormat="false" ht="17.35" hidden="false" customHeight="false" outlineLevel="0" collapsed="false">
      <c r="A19" s="15" t="s">
        <v>9482</v>
      </c>
      <c r="B19" s="16" t="n">
        <v>1708400</v>
      </c>
      <c r="C19" s="16"/>
      <c r="D19" s="16"/>
      <c r="E19" s="16"/>
      <c r="F19" s="18"/>
      <c r="G19" s="18"/>
      <c r="H19" s="18"/>
      <c r="I19" s="5"/>
      <c r="J19" s="5"/>
      <c r="K19" s="5"/>
      <c r="L19" s="5"/>
      <c r="M19" s="5"/>
      <c r="N19" s="5"/>
      <c r="O19" s="5"/>
      <c r="P19" s="5"/>
      <c r="Q19" s="5"/>
      <c r="R19" s="5"/>
      <c r="S19" s="5"/>
      <c r="T19" s="5"/>
      <c r="U19" s="5"/>
      <c r="V19" s="5"/>
      <c r="W19" s="5"/>
      <c r="X19" s="5"/>
      <c r="Y19" s="5"/>
      <c r="Z19" s="5"/>
    </row>
    <row r="20" customFormat="false" ht="17.35" hidden="false" customHeight="false" outlineLevel="0" collapsed="false">
      <c r="A20" s="15" t="s">
        <v>9483</v>
      </c>
      <c r="B20" s="22" t="n">
        <v>0</v>
      </c>
      <c r="C20" s="22"/>
      <c r="D20" s="22"/>
      <c r="E20" s="22"/>
      <c r="F20" s="18"/>
      <c r="G20" s="18"/>
      <c r="H20" s="18"/>
      <c r="I20" s="5"/>
      <c r="J20" s="5"/>
      <c r="K20" s="5"/>
      <c r="L20" s="5"/>
      <c r="M20" s="5"/>
      <c r="N20" s="5"/>
      <c r="O20" s="5"/>
      <c r="P20" s="5"/>
      <c r="Q20" s="5"/>
      <c r="R20" s="5"/>
      <c r="S20" s="5"/>
      <c r="T20" s="5"/>
      <c r="U20" s="5"/>
      <c r="V20" s="5"/>
      <c r="W20" s="5"/>
      <c r="X20" s="5"/>
      <c r="Y20" s="5"/>
      <c r="Z20" s="5"/>
    </row>
    <row r="21" customFormat="false" ht="17.35" hidden="false" customHeight="false" outlineLevel="0" collapsed="false">
      <c r="A21" s="15" t="s">
        <v>9484</v>
      </c>
      <c r="B21" s="20" t="n">
        <v>0</v>
      </c>
      <c r="C21" s="20"/>
      <c r="D21" s="20"/>
      <c r="E21" s="20"/>
      <c r="F21" s="18"/>
      <c r="G21" s="18"/>
      <c r="H21" s="18"/>
      <c r="I21" s="5"/>
      <c r="J21" s="5"/>
      <c r="K21" s="5"/>
      <c r="L21" s="5"/>
      <c r="M21" s="5"/>
      <c r="N21" s="5"/>
      <c r="O21" s="5"/>
      <c r="P21" s="5"/>
      <c r="Q21" s="5"/>
      <c r="R21" s="5"/>
      <c r="S21" s="5"/>
      <c r="T21" s="5"/>
      <c r="U21" s="5"/>
      <c r="V21" s="5"/>
      <c r="W21" s="5"/>
      <c r="X21" s="5"/>
      <c r="Y21" s="5"/>
      <c r="Z21" s="5"/>
    </row>
    <row r="22" customFormat="false" ht="15.75" hidden="false" customHeight="true" outlineLevel="0" collapsed="false">
      <c r="A22" s="15" t="s">
        <v>9485</v>
      </c>
      <c r="B22" s="16" t="s">
        <v>9486</v>
      </c>
      <c r="C22" s="16"/>
      <c r="D22" s="16"/>
      <c r="E22" s="16"/>
      <c r="F22" s="18"/>
      <c r="G22" s="18"/>
      <c r="H22" s="18"/>
      <c r="I22" s="5"/>
      <c r="J22" s="5"/>
      <c r="K22" s="5"/>
      <c r="L22" s="5"/>
      <c r="M22" s="5"/>
      <c r="N22" s="5"/>
      <c r="O22" s="5"/>
      <c r="P22" s="5"/>
      <c r="Q22" s="5"/>
      <c r="R22" s="5"/>
      <c r="S22" s="5"/>
      <c r="T22" s="5"/>
      <c r="U22" s="5"/>
      <c r="V22" s="5"/>
      <c r="W22" s="5"/>
      <c r="X22" s="5"/>
      <c r="Y22" s="5"/>
      <c r="Z22" s="5"/>
    </row>
    <row r="23" customFormat="false" ht="15.75" hidden="false" customHeight="true" outlineLevel="0" collapsed="false">
      <c r="A23" s="23" t="s">
        <v>9487</v>
      </c>
      <c r="B23" s="20" t="s">
        <v>9488</v>
      </c>
      <c r="C23" s="20"/>
      <c r="D23" s="20"/>
      <c r="E23" s="20"/>
      <c r="F23" s="24" t="s">
        <v>9489</v>
      </c>
      <c r="G23" s="24"/>
      <c r="H23" s="24"/>
      <c r="I23" s="5"/>
      <c r="J23" s="5"/>
      <c r="K23" s="5"/>
      <c r="L23" s="5"/>
      <c r="M23" s="5"/>
      <c r="N23" s="5"/>
      <c r="O23" s="5"/>
      <c r="P23" s="5"/>
      <c r="Q23" s="5"/>
      <c r="R23" s="5"/>
      <c r="S23" s="5"/>
      <c r="T23" s="5"/>
      <c r="U23" s="5"/>
      <c r="V23" s="5"/>
      <c r="W23" s="5"/>
      <c r="X23" s="5"/>
      <c r="Y23" s="5"/>
      <c r="Z23" s="5"/>
    </row>
    <row r="24" customFormat="false" ht="15.75" hidden="false" customHeight="true" outlineLevel="0" collapsed="false">
      <c r="A24" s="25" t="s">
        <v>9490</v>
      </c>
      <c r="B24" s="25"/>
      <c r="C24" s="26"/>
      <c r="D24" s="27" t="s">
        <v>9491</v>
      </c>
      <c r="E24" s="27"/>
      <c r="F24" s="28"/>
      <c r="G24" s="28"/>
      <c r="H24" s="28"/>
      <c r="I24" s="5"/>
      <c r="J24" s="5"/>
      <c r="K24" s="5"/>
      <c r="L24" s="5"/>
      <c r="M24" s="5"/>
      <c r="N24" s="5"/>
      <c r="O24" s="5"/>
      <c r="P24" s="5"/>
      <c r="Q24" s="5"/>
      <c r="R24" s="5"/>
      <c r="S24" s="5"/>
      <c r="T24" s="5"/>
      <c r="U24" s="5"/>
      <c r="V24" s="5"/>
      <c r="W24" s="5"/>
      <c r="X24" s="5"/>
      <c r="Y24" s="5"/>
      <c r="Z24" s="5"/>
    </row>
    <row r="25" customFormat="false" ht="15.75" hidden="false" customHeight="true" outlineLevel="0" collapsed="false">
      <c r="A25" s="23" t="s">
        <v>9492</v>
      </c>
      <c r="B25" s="29" t="n">
        <v>22</v>
      </c>
      <c r="C25" s="30" t="s">
        <v>9493</v>
      </c>
      <c r="D25" s="31" t="s">
        <v>1107</v>
      </c>
      <c r="E25" s="31"/>
      <c r="F25" s="28"/>
      <c r="G25" s="28"/>
      <c r="H25" s="28"/>
      <c r="I25" s="5"/>
      <c r="J25" s="5"/>
      <c r="K25" s="5"/>
      <c r="L25" s="5"/>
      <c r="M25" s="5"/>
      <c r="N25" s="5"/>
      <c r="O25" s="5"/>
      <c r="P25" s="5"/>
      <c r="Q25" s="5"/>
      <c r="R25" s="5"/>
      <c r="S25" s="5"/>
      <c r="T25" s="5"/>
      <c r="U25" s="5"/>
      <c r="V25" s="5"/>
      <c r="W25" s="5"/>
      <c r="X25" s="5"/>
      <c r="Y25" s="5"/>
      <c r="Z25" s="5"/>
    </row>
    <row r="26" customFormat="false" ht="15.75" hidden="false" customHeight="true" outlineLevel="0" collapsed="false">
      <c r="A26" s="23" t="s">
        <v>9494</v>
      </c>
      <c r="B26" s="29"/>
      <c r="C26" s="30" t="s">
        <v>9495</v>
      </c>
      <c r="D26" s="32"/>
      <c r="E26" s="32"/>
      <c r="F26" s="28"/>
      <c r="G26" s="28"/>
      <c r="H26" s="28"/>
      <c r="I26" s="5"/>
      <c r="J26" s="5"/>
      <c r="K26" s="5"/>
      <c r="L26" s="5"/>
      <c r="M26" s="5"/>
      <c r="N26" s="5"/>
      <c r="O26" s="5"/>
      <c r="P26" s="5"/>
      <c r="Q26" s="5"/>
      <c r="R26" s="5"/>
      <c r="S26" s="5"/>
      <c r="T26" s="5"/>
      <c r="U26" s="5"/>
      <c r="V26" s="5"/>
      <c r="W26" s="5"/>
      <c r="X26" s="5"/>
      <c r="Y26" s="5"/>
      <c r="Z26" s="5"/>
    </row>
    <row r="27" customFormat="false" ht="15.75" hidden="false" customHeight="true" outlineLevel="0" collapsed="false">
      <c r="A27" s="23" t="s">
        <v>9496</v>
      </c>
      <c r="B27" s="29"/>
      <c r="C27" s="30" t="s">
        <v>9497</v>
      </c>
      <c r="D27" s="32"/>
      <c r="E27" s="32"/>
      <c r="F27" s="28"/>
      <c r="G27" s="28"/>
      <c r="H27" s="28"/>
      <c r="I27" s="5"/>
      <c r="J27" s="5"/>
      <c r="K27" s="5"/>
      <c r="L27" s="5"/>
      <c r="M27" s="5"/>
      <c r="N27" s="5"/>
      <c r="O27" s="5"/>
      <c r="P27" s="5"/>
      <c r="Q27" s="5"/>
      <c r="R27" s="5"/>
      <c r="S27" s="5"/>
      <c r="T27" s="5"/>
      <c r="U27" s="5"/>
      <c r="V27" s="5"/>
      <c r="W27" s="5"/>
      <c r="X27" s="5"/>
      <c r="Y27" s="5"/>
      <c r="Z27" s="5"/>
    </row>
    <row r="28" customFormat="false" ht="15.75" hidden="false" customHeight="true" outlineLevel="0" collapsed="false">
      <c r="A28" s="23" t="s">
        <v>9498</v>
      </c>
      <c r="B28" s="29"/>
      <c r="C28" s="30" t="s">
        <v>9499</v>
      </c>
      <c r="D28" s="32"/>
      <c r="E28" s="32"/>
      <c r="F28" s="28"/>
      <c r="G28" s="28"/>
      <c r="H28" s="28"/>
      <c r="I28" s="5"/>
      <c r="J28" s="5"/>
      <c r="K28" s="5"/>
      <c r="L28" s="5"/>
      <c r="M28" s="5"/>
      <c r="N28" s="5"/>
      <c r="O28" s="5"/>
      <c r="P28" s="5"/>
      <c r="Q28" s="5"/>
      <c r="R28" s="5"/>
      <c r="S28" s="5"/>
      <c r="T28" s="5"/>
      <c r="U28" s="5"/>
      <c r="V28" s="5"/>
      <c r="W28" s="5"/>
      <c r="X28" s="5"/>
      <c r="Y28" s="5"/>
      <c r="Z28" s="5"/>
    </row>
    <row r="29" customFormat="false" ht="15.75" hidden="false" customHeight="true" outlineLevel="0" collapsed="false">
      <c r="A29" s="23" t="s">
        <v>9500</v>
      </c>
      <c r="B29" s="33" t="s">
        <v>9501</v>
      </c>
      <c r="C29" s="30" t="s">
        <v>9502</v>
      </c>
      <c r="D29" s="34" t="n">
        <v>365</v>
      </c>
      <c r="E29" s="34"/>
      <c r="F29" s="28"/>
      <c r="G29" s="28"/>
      <c r="H29" s="28"/>
      <c r="I29" s="5"/>
      <c r="J29" s="5"/>
      <c r="K29" s="5"/>
      <c r="L29" s="5"/>
      <c r="M29" s="5"/>
      <c r="N29" s="5"/>
      <c r="O29" s="5"/>
      <c r="P29" s="5"/>
      <c r="Q29" s="5"/>
      <c r="R29" s="5"/>
      <c r="S29" s="5"/>
      <c r="T29" s="5"/>
      <c r="U29" s="5"/>
      <c r="V29" s="5"/>
      <c r="W29" s="5"/>
      <c r="X29" s="5"/>
      <c r="Y29" s="5"/>
      <c r="Z29" s="5"/>
    </row>
    <row r="30" customFormat="false" ht="15.75" hidden="false" customHeight="true" outlineLevel="0" collapsed="false">
      <c r="A30" s="23" t="s">
        <v>9503</v>
      </c>
      <c r="B30" s="33" t="s">
        <v>9501</v>
      </c>
      <c r="C30" s="30"/>
      <c r="D30" s="35"/>
      <c r="E30" s="36"/>
      <c r="F30" s="28"/>
      <c r="G30" s="28"/>
      <c r="H30" s="28"/>
      <c r="I30" s="5"/>
      <c r="J30" s="5"/>
      <c r="K30" s="5"/>
      <c r="L30" s="5"/>
      <c r="M30" s="5"/>
      <c r="N30" s="5"/>
      <c r="O30" s="5"/>
      <c r="P30" s="5"/>
      <c r="Q30" s="5"/>
      <c r="R30" s="5"/>
      <c r="S30" s="5"/>
      <c r="T30" s="5"/>
      <c r="U30" s="5"/>
      <c r="V30" s="5"/>
      <c r="W30" s="5"/>
      <c r="X30" s="5"/>
      <c r="Y30" s="5"/>
      <c r="Z30" s="5"/>
    </row>
    <row r="31" customFormat="false" ht="15.75" hidden="false" customHeight="true" outlineLevel="0" collapsed="false">
      <c r="A31" s="37" t="s">
        <v>9504</v>
      </c>
      <c r="B31" s="37"/>
      <c r="C31" s="37"/>
      <c r="D31" s="37"/>
      <c r="E31" s="37"/>
      <c r="F31" s="37"/>
      <c r="G31" s="37"/>
      <c r="H31" s="38"/>
      <c r="I31" s="5"/>
      <c r="J31" s="5"/>
      <c r="K31" s="5"/>
      <c r="L31" s="5"/>
      <c r="M31" s="5"/>
      <c r="N31" s="5"/>
      <c r="O31" s="5"/>
      <c r="P31" s="5"/>
      <c r="Q31" s="5"/>
      <c r="R31" s="5"/>
      <c r="S31" s="5"/>
      <c r="T31" s="5"/>
      <c r="U31" s="5"/>
      <c r="V31" s="5"/>
      <c r="W31" s="5"/>
      <c r="X31" s="5"/>
      <c r="Y31" s="5"/>
      <c r="Z31" s="5"/>
    </row>
    <row r="32" customFormat="false" ht="15.75" hidden="false" customHeight="true" outlineLevel="0" collapsed="false">
      <c r="A32" s="39" t="s">
        <v>9505</v>
      </c>
      <c r="B32" s="39"/>
      <c r="C32" s="30" t="s">
        <v>9506</v>
      </c>
      <c r="D32" s="40" t="n">
        <v>2822</v>
      </c>
      <c r="E32" s="23" t="s">
        <v>9507</v>
      </c>
      <c r="F32" s="41" t="n">
        <v>7898678700895</v>
      </c>
      <c r="G32" s="41"/>
      <c r="H32" s="42"/>
      <c r="I32" s="5"/>
      <c r="J32" s="5"/>
      <c r="K32" s="5"/>
      <c r="L32" s="5"/>
      <c r="M32" s="5"/>
      <c r="N32" s="5"/>
      <c r="O32" s="5"/>
      <c r="P32" s="5"/>
      <c r="Q32" s="5"/>
      <c r="R32" s="5"/>
      <c r="S32" s="5"/>
      <c r="T32" s="5"/>
      <c r="U32" s="5"/>
      <c r="V32" s="5"/>
      <c r="W32" s="5"/>
      <c r="X32" s="5"/>
      <c r="Y32" s="5"/>
      <c r="Z32" s="5"/>
    </row>
    <row r="33" customFormat="false" ht="15.75" hidden="false" customHeight="true" outlineLevel="0" collapsed="false">
      <c r="A33" s="43" t="s">
        <v>9508</v>
      </c>
      <c r="B33" s="43"/>
      <c r="C33" s="30" t="s">
        <v>9506</v>
      </c>
      <c r="D33" s="44"/>
      <c r="E33" s="23" t="s">
        <v>9507</v>
      </c>
      <c r="F33" s="45"/>
      <c r="G33" s="45"/>
      <c r="H33" s="42"/>
      <c r="I33" s="5"/>
      <c r="J33" s="5"/>
      <c r="K33" s="5"/>
      <c r="L33" s="5"/>
      <c r="M33" s="5"/>
      <c r="N33" s="5"/>
      <c r="O33" s="5"/>
      <c r="P33" s="5"/>
      <c r="Q33" s="5"/>
      <c r="R33" s="5"/>
      <c r="S33" s="5"/>
      <c r="T33" s="5"/>
      <c r="U33" s="5"/>
      <c r="V33" s="5"/>
      <c r="W33" s="5"/>
      <c r="X33" s="5"/>
      <c r="Y33" s="5"/>
      <c r="Z33" s="5"/>
    </row>
    <row r="34" customFormat="false" ht="15.75" hidden="false" customHeight="true" outlineLevel="0" collapsed="false">
      <c r="A34" s="43"/>
      <c r="B34" s="43"/>
      <c r="C34" s="30" t="s">
        <v>9506</v>
      </c>
      <c r="D34" s="44"/>
      <c r="E34" s="23" t="s">
        <v>9507</v>
      </c>
      <c r="F34" s="45"/>
      <c r="G34" s="45"/>
      <c r="H34" s="42"/>
      <c r="I34" s="5"/>
      <c r="J34" s="5"/>
      <c r="K34" s="5"/>
      <c r="L34" s="5"/>
      <c r="M34" s="5"/>
      <c r="N34" s="5"/>
      <c r="O34" s="5"/>
      <c r="P34" s="5"/>
      <c r="Q34" s="5"/>
      <c r="R34" s="5"/>
      <c r="S34" s="5"/>
      <c r="T34" s="5"/>
      <c r="U34" s="5"/>
      <c r="V34" s="5"/>
      <c r="W34" s="5"/>
      <c r="X34" s="5"/>
      <c r="Y34" s="5"/>
      <c r="Z34" s="5"/>
    </row>
    <row r="35" customFormat="false" ht="15.75" hidden="false" customHeight="true" outlineLevel="0" collapsed="false">
      <c r="A35" s="43"/>
      <c r="B35" s="43"/>
      <c r="C35" s="30" t="s">
        <v>9506</v>
      </c>
      <c r="D35" s="44"/>
      <c r="E35" s="23" t="s">
        <v>9507</v>
      </c>
      <c r="F35" s="45"/>
      <c r="G35" s="45"/>
      <c r="H35" s="42"/>
      <c r="I35" s="5"/>
      <c r="J35" s="5"/>
      <c r="K35" s="5"/>
      <c r="L35" s="5"/>
      <c r="M35" s="5"/>
      <c r="N35" s="5"/>
      <c r="O35" s="5"/>
      <c r="P35" s="5"/>
      <c r="Q35" s="5"/>
      <c r="R35" s="5"/>
      <c r="S35" s="5"/>
      <c r="T35" s="5"/>
      <c r="U35" s="5"/>
      <c r="V35" s="5"/>
      <c r="W35" s="5"/>
      <c r="X35" s="5"/>
      <c r="Y35" s="5"/>
      <c r="Z35" s="5"/>
    </row>
    <row r="36" customFormat="false" ht="15.75" hidden="false" customHeight="true" outlineLevel="0" collapsed="false">
      <c r="A36" s="43"/>
      <c r="B36" s="43"/>
      <c r="C36" s="30" t="s">
        <v>9506</v>
      </c>
      <c r="D36" s="44"/>
      <c r="E36" s="23" t="s">
        <v>9507</v>
      </c>
      <c r="F36" s="45"/>
      <c r="G36" s="45"/>
      <c r="H36" s="42"/>
      <c r="I36" s="5"/>
      <c r="J36" s="5"/>
      <c r="K36" s="5"/>
      <c r="L36" s="5"/>
      <c r="M36" s="5"/>
      <c r="N36" s="5"/>
      <c r="O36" s="5"/>
      <c r="P36" s="5"/>
      <c r="Q36" s="5"/>
      <c r="R36" s="5"/>
      <c r="S36" s="5"/>
      <c r="T36" s="5"/>
      <c r="U36" s="5"/>
      <c r="V36" s="5"/>
      <c r="W36" s="5"/>
      <c r="X36" s="5"/>
      <c r="Y36" s="5"/>
      <c r="Z36" s="5"/>
    </row>
    <row r="37" customFormat="false" ht="15.75" hidden="false" customHeight="true" outlineLevel="0" collapsed="false">
      <c r="A37" s="43"/>
      <c r="B37" s="43"/>
      <c r="C37" s="30" t="s">
        <v>9506</v>
      </c>
      <c r="D37" s="44"/>
      <c r="E37" s="23" t="s">
        <v>9507</v>
      </c>
      <c r="F37" s="46"/>
      <c r="G37" s="46"/>
      <c r="H37" s="42"/>
      <c r="I37" s="5"/>
      <c r="J37" s="5"/>
      <c r="K37" s="5"/>
      <c r="L37" s="5"/>
      <c r="M37" s="5"/>
      <c r="N37" s="5"/>
      <c r="O37" s="5"/>
      <c r="P37" s="5"/>
      <c r="Q37" s="5"/>
      <c r="R37" s="5"/>
      <c r="S37" s="5"/>
      <c r="T37" s="5"/>
      <c r="U37" s="5"/>
      <c r="V37" s="5"/>
      <c r="W37" s="5"/>
      <c r="X37" s="5"/>
      <c r="Y37" s="5"/>
      <c r="Z37" s="5"/>
    </row>
    <row r="38" customFormat="false" ht="15.75" hidden="false" customHeight="true" outlineLevel="0" collapsed="false">
      <c r="A38" s="43"/>
      <c r="B38" s="43"/>
      <c r="C38" s="30" t="s">
        <v>9506</v>
      </c>
      <c r="D38" s="44"/>
      <c r="E38" s="23" t="s">
        <v>9507</v>
      </c>
      <c r="F38" s="46"/>
      <c r="G38" s="46"/>
      <c r="H38" s="42"/>
      <c r="I38" s="5"/>
      <c r="J38" s="5"/>
      <c r="K38" s="5"/>
      <c r="L38" s="5"/>
      <c r="M38" s="5"/>
      <c r="N38" s="5"/>
      <c r="O38" s="5"/>
      <c r="P38" s="5"/>
      <c r="Q38" s="5"/>
      <c r="R38" s="5"/>
      <c r="S38" s="5"/>
      <c r="T38" s="5"/>
      <c r="U38" s="5"/>
      <c r="V38" s="5"/>
      <c r="W38" s="5"/>
      <c r="X38" s="5"/>
      <c r="Y38" s="5"/>
      <c r="Z38" s="5"/>
    </row>
    <row r="39" customFormat="false" ht="15.75" hidden="false" customHeight="true" outlineLevel="0" collapsed="false">
      <c r="A39" s="43"/>
      <c r="B39" s="43"/>
      <c r="C39" s="30" t="s">
        <v>9506</v>
      </c>
      <c r="D39" s="44"/>
      <c r="E39" s="23" t="s">
        <v>9507</v>
      </c>
      <c r="F39" s="46"/>
      <c r="G39" s="46"/>
      <c r="H39" s="42"/>
      <c r="I39" s="5"/>
      <c r="J39" s="5"/>
      <c r="K39" s="5"/>
      <c r="L39" s="5"/>
      <c r="M39" s="5"/>
      <c r="N39" s="5"/>
      <c r="O39" s="5"/>
      <c r="P39" s="5"/>
      <c r="Q39" s="5"/>
      <c r="R39" s="5"/>
      <c r="S39" s="5"/>
      <c r="T39" s="5"/>
      <c r="U39" s="5"/>
      <c r="V39" s="5"/>
      <c r="W39" s="5"/>
      <c r="X39" s="5"/>
      <c r="Y39" s="5"/>
      <c r="Z39" s="5"/>
    </row>
    <row r="40" customFormat="false" ht="15.75" hidden="false" customHeight="true" outlineLevel="0" collapsed="false">
      <c r="A40" s="43"/>
      <c r="B40" s="43"/>
      <c r="C40" s="30" t="s">
        <v>9506</v>
      </c>
      <c r="D40" s="44"/>
      <c r="E40" s="23" t="s">
        <v>9507</v>
      </c>
      <c r="F40" s="46"/>
      <c r="G40" s="46"/>
      <c r="H40" s="42"/>
      <c r="I40" s="5"/>
      <c r="J40" s="5"/>
      <c r="K40" s="5"/>
      <c r="L40" s="5"/>
      <c r="M40" s="5"/>
      <c r="N40" s="5"/>
      <c r="O40" s="5"/>
      <c r="P40" s="5"/>
      <c r="Q40" s="5"/>
      <c r="R40" s="5"/>
      <c r="S40" s="5"/>
      <c r="T40" s="5"/>
      <c r="U40" s="5"/>
      <c r="V40" s="5"/>
      <c r="W40" s="5"/>
      <c r="X40" s="5"/>
      <c r="Y40" s="5"/>
      <c r="Z40" s="5"/>
    </row>
    <row r="41" customFormat="false" ht="15.75" hidden="false" customHeight="true" outlineLevel="0" collapsed="false">
      <c r="A41" s="43"/>
      <c r="B41" s="43"/>
      <c r="C41" s="30" t="s">
        <v>9506</v>
      </c>
      <c r="D41" s="44"/>
      <c r="E41" s="23" t="s">
        <v>9507</v>
      </c>
      <c r="F41" s="46"/>
      <c r="G41" s="46"/>
      <c r="H41" s="42"/>
      <c r="I41" s="5"/>
      <c r="J41" s="5"/>
      <c r="K41" s="5"/>
      <c r="L41" s="5"/>
      <c r="M41" s="5"/>
      <c r="N41" s="5"/>
      <c r="O41" s="5"/>
      <c r="P41" s="5"/>
      <c r="Q41" s="5"/>
      <c r="R41" s="5"/>
      <c r="S41" s="5"/>
      <c r="T41" s="5"/>
      <c r="U41" s="5"/>
      <c r="V41" s="5"/>
      <c r="W41" s="5"/>
      <c r="X41" s="5"/>
      <c r="Y41" s="5"/>
      <c r="Z41" s="5"/>
    </row>
    <row r="42" customFormat="false" ht="15.75" hidden="false" customHeight="true" outlineLevel="0" collapsed="false">
      <c r="A42" s="43"/>
      <c r="B42" s="43"/>
      <c r="C42" s="30" t="s">
        <v>9506</v>
      </c>
      <c r="D42" s="44"/>
      <c r="E42" s="23" t="s">
        <v>9507</v>
      </c>
      <c r="F42" s="46"/>
      <c r="G42" s="46"/>
      <c r="H42" s="42"/>
      <c r="I42" s="5"/>
      <c r="J42" s="5"/>
      <c r="K42" s="5"/>
      <c r="L42" s="5"/>
      <c r="M42" s="5"/>
      <c r="N42" s="5"/>
      <c r="O42" s="5"/>
      <c r="P42" s="5"/>
      <c r="Q42" s="5"/>
      <c r="R42" s="5"/>
      <c r="S42" s="5"/>
      <c r="T42" s="5"/>
      <c r="U42" s="5"/>
      <c r="V42" s="5"/>
      <c r="W42" s="5"/>
      <c r="X42" s="5"/>
      <c r="Y42" s="5"/>
      <c r="Z42" s="5"/>
    </row>
    <row r="43" customFormat="false" ht="15.75" hidden="false" customHeight="true" outlineLevel="0" collapsed="false">
      <c r="A43" s="47" t="s">
        <v>9509</v>
      </c>
      <c r="B43" s="47"/>
      <c r="C43" s="47"/>
      <c r="D43" s="47"/>
      <c r="E43" s="47"/>
      <c r="F43" s="47"/>
      <c r="G43" s="47"/>
      <c r="H43" s="47"/>
      <c r="I43" s="5"/>
      <c r="J43" s="5"/>
      <c r="K43" s="5"/>
      <c r="L43" s="5"/>
      <c r="M43" s="5"/>
      <c r="N43" s="5"/>
      <c r="O43" s="5"/>
      <c r="P43" s="5"/>
      <c r="Q43" s="5"/>
      <c r="R43" s="5"/>
      <c r="S43" s="5"/>
      <c r="T43" s="5"/>
      <c r="U43" s="5"/>
      <c r="V43" s="5"/>
      <c r="W43" s="5"/>
      <c r="X43" s="5"/>
      <c r="Y43" s="5"/>
      <c r="Z43" s="5"/>
    </row>
    <row r="44" customFormat="false" ht="15.75" hidden="false" customHeight="true" outlineLevel="0" collapsed="false">
      <c r="A44" s="48" t="s">
        <v>9510</v>
      </c>
      <c r="B44" s="48"/>
      <c r="C44" s="48"/>
      <c r="D44" s="48"/>
      <c r="E44" s="48"/>
      <c r="F44" s="48"/>
      <c r="G44" s="48"/>
      <c r="H44" s="48"/>
      <c r="I44" s="5"/>
      <c r="J44" s="5"/>
      <c r="K44" s="5"/>
      <c r="L44" s="5"/>
      <c r="M44" s="5"/>
      <c r="N44" s="5"/>
      <c r="O44" s="5"/>
      <c r="P44" s="5"/>
      <c r="Q44" s="5"/>
      <c r="R44" s="5"/>
      <c r="S44" s="5"/>
      <c r="T44" s="5"/>
      <c r="U44" s="5"/>
      <c r="V44" s="5"/>
      <c r="W44" s="5"/>
      <c r="X44" s="5"/>
      <c r="Y44" s="5"/>
      <c r="Z44" s="5"/>
    </row>
    <row r="45" customFormat="false" ht="15.75" hidden="false" customHeight="true" outlineLevel="0" collapsed="false">
      <c r="A45" s="14" t="s">
        <v>9511</v>
      </c>
      <c r="B45" s="14"/>
      <c r="C45" s="14"/>
      <c r="D45" s="38" t="s">
        <v>9512</v>
      </c>
      <c r="E45" s="38"/>
      <c r="F45" s="38"/>
      <c r="G45" s="38"/>
      <c r="H45" s="38"/>
      <c r="I45" s="5"/>
      <c r="J45" s="5"/>
      <c r="K45" s="5"/>
      <c r="L45" s="5"/>
      <c r="M45" s="5"/>
      <c r="N45" s="5"/>
      <c r="O45" s="5"/>
      <c r="P45" s="5"/>
      <c r="Q45" s="5"/>
      <c r="R45" s="5"/>
      <c r="S45" s="5"/>
      <c r="T45" s="5"/>
      <c r="U45" s="5"/>
      <c r="V45" s="5"/>
      <c r="W45" s="5"/>
      <c r="X45" s="5"/>
      <c r="Y45" s="5"/>
      <c r="Z45" s="5"/>
    </row>
    <row r="46" customFormat="false" ht="15.75" hidden="false" customHeight="true" outlineLevel="0" collapsed="false">
      <c r="A46" s="49" t="s">
        <v>9513</v>
      </c>
      <c r="B46" s="50"/>
      <c r="C46" s="50"/>
      <c r="D46" s="51" t="s">
        <v>9514</v>
      </c>
      <c r="E46" s="52"/>
      <c r="F46" s="52"/>
      <c r="G46" s="52"/>
      <c r="H46" s="52"/>
      <c r="I46" s="5"/>
      <c r="J46" s="5"/>
      <c r="K46" s="5"/>
      <c r="L46" s="5"/>
      <c r="M46" s="5"/>
      <c r="N46" s="5"/>
      <c r="O46" s="5"/>
      <c r="P46" s="5"/>
      <c r="Q46" s="5"/>
      <c r="R46" s="5"/>
      <c r="S46" s="5"/>
      <c r="T46" s="5"/>
      <c r="U46" s="5"/>
      <c r="V46" s="5"/>
      <c r="W46" s="5"/>
      <c r="X46" s="5"/>
      <c r="Y46" s="5"/>
      <c r="Z46" s="5"/>
    </row>
    <row r="47" customFormat="false" ht="15.75" hidden="false" customHeight="true" outlineLevel="0" collapsed="false">
      <c r="A47" s="49" t="s">
        <v>9481</v>
      </c>
      <c r="B47" s="50"/>
      <c r="C47" s="50"/>
      <c r="D47" s="53" t="s">
        <v>9515</v>
      </c>
      <c r="E47" s="52"/>
      <c r="F47" s="52"/>
      <c r="G47" s="52"/>
      <c r="H47" s="52"/>
      <c r="I47" s="5"/>
      <c r="J47" s="5"/>
      <c r="K47" s="5"/>
      <c r="L47" s="5"/>
      <c r="M47" s="5"/>
      <c r="N47" s="5"/>
      <c r="O47" s="5"/>
      <c r="P47" s="5"/>
      <c r="Q47" s="5"/>
      <c r="R47" s="5"/>
      <c r="S47" s="5"/>
      <c r="T47" s="5"/>
      <c r="U47" s="5"/>
      <c r="V47" s="5"/>
      <c r="W47" s="5"/>
      <c r="X47" s="5"/>
      <c r="Y47" s="5"/>
      <c r="Z47" s="5"/>
    </row>
    <row r="48" customFormat="false" ht="15.75" hidden="false" customHeight="true" outlineLevel="0" collapsed="false">
      <c r="A48" s="54" t="s">
        <v>9516</v>
      </c>
      <c r="B48" s="54"/>
      <c r="C48" s="54"/>
      <c r="D48" s="53" t="s">
        <v>9517</v>
      </c>
      <c r="E48" s="52"/>
      <c r="F48" s="52"/>
      <c r="G48" s="52"/>
      <c r="H48" s="52"/>
      <c r="I48" s="5"/>
      <c r="J48" s="5"/>
      <c r="K48" s="5"/>
      <c r="L48" s="5"/>
      <c r="M48" s="5"/>
      <c r="N48" s="5"/>
      <c r="O48" s="5"/>
      <c r="P48" s="5"/>
      <c r="Q48" s="5"/>
      <c r="R48" s="5"/>
      <c r="S48" s="5"/>
      <c r="T48" s="5"/>
      <c r="U48" s="5"/>
      <c r="V48" s="5"/>
      <c r="W48" s="5"/>
      <c r="X48" s="5"/>
      <c r="Y48" s="5"/>
      <c r="Z48" s="5"/>
    </row>
    <row r="49" customFormat="false" ht="15.75" hidden="false" customHeight="true" outlineLevel="0" collapsed="false">
      <c r="A49" s="49" t="s">
        <v>9517</v>
      </c>
      <c r="B49" s="55"/>
      <c r="C49" s="55"/>
      <c r="D49" s="53" t="s">
        <v>9518</v>
      </c>
      <c r="E49" s="52"/>
      <c r="F49" s="52"/>
      <c r="G49" s="52"/>
      <c r="H49" s="52"/>
      <c r="I49" s="5"/>
      <c r="J49" s="5"/>
      <c r="K49" s="5"/>
      <c r="L49" s="5"/>
      <c r="M49" s="5"/>
      <c r="N49" s="5"/>
      <c r="O49" s="5"/>
      <c r="P49" s="5"/>
      <c r="Q49" s="5"/>
      <c r="R49" s="5"/>
      <c r="S49" s="5"/>
      <c r="T49" s="5"/>
      <c r="U49" s="5"/>
      <c r="V49" s="5"/>
      <c r="W49" s="5"/>
      <c r="X49" s="5"/>
      <c r="Y49" s="5"/>
      <c r="Z49" s="5"/>
    </row>
    <row r="50" customFormat="false" ht="15.75" hidden="false" customHeight="true" outlineLevel="0" collapsed="false">
      <c r="A50" s="49" t="s">
        <v>9519</v>
      </c>
      <c r="B50" s="55"/>
      <c r="C50" s="55"/>
      <c r="D50" s="49" t="s">
        <v>9520</v>
      </c>
      <c r="E50" s="52"/>
      <c r="F50" s="52"/>
      <c r="G50" s="52"/>
      <c r="H50" s="52"/>
      <c r="I50" s="5"/>
      <c r="J50" s="5"/>
      <c r="K50" s="5"/>
      <c r="L50" s="5"/>
      <c r="M50" s="5"/>
      <c r="N50" s="5"/>
      <c r="O50" s="5"/>
      <c r="P50" s="5"/>
      <c r="Q50" s="5"/>
      <c r="R50" s="5"/>
      <c r="S50" s="5"/>
      <c r="T50" s="5"/>
      <c r="U50" s="5"/>
      <c r="V50" s="5"/>
      <c r="W50" s="5"/>
      <c r="X50" s="5"/>
      <c r="Y50" s="5"/>
      <c r="Z50" s="5"/>
    </row>
    <row r="51" customFormat="false" ht="15.75" hidden="false" customHeight="true" outlineLevel="0" collapsed="false">
      <c r="A51" s="49" t="s">
        <v>9521</v>
      </c>
      <c r="B51" s="56"/>
      <c r="C51" s="56"/>
      <c r="D51" s="57" t="s">
        <v>9522</v>
      </c>
      <c r="E51" s="57"/>
      <c r="F51" s="57"/>
      <c r="G51" s="57"/>
      <c r="H51" s="57"/>
      <c r="I51" s="5"/>
      <c r="J51" s="5"/>
      <c r="K51" s="5"/>
      <c r="L51" s="5"/>
      <c r="M51" s="5"/>
      <c r="N51" s="5"/>
      <c r="O51" s="5"/>
      <c r="P51" s="5"/>
      <c r="Q51" s="5"/>
      <c r="R51" s="5"/>
      <c r="S51" s="5"/>
      <c r="T51" s="5"/>
      <c r="U51" s="5"/>
      <c r="V51" s="5"/>
      <c r="W51" s="5"/>
      <c r="X51" s="5"/>
      <c r="Y51" s="5"/>
      <c r="Z51" s="5"/>
    </row>
    <row r="52" customFormat="false" ht="15.75" hidden="false" customHeight="true" outlineLevel="0" collapsed="false">
      <c r="A52" s="58" t="s">
        <v>9523</v>
      </c>
      <c r="B52" s="58"/>
      <c r="C52" s="58"/>
      <c r="D52" s="59" t="s">
        <v>9517</v>
      </c>
      <c r="E52" s="52"/>
      <c r="F52" s="52"/>
      <c r="G52" s="52"/>
      <c r="H52" s="52"/>
      <c r="I52" s="5"/>
      <c r="J52" s="5"/>
      <c r="K52" s="5"/>
      <c r="L52" s="5"/>
      <c r="M52" s="5"/>
      <c r="N52" s="5"/>
      <c r="O52" s="5"/>
      <c r="P52" s="5"/>
      <c r="Q52" s="5"/>
      <c r="R52" s="5"/>
      <c r="S52" s="5"/>
      <c r="T52" s="5"/>
      <c r="U52" s="5"/>
      <c r="V52" s="5"/>
      <c r="W52" s="5"/>
      <c r="X52" s="5"/>
      <c r="Y52" s="5"/>
      <c r="Z52" s="5"/>
    </row>
    <row r="53" customFormat="false" ht="15.75" hidden="false" customHeight="true" outlineLevel="0" collapsed="false">
      <c r="A53" s="49" t="s">
        <v>9519</v>
      </c>
      <c r="B53" s="60"/>
      <c r="C53" s="60"/>
      <c r="D53" s="53" t="s">
        <v>9524</v>
      </c>
      <c r="E53" s="52"/>
      <c r="F53" s="52"/>
      <c r="G53" s="52"/>
      <c r="H53" s="52"/>
      <c r="I53" s="5"/>
      <c r="J53" s="5"/>
      <c r="K53" s="5"/>
      <c r="L53" s="5"/>
      <c r="M53" s="5"/>
      <c r="N53" s="5"/>
      <c r="O53" s="5"/>
      <c r="P53" s="5"/>
      <c r="Q53" s="5"/>
      <c r="R53" s="5"/>
      <c r="S53" s="5"/>
      <c r="T53" s="5"/>
      <c r="U53" s="5"/>
      <c r="V53" s="5"/>
      <c r="W53" s="5"/>
      <c r="X53" s="5"/>
      <c r="Y53" s="5"/>
      <c r="Z53" s="5"/>
    </row>
    <row r="54" customFormat="false" ht="15.75" hidden="false" customHeight="true" outlineLevel="0" collapsed="false">
      <c r="A54" s="49" t="s">
        <v>9525</v>
      </c>
      <c r="B54" s="60"/>
      <c r="C54" s="60"/>
      <c r="D54" s="53" t="s">
        <v>9520</v>
      </c>
      <c r="E54" s="52"/>
      <c r="F54" s="52"/>
      <c r="G54" s="52"/>
      <c r="H54" s="52"/>
      <c r="I54" s="5"/>
      <c r="J54" s="5"/>
      <c r="K54" s="5"/>
      <c r="L54" s="5"/>
      <c r="M54" s="5"/>
      <c r="N54" s="5"/>
      <c r="O54" s="5"/>
      <c r="P54" s="5"/>
      <c r="Q54" s="5"/>
      <c r="R54" s="5"/>
      <c r="S54" s="5"/>
      <c r="T54" s="5"/>
      <c r="U54" s="5"/>
      <c r="V54" s="5"/>
      <c r="W54" s="5"/>
      <c r="X54" s="5"/>
      <c r="Y54" s="5"/>
      <c r="Z54" s="5"/>
    </row>
    <row r="55" customFormat="false" ht="15.75" hidden="false" customHeight="true" outlineLevel="0" collapsed="false">
      <c r="A55" s="14" t="s">
        <v>9526</v>
      </c>
      <c r="B55" s="17" t="s">
        <v>9527</v>
      </c>
      <c r="C55" s="17"/>
      <c r="D55" s="57" t="s">
        <v>9528</v>
      </c>
      <c r="E55" s="17" t="s">
        <v>9529</v>
      </c>
      <c r="F55" s="17" t="s">
        <v>9530</v>
      </c>
      <c r="G55" s="17"/>
      <c r="H55" s="17"/>
      <c r="I55" s="5"/>
      <c r="J55" s="5"/>
      <c r="K55" s="5"/>
      <c r="L55" s="5"/>
      <c r="M55" s="5"/>
      <c r="N55" s="5"/>
      <c r="O55" s="5"/>
      <c r="P55" s="5"/>
      <c r="Q55" s="5"/>
      <c r="R55" s="5"/>
      <c r="S55" s="5"/>
      <c r="T55" s="5"/>
      <c r="U55" s="5"/>
      <c r="V55" s="5"/>
      <c r="W55" s="5"/>
      <c r="X55" s="5"/>
      <c r="Y55" s="5"/>
      <c r="Z55" s="5"/>
    </row>
    <row r="56" customFormat="false" ht="15.75" hidden="false" customHeight="true" outlineLevel="0" collapsed="false">
      <c r="A56" s="61"/>
      <c r="B56" s="62"/>
      <c r="C56" s="62"/>
      <c r="D56" s="63"/>
      <c r="E56" s="64"/>
      <c r="F56" s="64"/>
      <c r="G56" s="64"/>
      <c r="H56" s="64"/>
      <c r="I56" s="5"/>
      <c r="J56" s="5"/>
      <c r="K56" s="5"/>
      <c r="L56" s="5"/>
      <c r="M56" s="5"/>
      <c r="N56" s="5"/>
      <c r="O56" s="5"/>
      <c r="P56" s="5"/>
      <c r="Q56" s="5"/>
      <c r="R56" s="5"/>
      <c r="S56" s="5"/>
      <c r="T56" s="5"/>
      <c r="U56" s="5"/>
      <c r="V56" s="5"/>
      <c r="W56" s="5"/>
      <c r="X56" s="5"/>
      <c r="Y56" s="5"/>
      <c r="Z56" s="5"/>
    </row>
    <row r="57" customFormat="false" ht="15.75" hidden="false" customHeight="tru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row>
    <row r="58" customFormat="false" ht="15.75" hidden="false" customHeight="tru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row>
    <row r="59" customFormat="false" ht="15.75" hidden="false" customHeight="tru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row>
    <row r="60" customFormat="false" ht="15.75" hidden="false" customHeight="tru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row>
    <row r="61" customFormat="false" ht="15.75" hidden="false" customHeight="tru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row>
    <row r="62" customFormat="false" ht="15.75" hidden="false" customHeight="tru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row>
    <row r="63" customFormat="false" ht="15.75" hidden="false" customHeight="tru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row>
    <row r="64" customFormat="false" ht="15.75" hidden="false" customHeight="tru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row>
    <row r="65" customFormat="false" ht="15.75" hidden="false" customHeight="tru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row>
    <row r="66" customFormat="false" ht="15.75" hidden="false" customHeight="tru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row>
    <row r="67" customFormat="false" ht="15.75" hidden="false" customHeight="tru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row>
    <row r="68" customFormat="false" ht="15.75" hidden="false" customHeight="tru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row>
    <row r="69" customFormat="false" ht="15.75" hidden="false" customHeight="tru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row>
    <row r="70" customFormat="false" ht="15.75" hidden="false" customHeight="tru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row>
    <row r="71" customFormat="false" ht="15.75" hidden="false" customHeight="tru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5.75" hidden="false" customHeight="tru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5.75" hidden="false" customHeight="tru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5.75" hidden="false" customHeight="tru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5.75" hidden="false" customHeight="tru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5.75" hidden="false" customHeight="tru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5.75" hidden="false" customHeight="tru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5.75" hidden="false" customHeight="tru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5.75" hidden="false" customHeight="tru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5.75" hidden="false" customHeight="tru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5.75" hidden="false" customHeight="tru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5.75" hidden="false" customHeight="tru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5.75" hidden="false" customHeight="tru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5.75" hidden="false" customHeight="tru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5.75" hidden="false" customHeight="tru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5.75" hidden="false" customHeight="tru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5.75" hidden="false" customHeight="tru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5.75" hidden="false" customHeight="tru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5.75" hidden="false" customHeight="tru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5.75" hidden="false" customHeight="tru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5.75" hidden="false" customHeight="tru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5.75" hidden="false" customHeight="tru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5.75" hidden="false" customHeight="tru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5.75" hidden="false" customHeight="tru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5.75" hidden="false" customHeight="tru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5.75" hidden="false" customHeight="tru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5.75" hidden="false" customHeight="tru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5.75" hidden="false" customHeight="tru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5.75" hidden="false" customHeight="tru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5.75" hidden="false" customHeight="tru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5.75" hidden="false" customHeight="tru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5.75" hidden="false" customHeight="tru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5.75" hidden="false" customHeight="tru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5.75" hidden="false" customHeight="tru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5.75" hidden="false" customHeight="tru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5.75" hidden="false" customHeight="tru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5.75" hidden="false" customHeight="tru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5.75" hidden="false" customHeight="tru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5.75" hidden="false" customHeight="tru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5.75" hidden="false" customHeight="tru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5.75" hidden="false" customHeight="tru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5.75" hidden="false" customHeight="tru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5.75" hidden="false" customHeight="tru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5.75" hidden="false" customHeight="tru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5.75" hidden="false" customHeight="tru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5.75" hidden="false" customHeight="tru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5.75" hidden="false" customHeight="tru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5.75" hidden="false" customHeight="tru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5.75" hidden="false" customHeight="tru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5.75" hidden="false" customHeight="tru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5.75" hidden="false" customHeight="tru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5.75" hidden="false" customHeight="tru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5.75" hidden="false" customHeight="tru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5.75" hidden="false" customHeight="tru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5.75" hidden="false" customHeight="tru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5.75" hidden="false" customHeight="tru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5.75" hidden="false" customHeight="tru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5.75" hidden="false" customHeight="tru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5.75" hidden="false" customHeight="tru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5.75" hidden="false" customHeight="tru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5.75" hidden="false" customHeight="tru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5.75" hidden="false" customHeight="tru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5.75" hidden="false" customHeight="tru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5.75" hidden="false" customHeight="tru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5.75" hidden="false" customHeight="tru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5.75" hidden="false" customHeight="tru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5.75" hidden="false" customHeight="tru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5.75" hidden="false" customHeight="tru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5.75" hidden="false" customHeight="tru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5.75" hidden="false" customHeight="tru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5.75" hidden="false" customHeight="tru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5.75" hidden="false" customHeight="tru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5.75" hidden="false" customHeight="tru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5.75" hidden="false" customHeight="tru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5.75" hidden="false" customHeight="tru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5.75" hidden="false" customHeight="tru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5.75" hidden="false" customHeight="tru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5.75" hidden="false" customHeight="tru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5.75" hidden="false" customHeight="tru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5.75" hidden="false" customHeight="tru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5.75" hidden="false" customHeight="tru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5.75" hidden="false" customHeight="tru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5.75" hidden="false" customHeight="tru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5.75" hidden="false" customHeight="tru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5.75" hidden="false" customHeight="tru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5.75" hidden="false" customHeight="tru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5.75" hidden="false" customHeight="tru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5.75" hidden="false" customHeight="tru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5.75" hidden="false" customHeight="tru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5.75" hidden="false" customHeight="tru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5.75" hidden="false" customHeight="tru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5.75" hidden="false" customHeight="tru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5.75" hidden="false" customHeight="tru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5.75" hidden="false" customHeight="tru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5.75" hidden="false" customHeight="tru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5.75" hidden="false" customHeight="tru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5.75" hidden="false" customHeight="tru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5.75" hidden="false" customHeight="tru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5.75" hidden="false" customHeight="tru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5.75" hidden="false" customHeight="tru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5.75" hidden="false" customHeight="tru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5.75" hidden="false" customHeight="tru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5.75" hidden="false" customHeight="tru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5.75" hidden="false" customHeight="tru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5.75" hidden="false" customHeight="tru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5.75" hidden="false" customHeight="tru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5.75" hidden="false" customHeight="tru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5.75" hidden="false" customHeight="tru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5.75" hidden="false" customHeight="tru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5.75" hidden="false" customHeight="tru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5.75" hidden="false" customHeight="tru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5.75" hidden="false" customHeight="tru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5.75" hidden="false" customHeight="tru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5.75" hidden="false" customHeight="tru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5.75" hidden="false" customHeight="tru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5.75" hidden="false" customHeight="tru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5.75" hidden="false" customHeight="tru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5.75" hidden="false" customHeight="tru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5.75" hidden="false" customHeight="tru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5.75" hidden="false" customHeight="tru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5.75" hidden="false" customHeight="tru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5.75" hidden="false" customHeight="tru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5.75" hidden="false" customHeight="tru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5.75" hidden="false" customHeight="tru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5.75" hidden="false" customHeight="tru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5.75" hidden="false" customHeight="tru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5.75" hidden="false" customHeight="tru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5.75" hidden="false" customHeight="tru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5.75" hidden="false" customHeight="tru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5.75" hidden="false" customHeight="tru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5.75" hidden="false" customHeight="tru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5.75" hidden="false" customHeight="tru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5.75" hidden="false" customHeight="tru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5.75" hidden="false" customHeight="tru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5.75" hidden="false" customHeight="tru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5.75" hidden="false" customHeight="tru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5.75" hidden="false" customHeight="tru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5.75" hidden="false" customHeight="tru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5.75" hidden="false" customHeight="tru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5.75" hidden="false" customHeight="tru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5.75" hidden="false" customHeight="tru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5.75" hidden="false" customHeight="tru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5.75" hidden="false" customHeight="tru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5.75" hidden="false" customHeight="tru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5.75" hidden="false" customHeight="tru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5.75" hidden="false" customHeight="tru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5.75" hidden="false" customHeight="tru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5.75" hidden="false" customHeight="tru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5.75" hidden="false" customHeight="tru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5.75" hidden="false" customHeight="tru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5.75" hidden="false" customHeight="tru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5.75" hidden="false" customHeight="tru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5.75" hidden="false" customHeight="tru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5.75" hidden="false" customHeight="tru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5.75" hidden="false" customHeight="tru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5.75" hidden="false" customHeight="tru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5.75" hidden="false" customHeight="tru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5.75" hidden="false" customHeight="tru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5.75" hidden="false" customHeight="tru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5.75" hidden="false" customHeight="tru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5.75" hidden="false" customHeight="tru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5.75" hidden="false" customHeight="tru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5.75" hidden="false" customHeight="tru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5.75" hidden="false" customHeight="tru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5.75" hidden="false" customHeight="tru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5.75" hidden="false" customHeight="tru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5.75" hidden="false" customHeight="tru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5.75" hidden="false" customHeight="tru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5.75" hidden="false" customHeight="tru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5.75" hidden="false" customHeight="tru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5.75" hidden="false" customHeight="tru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5.75" hidden="false" customHeight="tru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5.75" hidden="false" customHeight="tru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5.75" hidden="false" customHeight="tru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5.75" hidden="false" customHeight="tru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5.75" hidden="false" customHeight="tru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5.75" hidden="false" customHeight="tru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5.75" hidden="false" customHeight="tru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5.75" hidden="false" customHeight="tru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5.75" hidden="false" customHeight="tru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5.75" hidden="false" customHeight="tru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5.75" hidden="false" customHeight="tru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5.75" hidden="false" customHeight="tru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5.75" hidden="false" customHeight="tru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5.75" hidden="false" customHeight="tru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5.75" hidden="false" customHeight="tru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5.75" hidden="false" customHeight="tru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5.75" hidden="false" customHeight="tru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5.75" hidden="false" customHeight="tru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5.75" hidden="false" customHeight="tru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5.75" hidden="false" customHeight="tru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5.75" hidden="false" customHeight="tru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5.75" hidden="false" customHeight="tru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5.75" hidden="false" customHeight="tru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5.75" hidden="false" customHeight="tru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5.75" hidden="false" customHeight="tru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5.75" hidden="false" customHeight="tru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5.75" hidden="false" customHeight="tru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5.75" hidden="false" customHeight="tru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5.75" hidden="false" customHeight="tru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5.75" hidden="false" customHeight="tru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ustomFormat="false" ht="15.75" hidden="false" customHeight="tru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ustomFormat="false" ht="15.75" hidden="false" customHeight="tru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ustomFormat="false" ht="15.75" hidden="false" customHeight="tru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ustomFormat="false" ht="15.75" hidden="false" customHeight="tru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ustomFormat="false" ht="15.75" hidden="false" customHeight="tru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ustomFormat="false" ht="15.75" hidden="false" customHeight="tru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ustomFormat="false" ht="15.75" hidden="false" customHeight="tru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ustomFormat="false" ht="15.75" hidden="false" customHeight="tru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ustomFormat="false" ht="15.75" hidden="false" customHeight="tru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ustomFormat="false" ht="15.75" hidden="false" customHeight="tru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ustomFormat="false" ht="15.75" hidden="false" customHeight="tru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ustomFormat="false" ht="15.75" hidden="false" customHeight="tru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ustomFormat="false" ht="15.75" hidden="false" customHeight="tru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ustomFormat="false" ht="15.75" hidden="false" customHeight="tru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ustomFormat="false" ht="15.75" hidden="false" customHeight="tru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ustomFormat="false" ht="15.75" hidden="false" customHeight="tru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ustomFormat="false" ht="15.75" hidden="false" customHeight="tru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ustomFormat="false" ht="15.75" hidden="false" customHeight="tru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ustomFormat="false" ht="15.75" hidden="false" customHeight="tru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ustomFormat="false" ht="15.75" hidden="false" customHeight="tru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ustomFormat="false" ht="15.75" hidden="false" customHeight="tru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ustomFormat="false" ht="15.75" hidden="false" customHeight="tru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ustomFormat="false" ht="15.75" hidden="false" customHeight="tru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ustomFormat="false" ht="15.75" hidden="false" customHeight="tru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ustomFormat="false" ht="15.75" hidden="false" customHeight="tru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ustomFormat="false" ht="15.75" hidden="false" customHeight="tru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ustomFormat="false" ht="15.75" hidden="false" customHeight="tru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ustomFormat="false" ht="15.75" hidden="false" customHeight="tru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ustomFormat="false" ht="15.75" hidden="false" customHeight="tru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ustomFormat="false" ht="15.75" hidden="false" customHeight="tru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ustomFormat="false" ht="15.75" hidden="false" customHeight="tru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ustomFormat="false" ht="15.75" hidden="false" customHeight="tru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ustomFormat="false" ht="15.75" hidden="false" customHeight="tru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ustomFormat="false" ht="15.75" hidden="false" customHeight="tru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ustomFormat="false" ht="15.75" hidden="false" customHeight="tru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ustomFormat="false" ht="15.75" hidden="false" customHeight="tru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ustomFormat="false" ht="15.75" hidden="false" customHeight="tru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ustomFormat="false" ht="15.75" hidden="false" customHeight="tru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ustomFormat="false" ht="15.75" hidden="false" customHeight="tru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ustomFormat="false" ht="15.75" hidden="false" customHeight="tru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ustomFormat="false" ht="15.75" hidden="false" customHeight="tru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ustomFormat="false" ht="15.75" hidden="false" customHeight="tru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ustomFormat="false" ht="15.75" hidden="false" customHeight="tru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ustomFormat="false" ht="15.75" hidden="false" customHeight="tru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ustomFormat="false" ht="15.75" hidden="false" customHeight="tru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ustomFormat="false" ht="15.75" hidden="false" customHeight="tru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ustomFormat="false" ht="15.75" hidden="false" customHeight="tru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ustomFormat="false" ht="15.75" hidden="false" customHeight="tru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ustomFormat="false" ht="15.75" hidden="false" customHeight="tru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ustomFormat="false" ht="15.75" hidden="false" customHeight="tru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ustomFormat="false" ht="15.75" hidden="false" customHeight="tru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ustomFormat="false" ht="15.75" hidden="false" customHeight="tru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ustomFormat="false" ht="15.75" hidden="false" customHeight="tru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ustomFormat="false" ht="15.75" hidden="false" customHeight="tru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ustomFormat="false" ht="15.75" hidden="false" customHeight="tru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ustomFormat="false" ht="15.75" hidden="false" customHeight="tru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ustomFormat="false" ht="15.75" hidden="false" customHeight="tru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ustomFormat="false" ht="15.75" hidden="false" customHeight="tru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ustomFormat="false" ht="15.75" hidden="false" customHeight="tru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ustomFormat="false" ht="15.75" hidden="false" customHeight="tru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ustomFormat="false" ht="15.75" hidden="false" customHeight="tru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ustomFormat="false" ht="15.75" hidden="false" customHeight="tru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ustomFormat="false" ht="15.75" hidden="false" customHeight="tru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ustomFormat="false" ht="15.75" hidden="false" customHeight="tru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ustomFormat="false" ht="15.75" hidden="false" customHeight="tru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ustomFormat="false" ht="15.75" hidden="false" customHeight="tru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ustomFormat="false" ht="15.75" hidden="false" customHeight="tru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ustomFormat="false" ht="15.75" hidden="false" customHeight="tru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ustomFormat="false" ht="15.75" hidden="false" customHeight="tru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ustomFormat="false" ht="15.75" hidden="false" customHeight="tru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ustomFormat="false" ht="15.75" hidden="false" customHeight="tru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ustomFormat="false" ht="15.75" hidden="false" customHeight="tru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ustomFormat="false" ht="15.75" hidden="false" customHeight="tru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ustomFormat="false" ht="15.75" hidden="false" customHeight="tru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ustomFormat="false" ht="15.75" hidden="false" customHeight="tru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ustomFormat="false" ht="15.75" hidden="false" customHeight="tru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ustomFormat="false" ht="15.75" hidden="false" customHeight="tru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ustomFormat="false" ht="15.75" hidden="false" customHeight="tru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ustomFormat="false" ht="15.75" hidden="false" customHeight="tru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ustomFormat="false" ht="15.75" hidden="false" customHeight="tru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ustomFormat="false" ht="15.75" hidden="false" customHeight="tru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ustomFormat="false" ht="15.75" hidden="false" customHeight="tru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ustomFormat="false" ht="15.75" hidden="false" customHeight="tru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ustomFormat="false" ht="15.75" hidden="false" customHeight="tru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ustomFormat="false" ht="15.75" hidden="false" customHeight="tru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ustomFormat="false" ht="15.75" hidden="false" customHeight="tru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ustomFormat="false" ht="15.75" hidden="false" customHeight="tru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ustomFormat="false" ht="15.75" hidden="false" customHeight="tru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ustomFormat="false" ht="15.75" hidden="false" customHeight="tru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ustomFormat="false" ht="15.75" hidden="false" customHeight="tru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ustomFormat="false" ht="15.75" hidden="false" customHeight="tru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ustomFormat="false" ht="15.75" hidden="false" customHeight="tru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ustomFormat="false" ht="15.75" hidden="false" customHeight="tru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ustomFormat="false" ht="15.75" hidden="false" customHeight="tru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ustomFormat="false" ht="15.75" hidden="false" customHeight="tru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ustomFormat="false" ht="15.75" hidden="false" customHeight="tru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ustomFormat="false" ht="15.75" hidden="false" customHeight="tru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ustomFormat="false" ht="15.75" hidden="false" customHeight="tru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ustomFormat="false" ht="15.75" hidden="false" customHeight="tru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ustomFormat="false" ht="15.75" hidden="false" customHeight="tru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ustomFormat="false" ht="15.75" hidden="false" customHeight="tru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ustomFormat="false" ht="15.75" hidden="false" customHeight="tru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ustomFormat="false" ht="15.75" hidden="false" customHeight="tru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ustomFormat="false" ht="15.75" hidden="false" customHeight="tru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ustomFormat="false" ht="15.75" hidden="false" customHeight="tru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ustomFormat="false" ht="15.75" hidden="false" customHeight="tru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ustomFormat="false" ht="15.75" hidden="false" customHeight="tru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ustomFormat="false" ht="15.75" hidden="false" customHeight="tru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ustomFormat="false" ht="15.75" hidden="false" customHeight="tru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ustomFormat="false" ht="15.75" hidden="false" customHeight="tru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ustomFormat="false" ht="15.75" hidden="false" customHeight="tru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ustomFormat="false" ht="15.75" hidden="false" customHeight="tru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ustomFormat="false" ht="15.75" hidden="false" customHeight="tru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ustomFormat="false" ht="15.75" hidden="false" customHeight="tru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ustomFormat="false" ht="15.75" hidden="false" customHeight="tru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ustomFormat="false" ht="15.75" hidden="false" customHeight="tru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ustomFormat="false" ht="15.75" hidden="false" customHeight="tru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ustomFormat="false" ht="15.75" hidden="false" customHeight="tru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ustomFormat="false" ht="15.75" hidden="false" customHeight="tru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ustomFormat="false" ht="15.75" hidden="false" customHeight="tru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ustomFormat="false" ht="15.75" hidden="false" customHeight="tru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ustomFormat="false" ht="15.75" hidden="false" customHeight="tru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ustomFormat="false" ht="15.75" hidden="false" customHeight="tru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ustomFormat="false" ht="15.75" hidden="false" customHeight="tru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ustomFormat="false" ht="15.75" hidden="false" customHeight="tru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ustomFormat="false" ht="15.75" hidden="false" customHeight="tru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ustomFormat="false" ht="15.75" hidden="false" customHeight="tru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ustomFormat="false" ht="15.75" hidden="false" customHeight="tru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ustomFormat="false" ht="15.75" hidden="false" customHeight="tru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ustomFormat="false" ht="15.75" hidden="false" customHeight="tru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ustomFormat="false" ht="15.75" hidden="false" customHeight="tru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ustomFormat="false" ht="15.75" hidden="false" customHeight="tru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ustomFormat="false" ht="15.75" hidden="false" customHeight="tru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ustomFormat="false" ht="15.75" hidden="false" customHeight="tru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ustomFormat="false" ht="15.75" hidden="false" customHeight="tru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ustomFormat="false" ht="15.75" hidden="false" customHeight="tru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ustomFormat="false" ht="15.75" hidden="false" customHeight="tru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ustomFormat="false" ht="15.75" hidden="false" customHeight="tru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ustomFormat="false" ht="15.75" hidden="false" customHeight="tru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ustomFormat="false" ht="15.75" hidden="false" customHeight="tru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ustomFormat="false" ht="15.75" hidden="false" customHeight="tru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ustomFormat="false" ht="15.75" hidden="false" customHeight="tru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ustomFormat="false" ht="15.75" hidden="false" customHeight="tru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ustomFormat="false" ht="15.75" hidden="false" customHeight="tru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ustomFormat="false" ht="15.75" hidden="false" customHeight="tru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ustomFormat="false" ht="15.75" hidden="false" customHeight="tru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ustomFormat="false" ht="15.75" hidden="false" customHeight="tru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ustomFormat="false" ht="15.75" hidden="false" customHeight="tru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ustomFormat="false" ht="15.75" hidden="false" customHeight="tru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ustomFormat="false" ht="15.75" hidden="false" customHeight="tru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ustomFormat="false" ht="15.75" hidden="false" customHeight="tru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ustomFormat="false" ht="15.75" hidden="false" customHeight="tru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ustomFormat="false" ht="15.75" hidden="false" customHeight="tru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ustomFormat="false" ht="15.75" hidden="false" customHeight="tru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ustomFormat="false" ht="15.75" hidden="false" customHeight="tru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ustomFormat="false" ht="15.75" hidden="false" customHeight="tru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ustomFormat="false" ht="15.75" hidden="false" customHeight="tru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ustomFormat="false" ht="15.75" hidden="false" customHeight="tru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ustomFormat="false" ht="15.75" hidden="false" customHeight="tru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ustomFormat="false" ht="15.75" hidden="false" customHeight="tru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ustomFormat="false" ht="15.75" hidden="false" customHeight="tru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ustomFormat="false" ht="15.75" hidden="false" customHeight="tru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ustomFormat="false" ht="15.75" hidden="false" customHeight="tru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ustomFormat="false" ht="15.75" hidden="false" customHeight="tru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ustomFormat="false" ht="15.75" hidden="false" customHeight="tru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ustomFormat="false" ht="15.75" hidden="false" customHeight="tru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ustomFormat="false" ht="15.75" hidden="false" customHeight="tru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ustomFormat="false" ht="15.75" hidden="false" customHeight="tru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ustomFormat="false" ht="15.75" hidden="false" customHeight="tru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ustomFormat="false" ht="15.75" hidden="false" customHeight="tru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ustomFormat="false" ht="15.75" hidden="false" customHeight="tru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ustomFormat="false" ht="15.75" hidden="false" customHeight="tru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ustomFormat="false" ht="15.75" hidden="false" customHeight="tru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ustomFormat="false" ht="15.75" hidden="false" customHeight="tru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ustomFormat="false" ht="15.75" hidden="false" customHeight="tru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ustomFormat="false" ht="15.75" hidden="false" customHeight="tru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ustomFormat="false" ht="15.75" hidden="false" customHeight="tru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ustomFormat="false" ht="15.75" hidden="false" customHeight="tru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ustomFormat="false" ht="15.75" hidden="false" customHeight="tru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ustomFormat="false" ht="15.75" hidden="false" customHeight="tru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ustomFormat="false" ht="15.75" hidden="false" customHeight="tru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ustomFormat="false" ht="15.75" hidden="false" customHeight="tru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ustomFormat="false" ht="15.75" hidden="false" customHeight="tru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ustomFormat="false" ht="15.75" hidden="false" customHeight="tru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ustomFormat="false" ht="15.75" hidden="false" customHeight="tru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ustomFormat="false" ht="15.75" hidden="false" customHeight="tru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ustomFormat="false" ht="15.75" hidden="false" customHeight="tru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ustomFormat="false" ht="15.75" hidden="false" customHeight="tru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ustomFormat="false" ht="15.75" hidden="false" customHeight="tru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ustomFormat="false" ht="15.75" hidden="false" customHeight="tru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ustomFormat="false" ht="15.75" hidden="false" customHeight="tru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ustomFormat="false" ht="15.75" hidden="false" customHeight="tru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ustomFormat="false" ht="15.75" hidden="false" customHeight="tru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ustomFormat="false" ht="15.75" hidden="false" customHeight="tru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ustomFormat="false" ht="15.75" hidden="false" customHeight="tru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ustomFormat="false" ht="15.75" hidden="false" customHeight="tru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ustomFormat="false" ht="15.75" hidden="false" customHeight="tru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ustomFormat="false" ht="15.75" hidden="false" customHeight="tru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ustomFormat="false" ht="15.75" hidden="false" customHeight="tru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ustomFormat="false" ht="15.75" hidden="false" customHeight="tru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ustomFormat="false" ht="15.75" hidden="false" customHeight="tru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ustomFormat="false" ht="15.75" hidden="false" customHeight="tru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ustomFormat="false" ht="15.75" hidden="false" customHeight="tru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ustomFormat="false" ht="15.75" hidden="false" customHeight="tru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ustomFormat="false" ht="15.75" hidden="false" customHeight="tru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ustomFormat="false" ht="15.75" hidden="false" customHeight="tru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ustomFormat="false" ht="15.75" hidden="false" customHeight="tru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ustomFormat="false" ht="15.75" hidden="false" customHeight="tru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ustomFormat="false" ht="15.75" hidden="false" customHeight="tru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ustomFormat="false" ht="15.75" hidden="false" customHeight="tru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ustomFormat="false" ht="15.75" hidden="false" customHeight="tru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ustomFormat="false" ht="15.75" hidden="false" customHeight="tru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ustomFormat="false" ht="15.75" hidden="false" customHeight="tru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ustomFormat="false" ht="15.75" hidden="false" customHeight="tru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ustomFormat="false" ht="15.75" hidden="false" customHeight="tru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ustomFormat="false" ht="15.75" hidden="false" customHeight="tru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ustomFormat="false" ht="15.75" hidden="false" customHeight="tru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ustomFormat="false" ht="15.75" hidden="false" customHeight="tru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ustomFormat="false" ht="15.75" hidden="false" customHeight="tru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ustomFormat="false" ht="15.75" hidden="false" customHeight="tru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ustomFormat="false" ht="15.75" hidden="false" customHeight="tru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ustomFormat="false" ht="15.75" hidden="false" customHeight="tru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ustomFormat="false" ht="15.75" hidden="false" customHeight="tru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ustomFormat="false" ht="15.7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ustomFormat="false" ht="15.7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ustomFormat="false" ht="15.75" hidden="false" customHeight="tru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ustomFormat="false" ht="15.75" hidden="false" customHeight="tru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ustomFormat="false" ht="15.75" hidden="false" customHeight="tru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ustomFormat="false" ht="15.75" hidden="false" customHeight="tru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ustomFormat="false" ht="15.7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ustomFormat="false" ht="15.75" hidden="false" customHeight="tru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ustomFormat="false" ht="15.75" hidden="false" customHeight="tru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ustomFormat="false" ht="15.75" hidden="false" customHeight="tru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ustomFormat="false" ht="15.75" hidden="false" customHeight="tru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ustomFormat="false" ht="15.75" hidden="false" customHeight="tru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ustomFormat="false" ht="15.75" hidden="false" customHeight="tru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ustomFormat="false" ht="15.75" hidden="false" customHeight="tru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ustomFormat="false" ht="15.75" hidden="false" customHeight="tru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ustomFormat="false" ht="15.75" hidden="false" customHeight="tru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ustomFormat="false" ht="15.75" hidden="false" customHeight="tru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ustomFormat="false" ht="15.75" hidden="false" customHeight="tru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ustomFormat="false" ht="15.75" hidden="false" customHeight="tru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ustomFormat="false" ht="15.75" hidden="false" customHeight="tru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ustomFormat="false" ht="15.75" hidden="false" customHeight="tru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ustomFormat="false" ht="15.75" hidden="false" customHeight="tru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ustomFormat="false" ht="15.75" hidden="false" customHeight="tru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ustomFormat="false" ht="15.75" hidden="false" customHeight="tru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ustomFormat="false" ht="15.75" hidden="false" customHeight="tru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ustomFormat="false" ht="15.75" hidden="false" customHeight="tru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ustomFormat="false" ht="15.75" hidden="false" customHeight="tru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ustomFormat="false" ht="15.75" hidden="false" customHeight="tru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ustomFormat="false" ht="15.75" hidden="false" customHeight="tru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ustomFormat="false" ht="15.75" hidden="false" customHeight="tru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ustomFormat="false" ht="15.75" hidden="false" customHeight="tru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ustomFormat="false" ht="15.75" hidden="false" customHeight="tru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ustomFormat="false" ht="15.75" hidden="false" customHeight="tru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ustomFormat="false" ht="15.75" hidden="false" customHeight="tru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ustomFormat="false" ht="15.75" hidden="false" customHeight="tru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ustomFormat="false" ht="15.75" hidden="false" customHeight="tru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ustomFormat="false" ht="15.75" hidden="false" customHeight="tru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ustomFormat="false" ht="15.75" hidden="false" customHeight="tru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ustomFormat="false" ht="15.75" hidden="false" customHeight="tru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ustomFormat="false" ht="15.75" hidden="false" customHeight="tru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ustomFormat="false" ht="15.75" hidden="false" customHeight="tru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ustomFormat="false" ht="15.75" hidden="false" customHeight="tru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ustomFormat="false" ht="15.75" hidden="false" customHeight="tru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ustomFormat="false" ht="15.75" hidden="false" customHeight="tru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ustomFormat="false" ht="15.75" hidden="false" customHeight="tru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ustomFormat="false" ht="15.75" hidden="false" customHeight="tru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ustomFormat="false" ht="15.75" hidden="false" customHeight="tru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ustomFormat="false" ht="15.75" hidden="false" customHeight="tru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ustomFormat="false" ht="15.75" hidden="false" customHeight="tru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ustomFormat="false" ht="15.75" hidden="false" customHeight="tru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ustomFormat="false" ht="15.75" hidden="false" customHeight="tru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ustomFormat="false" ht="15.7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ustomFormat="false" ht="15.7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ustomFormat="false" ht="15.75" hidden="false" customHeight="tru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ustomFormat="false" ht="15.75" hidden="false" customHeight="tru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ustomFormat="false" ht="15.75" hidden="false" customHeight="tru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ustomFormat="false" ht="15.75" hidden="false" customHeight="tru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ustomFormat="false" ht="15.75" hidden="false" customHeight="tru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ustomFormat="false" ht="15.75" hidden="false" customHeight="tru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ustomFormat="false" ht="15.75" hidden="false" customHeight="true" outlineLevel="0" collapsed="false">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ustomFormat="false" ht="15.75" hidden="false" customHeight="true" outlineLevel="0" collapsed="false">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ustomFormat="false" ht="15.75" hidden="false" customHeight="true" outlineLevel="0" collapsed="false">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ustomFormat="false" ht="15.75" hidden="false" customHeight="true" outlineLevel="0" collapsed="false">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ustomFormat="false" ht="15.75" hidden="false" customHeight="true" outlineLevel="0" collapsed="false">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ustomFormat="false" ht="15.75" hidden="false" customHeight="true" outlineLevel="0" collapsed="false">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ustomFormat="false" ht="15.75" hidden="false" customHeight="true" outlineLevel="0" collapsed="false">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ustomFormat="false" ht="15.75" hidden="false" customHeight="true" outlineLevel="0" collapsed="false">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ustomFormat="false" ht="15.75" hidden="false" customHeight="true" outlineLevel="0" collapsed="false">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ustomFormat="false" ht="15.75" hidden="false" customHeight="true" outlineLevel="0" collapsed="false">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ustomFormat="false" ht="15.75" hidden="false" customHeight="true" outlineLevel="0" collapsed="false">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ustomFormat="false" ht="15.75" hidden="false" customHeight="true" outlineLevel="0" collapsed="false">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ustomFormat="false" ht="15.75" hidden="false" customHeight="true" outlineLevel="0" collapsed="false">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ustomFormat="false" ht="15.75" hidden="false" customHeight="true" outlineLevel="0" collapsed="false">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ustomFormat="false" ht="15.75" hidden="false" customHeight="true" outlineLevel="0" collapsed="false">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ustomFormat="false" ht="15.75" hidden="false" customHeight="true" outlineLevel="0" collapsed="false">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ustomFormat="false" ht="15.75" hidden="false" customHeight="true" outlineLevel="0" collapsed="false">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ustomFormat="false" ht="15.7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ustomFormat="false" ht="15.75" hidden="false" customHeight="true" outlineLevel="0" collapsed="false">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ustomFormat="false" ht="15.75" hidden="false" customHeight="true" outlineLevel="0" collapsed="false">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ustomFormat="false" ht="15.75" hidden="false" customHeight="true" outlineLevel="0" collapsed="false">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ustomFormat="false" ht="15.75" hidden="false" customHeight="true" outlineLevel="0" collapsed="false">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ustomFormat="false" ht="15.75" hidden="false" customHeight="true" outlineLevel="0" collapsed="false">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ustomFormat="false" ht="15.75" hidden="false" customHeight="true" outlineLevel="0" collapsed="false">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ustomFormat="false" ht="15.75" hidden="false" customHeight="true" outlineLevel="0" collapsed="false">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ustomFormat="false" ht="15.75" hidden="false" customHeight="true" outlineLevel="0" collapsed="false">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ustomFormat="false" ht="15.75" hidden="false" customHeight="true" outlineLevel="0" collapsed="false">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ustomFormat="false" ht="15.75" hidden="false" customHeight="true" outlineLevel="0" collapsed="false">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ustomFormat="false" ht="15.75" hidden="false" customHeight="true" outlineLevel="0" collapsed="false">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ustomFormat="false" ht="15.75" hidden="false" customHeight="true" outlineLevel="0" collapsed="false">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ustomFormat="false" ht="15.75" hidden="false" customHeight="true" outlineLevel="0" collapsed="false">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ustomFormat="false" ht="15.75" hidden="false" customHeight="true" outlineLevel="0" collapsed="false">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ustomFormat="false" ht="15.75" hidden="false" customHeight="true" outlineLevel="0" collapsed="false">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ustomFormat="false" ht="15.75" hidden="false" customHeight="true" outlineLevel="0" collapsed="false">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ustomFormat="false" ht="15.7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ustomFormat="false" ht="15.7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ustomFormat="false" ht="15.75" hidden="false" customHeight="true" outlineLevel="0" collapsed="false">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ustomFormat="false" ht="15.75" hidden="false" customHeight="true" outlineLevel="0" collapsed="false">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ustomFormat="false" ht="15.75" hidden="false" customHeight="true" outlineLevel="0" collapsed="false">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ustomFormat="false" ht="15.7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ustomFormat="false" ht="15.75" hidden="false" customHeight="true" outlineLevel="0" collapsed="false">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ustomFormat="false" ht="15.75" hidden="false" customHeight="true" outlineLevel="0" collapsed="false">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ustomFormat="false" ht="15.75" hidden="false" customHeight="true" outlineLevel="0" collapsed="false">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ustomFormat="false" ht="15.75" hidden="false" customHeight="true" outlineLevel="0" collapsed="false">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ustomFormat="false" ht="15.75" hidden="false" customHeight="true" outlineLevel="0" collapsed="false">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ustomFormat="false" ht="15.75" hidden="false" customHeight="true" outlineLevel="0" collapsed="false">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ustomFormat="false" ht="15.75" hidden="false" customHeight="true" outlineLevel="0" collapsed="false">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ustomFormat="false" ht="15.75" hidden="false" customHeight="true" outlineLevel="0" collapsed="false">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ustomFormat="false" ht="15.75" hidden="false" customHeight="true" outlineLevel="0" collapsed="false">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ustomFormat="false" ht="15.75" hidden="false" customHeight="true" outlineLevel="0" collapsed="false">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ustomFormat="false" ht="15.75" hidden="false" customHeight="true" outlineLevel="0" collapsed="false">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ustomFormat="false" ht="15.75" hidden="false" customHeight="true" outlineLevel="0" collapsed="false">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ustomFormat="false" ht="15.75" hidden="false" customHeight="true" outlineLevel="0" collapsed="false">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ustomFormat="false" ht="15.7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ustomFormat="false" ht="15.75" hidden="false" customHeight="true" outlineLevel="0" collapsed="false">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ustomFormat="false" ht="15.75" hidden="false" customHeight="true" outlineLevel="0" collapsed="false">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ustomFormat="false" ht="15.75" hidden="false" customHeight="true" outlineLevel="0" collapsed="false">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ustomFormat="false" ht="15.75" hidden="false" customHeight="true" outlineLevel="0" collapsed="false">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ustomFormat="false" ht="15.75" hidden="false" customHeight="true" outlineLevel="0" collapsed="false">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ustomFormat="false" ht="15.75" hidden="false" customHeight="true" outlineLevel="0" collapsed="false">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ustomFormat="false" ht="15.75" hidden="false" customHeight="true" outlineLevel="0" collapsed="false">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ustomFormat="false" ht="15.75" hidden="false" customHeight="true" outlineLevel="0" collapsed="false">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ustomFormat="false" ht="15.75" hidden="false" customHeight="true" outlineLevel="0" collapsed="false">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ustomFormat="false" ht="15.75" hidden="false" customHeight="true" outlineLevel="0" collapsed="false">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ustomFormat="false" ht="15.75" hidden="false" customHeight="true" outlineLevel="0" collapsed="false">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ustomFormat="false" ht="15.75" hidden="false" customHeight="true" outlineLevel="0" collapsed="false">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ustomFormat="false" ht="15.7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ustomFormat="false" ht="15.75" hidden="false" customHeight="true" outlineLevel="0" collapsed="false">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ustomFormat="false" ht="15.7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ustomFormat="false" ht="15.75" hidden="false" customHeight="true" outlineLevel="0" collapsed="false">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ustomFormat="false" ht="15.75" hidden="false" customHeight="true" outlineLevel="0" collapsed="false">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ustomFormat="false" ht="15.75" hidden="false" customHeight="true" outlineLevel="0" collapsed="false">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ustomFormat="false" ht="15.75" hidden="false" customHeight="true" outlineLevel="0" collapsed="false">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ustomFormat="false" ht="15.75" hidden="false" customHeight="true" outlineLevel="0" collapsed="false">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ustomFormat="false" ht="15.75" hidden="false" customHeight="true" outlineLevel="0" collapsed="false">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ustomFormat="false" ht="15.75" hidden="false" customHeight="true" outlineLevel="0" collapsed="false">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ustomFormat="false" ht="15.75" hidden="false" customHeight="true" outlineLevel="0" collapsed="false">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ustomFormat="false" ht="15.75" hidden="false" customHeight="true" outlineLevel="0" collapsed="false">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ustomFormat="false" ht="15.75" hidden="false" customHeight="true" outlineLevel="0" collapsed="false">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ustomFormat="false" ht="15.75" hidden="false" customHeight="true" outlineLevel="0" collapsed="false">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ustomFormat="false" ht="15.75" hidden="false" customHeight="true" outlineLevel="0" collapsed="false">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ustomFormat="false" ht="15.75" hidden="false" customHeight="true" outlineLevel="0" collapsed="false">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ustomFormat="false" ht="15.75" hidden="false" customHeight="true" outlineLevel="0" collapsed="false">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ustomFormat="false" ht="15.75" hidden="false" customHeight="true" outlineLevel="0" collapsed="false">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ustomFormat="false" ht="15.75" hidden="false" customHeight="true" outlineLevel="0" collapsed="false">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ustomFormat="false" ht="15.75" hidden="false" customHeight="true" outlineLevel="0" collapsed="false">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ustomFormat="false" ht="15.75" hidden="false" customHeight="true" outlineLevel="0" collapsed="false">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ustomFormat="false" ht="15.75" hidden="false" customHeight="true" outlineLevel="0" collapsed="false">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ustomFormat="false" ht="15.7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ustomFormat="false" ht="15.75" hidden="false" customHeight="true" outlineLevel="0" collapsed="false">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ustomFormat="false" ht="15.75" hidden="false" customHeight="true" outlineLevel="0" collapsed="false">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ustomFormat="false" ht="15.75" hidden="false" customHeight="true" outlineLevel="0" collapsed="false">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ustomFormat="false" ht="15.75" hidden="false" customHeight="true" outlineLevel="0" collapsed="false">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ustomFormat="false" ht="15.75" hidden="false" customHeight="true" outlineLevel="0" collapsed="false">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ustomFormat="false" ht="15.75" hidden="false" customHeight="true" outlineLevel="0" collapsed="false">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ustomFormat="false" ht="15.75" hidden="false" customHeight="true" outlineLevel="0" collapsed="false">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ustomFormat="false" ht="15.75" hidden="false" customHeight="true" outlineLevel="0" collapsed="false">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ustomFormat="false" ht="15.75" hidden="false" customHeight="true" outlineLevel="0" collapsed="false">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ustomFormat="false" ht="15.75" hidden="false" customHeight="true" outlineLevel="0" collapsed="false">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ustomFormat="false" ht="15.75" hidden="false" customHeight="true" outlineLevel="0" collapsed="false">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ustomFormat="false" ht="15.75" hidden="false" customHeight="true" outlineLevel="0" collapsed="false">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ustomFormat="false" ht="15.75" hidden="false" customHeight="true" outlineLevel="0" collapsed="false">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ustomFormat="false" ht="15.75" hidden="false" customHeight="true" outlineLevel="0" collapsed="false">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ustomFormat="false" ht="15.75" hidden="false" customHeight="true" outlineLevel="0" collapsed="false">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ustomFormat="false" ht="15.75" hidden="false" customHeight="true" outlineLevel="0" collapsed="false">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ustomFormat="false" ht="15.75" hidden="false" customHeight="true" outlineLevel="0" collapsed="false">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ustomFormat="false" ht="15.75" hidden="false" customHeight="true" outlineLevel="0" collapsed="false">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ustomFormat="false" ht="15.7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ustomFormat="false" ht="15.75" hidden="false" customHeight="true" outlineLevel="0" collapsed="false">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ustomFormat="false" ht="15.75" hidden="false" customHeight="true" outlineLevel="0" collapsed="false">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ustomFormat="false" ht="15.75" hidden="false" customHeight="true" outlineLevel="0" collapsed="false">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ustomFormat="false" ht="15.75" hidden="false" customHeight="true" outlineLevel="0" collapsed="false">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ustomFormat="false" ht="15.75" hidden="false" customHeight="true" outlineLevel="0" collapsed="false">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ustomFormat="false" ht="15.75" hidden="false" customHeight="true" outlineLevel="0" collapsed="false">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ustomFormat="false" ht="15.75" hidden="false" customHeight="true" outlineLevel="0" collapsed="false">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ustomFormat="false" ht="15.75" hidden="false" customHeight="true" outlineLevel="0" collapsed="false">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ustomFormat="false" ht="15.7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ustomFormat="false" ht="15.75" hidden="false" customHeight="true" outlineLevel="0" collapsed="false">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ustomFormat="false" ht="15.75" hidden="false" customHeight="true" outlineLevel="0" collapsed="false">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ustomFormat="false" ht="15.75" hidden="false" customHeight="true" outlineLevel="0" collapsed="false">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ustomFormat="false" ht="15.75" hidden="false" customHeight="true" outlineLevel="0" collapsed="false">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ustomFormat="false" ht="15.75" hidden="false" customHeight="true" outlineLevel="0" collapsed="false">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ustomFormat="false" ht="15.75" hidden="false" customHeight="true" outlineLevel="0" collapsed="false">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ustomFormat="false" ht="15.75" hidden="false" customHeight="true" outlineLevel="0" collapsed="false">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ustomFormat="false" ht="15.75" hidden="false" customHeight="true" outlineLevel="0" collapsed="false">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ustomFormat="false" ht="15.75" hidden="false" customHeight="true" outlineLevel="0" collapsed="false">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ustomFormat="false" ht="15.7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ustomFormat="false" ht="15.7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ustomFormat="false" ht="15.75" hidden="false" customHeight="true" outlineLevel="0" collapsed="false">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ustomFormat="false" ht="15.75" hidden="false" customHeight="true" outlineLevel="0" collapsed="false">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ustomFormat="false" ht="15.75" hidden="false" customHeight="true" outlineLevel="0" collapsed="false">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ustomFormat="false" ht="15.75" hidden="false" customHeight="true" outlineLevel="0" collapsed="false">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ustomFormat="false" ht="15.75" hidden="false" customHeight="true" outlineLevel="0" collapsed="false">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ustomFormat="false" ht="15.75" hidden="false" customHeight="true" outlineLevel="0" collapsed="false">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ustomFormat="false" ht="15.75" hidden="false" customHeight="true" outlineLevel="0" collapsed="false">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ustomFormat="false" ht="15.75" hidden="false" customHeight="true" outlineLevel="0" collapsed="false">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ustomFormat="false" ht="15.75" hidden="false" customHeight="true" outlineLevel="0" collapsed="false">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ustomFormat="false" ht="15.75" hidden="false" customHeight="true" outlineLevel="0" collapsed="false">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ustomFormat="false" ht="15.75" hidden="false" customHeight="true" outlineLevel="0" collapsed="false">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ustomFormat="false" ht="15.75" hidden="false" customHeight="true" outlineLevel="0" collapsed="false">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ustomFormat="false" ht="15.75" hidden="false" customHeight="true" outlineLevel="0" collapsed="false">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ustomFormat="false" ht="15.7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ustomFormat="false" ht="15.7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ustomFormat="false" ht="15.75" hidden="false" customHeight="true" outlineLevel="0" collapsed="false">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ustomFormat="false" ht="15.75" hidden="false" customHeight="true" outlineLevel="0" collapsed="false">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ustomFormat="false" ht="15.7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ustomFormat="false" ht="15.7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ustomFormat="false" ht="15.75" hidden="false" customHeight="true" outlineLevel="0" collapsed="false">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ustomFormat="false" ht="15.75" hidden="false" customHeight="true" outlineLevel="0" collapsed="false">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ustomFormat="false" ht="15.75" hidden="false" customHeight="true" outlineLevel="0" collapsed="false">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ustomFormat="false" ht="15.75" hidden="false" customHeight="true" outlineLevel="0" collapsed="false">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ustomFormat="false" ht="15.75" hidden="false" customHeight="true" outlineLevel="0" collapsed="false">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ustomFormat="false" ht="15.75" hidden="false" customHeight="true" outlineLevel="0" collapsed="false">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ustomFormat="false" ht="15.75" hidden="false" customHeight="true" outlineLevel="0" collapsed="false">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ustomFormat="false" ht="15.75" hidden="false" customHeight="true" outlineLevel="0" collapsed="false">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ustomFormat="false" ht="15.75" hidden="false" customHeight="true" outlineLevel="0" collapsed="false">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ustomFormat="false" ht="15.75" hidden="false" customHeight="true" outlineLevel="0" collapsed="false">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ustomFormat="false" ht="15.75" hidden="false" customHeight="true" outlineLevel="0" collapsed="false">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ustomFormat="false" ht="15.75" hidden="false" customHeight="true" outlineLevel="0" collapsed="false">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ustomFormat="false" ht="15.75" hidden="false" customHeight="true" outlineLevel="0" collapsed="false">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ustomFormat="false" ht="15.75" hidden="false" customHeight="true" outlineLevel="0" collapsed="false">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ustomFormat="false" ht="15.75" hidden="false" customHeight="true" outlineLevel="0" collapsed="false">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ustomFormat="false" ht="15.75" hidden="false" customHeight="true" outlineLevel="0" collapsed="false">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ustomFormat="false" ht="15.75" hidden="false" customHeight="true" outlineLevel="0" collapsed="false">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ustomFormat="false" ht="15.75" hidden="false" customHeight="true" outlineLevel="0" collapsed="false">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ustomFormat="false" ht="15.75" hidden="false" customHeight="true" outlineLevel="0" collapsed="false">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ustomFormat="false" ht="15.75" hidden="false" customHeight="true" outlineLevel="0" collapsed="false">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ustomFormat="false" ht="15.75" hidden="false" customHeight="true" outlineLevel="0" collapsed="false">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ustomFormat="false" ht="15.75" hidden="false" customHeight="true" outlineLevel="0" collapsed="false">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ustomFormat="false" ht="15.75" hidden="false" customHeight="true" outlineLevel="0" collapsed="false">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ustomFormat="false" ht="15.75" hidden="false" customHeight="true" outlineLevel="0" collapsed="false">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ustomFormat="false" ht="15.75" hidden="false" customHeight="true" outlineLevel="0" collapsed="false">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ustomFormat="false" ht="15.75" hidden="false" customHeight="true" outlineLevel="0" collapsed="false">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ustomFormat="false" ht="15.75" hidden="false" customHeight="true" outlineLevel="0" collapsed="false">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ustomFormat="false" ht="15.75" hidden="false" customHeight="true" outlineLevel="0" collapsed="false">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ustomFormat="false" ht="15.75" hidden="false" customHeight="true" outlineLevel="0" collapsed="false">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ustomFormat="false" ht="15.75" hidden="false" customHeight="true" outlineLevel="0" collapsed="false">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ustomFormat="false" ht="15.75" hidden="false" customHeight="true" outlineLevel="0" collapsed="false">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ustomFormat="false" ht="15.75" hidden="false" customHeight="true" outlineLevel="0" collapsed="false">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ustomFormat="false" ht="15.75" hidden="false" customHeight="true" outlineLevel="0" collapsed="false">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ustomFormat="false" ht="15.75" hidden="false" customHeight="true" outlineLevel="0" collapsed="false">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ustomFormat="false" ht="15.75" hidden="false" customHeight="true" outlineLevel="0" collapsed="false">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ustomFormat="false" ht="15.75" hidden="false" customHeight="true" outlineLevel="0" collapsed="false">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ustomFormat="false" ht="15.75" hidden="false" customHeight="true" outlineLevel="0" collapsed="false">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ustomFormat="false" ht="15.75" hidden="false" customHeight="true" outlineLevel="0" collapsed="false">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ustomFormat="false" ht="15.75" hidden="false" customHeight="true" outlineLevel="0" collapsed="false">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ustomFormat="false" ht="15.75" hidden="false" customHeight="true" outlineLevel="0" collapsed="false">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ustomFormat="false" ht="15.75" hidden="false" customHeight="true" outlineLevel="0" collapsed="false">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ustomFormat="false" ht="15.75" hidden="false" customHeight="true" outlineLevel="0" collapsed="false">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ustomFormat="false" ht="15.75" hidden="false" customHeight="true" outlineLevel="0" collapsed="false">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ustomFormat="false" ht="15.75" hidden="false" customHeight="true" outlineLevel="0" collapsed="false">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ustomFormat="false" ht="15.75" hidden="false" customHeight="true" outlineLevel="0" collapsed="false">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ustomFormat="false" ht="15.75" hidden="false" customHeight="true" outlineLevel="0" collapsed="false">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ustomFormat="false" ht="15.75" hidden="false" customHeight="true" outlineLevel="0" collapsed="false">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ustomFormat="false" ht="15.75" hidden="false" customHeight="true" outlineLevel="0" collapsed="false">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ustomFormat="false" ht="15.75" hidden="false" customHeight="true" outlineLevel="0" collapsed="false">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ustomFormat="false" ht="15.75" hidden="false" customHeight="true" outlineLevel="0" collapsed="false">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ustomFormat="false" ht="15.75" hidden="false" customHeight="true" outlineLevel="0" collapsed="false">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ustomFormat="false" ht="15.75" hidden="false" customHeight="true" outlineLevel="0" collapsed="false">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ustomFormat="false" ht="15.75" hidden="false" customHeight="true" outlineLevel="0" collapsed="false">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ustomFormat="false" ht="15.75" hidden="false" customHeight="true" outlineLevel="0" collapsed="false">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ustomFormat="false" ht="15.75" hidden="false" customHeight="true" outlineLevel="0" collapsed="false">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ustomFormat="false" ht="15.75" hidden="false" customHeight="true" outlineLevel="0" collapsed="false">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ustomFormat="false" ht="15.75" hidden="false" customHeight="true" outlineLevel="0" collapsed="false">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ustomFormat="false" ht="15.75" hidden="false" customHeight="true" outlineLevel="0" collapsed="false">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ustomFormat="false" ht="15.75" hidden="false" customHeight="true" outlineLevel="0" collapsed="false">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ustomFormat="false" ht="15.75" hidden="false" customHeight="true" outlineLevel="0" collapsed="false">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ustomFormat="false" ht="15.75" hidden="false" customHeight="true" outlineLevel="0" collapsed="false">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ustomFormat="false" ht="15.75" hidden="false" customHeight="true" outlineLevel="0" collapsed="false">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ustomFormat="false" ht="15.75" hidden="false" customHeight="true" outlineLevel="0" collapsed="false">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ustomFormat="false" ht="15.75" hidden="false" customHeight="true" outlineLevel="0" collapsed="false">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ustomFormat="false" ht="15.75" hidden="false" customHeight="true" outlineLevel="0" collapsed="false">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ustomFormat="false" ht="15.75" hidden="false" customHeight="true" outlineLevel="0" collapsed="false">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ustomFormat="false" ht="15.7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ustomFormat="false" ht="15.7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ustomFormat="false" ht="15.7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ustomFormat="false" ht="15.7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ustomFormat="false" ht="15.7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ustomFormat="false" ht="15.7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ustomFormat="false" ht="15.7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ustomFormat="false" ht="15.7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ustomFormat="false" ht="15.7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ustomFormat="false" ht="15.7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ustomFormat="false" ht="15.7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ustomFormat="false" ht="15.7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ustomFormat="false" ht="15.7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ustomFormat="false" ht="15.7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ustomFormat="false" ht="15.7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ustomFormat="false" ht="15.7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ustomFormat="false" ht="15.7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ustomFormat="false" ht="15.7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ustomFormat="false" ht="15.7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ustomFormat="false" ht="15.7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ustomFormat="false" ht="15.7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ustomFormat="false" ht="15.7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ustomFormat="false" ht="15.7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ustomFormat="false" ht="15.7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ustomFormat="false" ht="15.7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ustomFormat="false" ht="15.7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ustomFormat="false" ht="15.7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ustomFormat="false" ht="15.7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ustomFormat="false" ht="15.7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ustomFormat="false" ht="15.7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ustomFormat="false" ht="15.7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ustomFormat="false" ht="15.7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ustomFormat="false" ht="15.7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ustomFormat="false" ht="15.7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ustomFormat="false" ht="15.7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ustomFormat="false" ht="15.7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ustomFormat="false" ht="15.7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ustomFormat="false" ht="15.7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ustomFormat="false" ht="15.7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ustomFormat="false" ht="15.7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ustomFormat="false" ht="15.7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ustomFormat="false" ht="15.7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ustomFormat="false" ht="15.7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ustomFormat="false" ht="15.7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ustomFormat="false" ht="15.7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ustomFormat="false" ht="15.7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ustomFormat="false" ht="15.7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ustomFormat="false" ht="15.7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ustomFormat="false" ht="15.7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ustomFormat="false" ht="15.7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ustomFormat="false" ht="15.7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ustomFormat="false" ht="15.7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ustomFormat="false" ht="15.7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ustomFormat="false" ht="15.7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ustomFormat="false" ht="15.7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ustomFormat="false" ht="15.7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ustomFormat="false" ht="15.7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ustomFormat="false" ht="15.7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ustomFormat="false" ht="15.7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ustomFormat="false" ht="15.7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ustomFormat="false" ht="15.7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ustomFormat="false" ht="15.7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ustomFormat="false" ht="15.7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ustomFormat="false" ht="15.7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ustomFormat="false" ht="15.7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ustomFormat="false" ht="15.7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ustomFormat="false" ht="15.7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ustomFormat="false" ht="15.7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ustomFormat="false" ht="15.7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ustomFormat="false" ht="15.7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ustomFormat="false" ht="15.7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ustomFormat="false" ht="15.7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ustomFormat="false" ht="15.7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ustomFormat="false" ht="15.7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ustomFormat="false" ht="15.7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ustomFormat="false" ht="15.7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ustomFormat="false" ht="15.7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ustomFormat="false" ht="15.7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ustomFormat="false" ht="15.7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ustomFormat="false" ht="15.7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ustomFormat="false" ht="15.7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ustomFormat="false" ht="15.7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ustomFormat="false" ht="15.7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ustomFormat="false" ht="15.7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ustomFormat="false" ht="15.7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ustomFormat="false" ht="15.7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ustomFormat="false" ht="15.7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ustomFormat="false" ht="15.7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ustomFormat="false" ht="15.7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ustomFormat="false" ht="15.7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ustomFormat="false" ht="15.7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ustomFormat="false" ht="15.7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ustomFormat="false" ht="15.7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ustomFormat="false" ht="15.7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ustomFormat="false" ht="15.7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ustomFormat="false" ht="15.7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ustomFormat="false" ht="15.7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ustomFormat="false" ht="15.7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ustomFormat="false" ht="15.7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ustomFormat="false" ht="15.7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ustomFormat="false" ht="15.7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ustomFormat="false" ht="15.7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ustomFormat="false" ht="15.7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ustomFormat="false" ht="15.7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ustomFormat="false" ht="15.7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ustomFormat="false" ht="15.7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ustomFormat="false" ht="15.7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ustomFormat="false" ht="15.7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ustomFormat="false" ht="15.7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ustomFormat="false" ht="15.7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ustomFormat="false" ht="15.7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ustomFormat="false" ht="15.7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ustomFormat="false" ht="15.7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ustomFormat="false" ht="15.7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ustomFormat="false" ht="15.7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ustomFormat="false" ht="15.7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ustomFormat="false" ht="15.7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ustomFormat="false" ht="15.7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ustomFormat="false" ht="15.7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ustomFormat="false" ht="15.7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ustomFormat="false" ht="15.7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ustomFormat="false" ht="15.7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ustomFormat="false" ht="15.7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ustomFormat="false" ht="15.7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ustomFormat="false" ht="15.7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ustomFormat="false" ht="15.7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ustomFormat="false" ht="15.7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ustomFormat="false" ht="15.7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ustomFormat="false" ht="15.7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ustomFormat="false" ht="15.75" hidden="false" customHeight="tru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ustomFormat="false" ht="15.75" hidden="false" customHeight="tru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ustomFormat="false" ht="15.75" hidden="false" customHeight="tru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ustomFormat="false" ht="15.75" hidden="false" customHeight="tru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ustomFormat="false" ht="15.75" hidden="false" customHeight="tru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ustomFormat="false" ht="15.75" hidden="false" customHeight="tru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ustomFormat="false" ht="15.75" hidden="false" customHeight="tru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ustomFormat="false" ht="15.75" hidden="false" customHeight="tru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ustomFormat="false" ht="15.75" hidden="false" customHeight="tru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ustomFormat="false" ht="15.75" hidden="false" customHeight="tru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ustomFormat="false" ht="15.75" hidden="false" customHeight="tru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ustomFormat="false" ht="15.75" hidden="false" customHeight="tru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ustomFormat="false" ht="15.75" hidden="false" customHeight="tru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ustomFormat="false" ht="15.75" hidden="false" customHeight="tru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ustomFormat="false" ht="15.75" hidden="false" customHeight="tru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ustomFormat="false" ht="15.75" hidden="false" customHeight="tru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ustomFormat="false" ht="15.75" hidden="false" customHeight="tru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ustomFormat="false" ht="15.75" hidden="false" customHeight="tru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ustomFormat="false" ht="15.75" hidden="false" customHeight="tru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ustomFormat="false" ht="15.75" hidden="false" customHeight="tru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ustomFormat="false" ht="15.75" hidden="false" customHeight="tru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ustomFormat="false" ht="15.75" hidden="false" customHeight="tru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ustomFormat="false" ht="15.75" hidden="false" customHeight="tru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ustomFormat="false" ht="15.75" hidden="false" customHeight="tru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ustomFormat="false" ht="15.75" hidden="false" customHeight="tru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ustomFormat="false" ht="15.75" hidden="false" customHeight="tru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ustomFormat="false" ht="15.75" hidden="false" customHeight="tru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ustomFormat="false" ht="15.75" hidden="false" customHeight="tru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ustomFormat="false" ht="15.75" hidden="false" customHeight="tru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ustomFormat="false" ht="15.75" hidden="false" customHeight="tru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ustomFormat="false" ht="15.75" hidden="false" customHeight="tru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ustomFormat="false" ht="15.75" hidden="false" customHeight="tru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ustomFormat="false" ht="15.75" hidden="false" customHeight="tru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ustomFormat="false" ht="15.75" hidden="false" customHeight="tru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ustomFormat="false" ht="15.75" hidden="false" customHeight="tru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ustomFormat="false" ht="15.75" hidden="false" customHeight="tru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ustomFormat="false" ht="15.75" hidden="false" customHeight="tru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ustomFormat="false" ht="15.75" hidden="false" customHeight="tru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ustomFormat="false" ht="15.75" hidden="false" customHeight="tru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ustomFormat="false" ht="15.75" hidden="false" customHeight="tru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ustomFormat="false" ht="15.75" hidden="false" customHeight="tru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ustomFormat="false" ht="15.75" hidden="false" customHeight="tru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ustomFormat="false" ht="15.75" hidden="false" customHeight="tru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ustomFormat="false" ht="15.75" hidden="false" customHeight="tru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ustomFormat="false" ht="15.75" hidden="false" customHeight="tru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ustomFormat="false" ht="15.75" hidden="false" customHeight="tru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ustomFormat="false" ht="15.75" hidden="false" customHeight="tru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ustomFormat="false" ht="15.75" hidden="false" customHeight="tru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ustomFormat="false" ht="15.75" hidden="false" customHeight="tru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ustomFormat="false" ht="15.75" hidden="false" customHeight="tru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ustomFormat="false" ht="15.75" hidden="false" customHeight="tru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ustomFormat="false" ht="15.75" hidden="false" customHeight="tru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ustomFormat="false" ht="15.75" hidden="false" customHeight="tru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ustomFormat="false" ht="15.75" hidden="false" customHeight="tru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ustomFormat="false" ht="15.75" hidden="false" customHeight="tru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ustomFormat="false" ht="15.75" hidden="false" customHeight="tru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ustomFormat="false" ht="15.75" hidden="false" customHeight="tru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ustomFormat="false" ht="15.75" hidden="false" customHeight="tru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ustomFormat="false" ht="15.75" hidden="false" customHeight="tru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ustomFormat="false" ht="15.75" hidden="false" customHeight="tru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ustomFormat="false" ht="15.75" hidden="false" customHeight="tru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ustomFormat="false" ht="15.75" hidden="false" customHeight="tru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ustomFormat="false" ht="15.75" hidden="false" customHeight="tru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ustomFormat="false" ht="15.75" hidden="false" customHeight="tru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ustomFormat="false" ht="15.75" hidden="false" customHeight="tru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ustomFormat="false" ht="15.75" hidden="false" customHeight="tru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ustomFormat="false" ht="15.75" hidden="false" customHeight="tru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ustomFormat="false" ht="15.75" hidden="false" customHeight="tru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ustomFormat="false" ht="15.75" hidden="false" customHeight="tru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ustomFormat="false" ht="15.75" hidden="false" customHeight="tru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ustomFormat="false" ht="15.75" hidden="false" customHeight="tru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ustomFormat="false" ht="15.75" hidden="false" customHeight="tru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ustomFormat="false" ht="15.75" hidden="false" customHeight="tru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ustomFormat="false" ht="15.75" hidden="false" customHeight="tru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ustomFormat="false" ht="15.75" hidden="false" customHeight="tru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ustomFormat="false" ht="15.75" hidden="false" customHeight="tru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ustomFormat="false" ht="15.75" hidden="false" customHeight="tru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ustomFormat="false" ht="15.75" hidden="false" customHeight="tru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ustomFormat="false" ht="15.75" hidden="false" customHeight="tru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ustomFormat="false" ht="15.75" hidden="false" customHeight="tru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ustomFormat="false" ht="15.75" hidden="false" customHeight="tru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ustomFormat="false" ht="15.75" hidden="false" customHeight="tru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ustomFormat="false" ht="15.75" hidden="false" customHeight="tru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ustomFormat="false" ht="15.75" hidden="false" customHeight="tru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ustomFormat="false" ht="15.75" hidden="false" customHeight="tru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ustomFormat="false" ht="15.75" hidden="false" customHeight="tru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ustomFormat="false" ht="15.75" hidden="false" customHeight="tru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ustomFormat="false" ht="15.75" hidden="false" customHeight="tru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ustomFormat="false" ht="15.75" hidden="false" customHeight="tru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ustomFormat="false" ht="15.75" hidden="false" customHeight="tru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ustomFormat="false" ht="15.75" hidden="false" customHeight="tru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ustomFormat="false" ht="15.75" hidden="false" customHeight="tru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ustomFormat="false" ht="15.75" hidden="false" customHeight="tru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ustomFormat="false" ht="15.75" hidden="false" customHeight="tru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ustomFormat="false" ht="15.75" hidden="false" customHeight="tru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ustomFormat="false" ht="15.75" hidden="false" customHeight="tru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ustomFormat="false" ht="15.75" hidden="false" customHeight="tru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sheetData>
  <mergeCells count="83">
    <mergeCell ref="A1:F3"/>
    <mergeCell ref="G1:H3"/>
    <mergeCell ref="A5:H5"/>
    <mergeCell ref="B6:C6"/>
    <mergeCell ref="D6:E6"/>
    <mergeCell ref="F6:H6"/>
    <mergeCell ref="A7:H7"/>
    <mergeCell ref="B8:E8"/>
    <mergeCell ref="F8:H8"/>
    <mergeCell ref="B9:E9"/>
    <mergeCell ref="F9:H22"/>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F23:H23"/>
    <mergeCell ref="A24:B24"/>
    <mergeCell ref="D24:E24"/>
    <mergeCell ref="F24:H30"/>
    <mergeCell ref="D25:E25"/>
    <mergeCell ref="D26:E26"/>
    <mergeCell ref="D27:E27"/>
    <mergeCell ref="D28:E28"/>
    <mergeCell ref="D29:E29"/>
    <mergeCell ref="A31:G31"/>
    <mergeCell ref="A32:B32"/>
    <mergeCell ref="F32:G32"/>
    <mergeCell ref="A33:B33"/>
    <mergeCell ref="F33:G33"/>
    <mergeCell ref="A34:B34"/>
    <mergeCell ref="F34:G34"/>
    <mergeCell ref="A35:B35"/>
    <mergeCell ref="F35:G35"/>
    <mergeCell ref="A36:B36"/>
    <mergeCell ref="F36:G36"/>
    <mergeCell ref="A37:B37"/>
    <mergeCell ref="F37:G37"/>
    <mergeCell ref="A38:B38"/>
    <mergeCell ref="F38:G38"/>
    <mergeCell ref="A39:B39"/>
    <mergeCell ref="F39:G39"/>
    <mergeCell ref="A40:B40"/>
    <mergeCell ref="F40:G40"/>
    <mergeCell ref="A41:B41"/>
    <mergeCell ref="F41:G41"/>
    <mergeCell ref="A42:B42"/>
    <mergeCell ref="F42:G42"/>
    <mergeCell ref="A43:H43"/>
    <mergeCell ref="A44:H44"/>
    <mergeCell ref="A45:C45"/>
    <mergeCell ref="D45:H45"/>
    <mergeCell ref="B46:C46"/>
    <mergeCell ref="E46:H46"/>
    <mergeCell ref="B47:C47"/>
    <mergeCell ref="E47:H47"/>
    <mergeCell ref="A48:C48"/>
    <mergeCell ref="E48:H48"/>
    <mergeCell ref="B49:C49"/>
    <mergeCell ref="E49:H49"/>
    <mergeCell ref="B50:C50"/>
    <mergeCell ref="E50:H50"/>
    <mergeCell ref="B51:C51"/>
    <mergeCell ref="D51:H51"/>
    <mergeCell ref="A52:C52"/>
    <mergeCell ref="E52:H52"/>
    <mergeCell ref="B53:C53"/>
    <mergeCell ref="E53:H53"/>
    <mergeCell ref="B54:C54"/>
    <mergeCell ref="E54:H54"/>
    <mergeCell ref="B55:C55"/>
    <mergeCell ref="F55:H55"/>
    <mergeCell ref="B56:C56"/>
    <mergeCell ref="F56:H56"/>
  </mergeCells>
  <conditionalFormatting sqref="B45:C45">
    <cfRule type="expression" priority="2" aboveAverage="0" equalAverage="0" bottom="0" percent="0" rank="0" text="" dxfId="0">
      <formula>LEN(TRIM(B45))&gt;0</formula>
    </cfRule>
  </conditionalFormatting>
  <printOptions headings="false" gridLines="false" gridLinesSet="true" horizontalCentered="tru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2026-06-15T11:15:50Z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